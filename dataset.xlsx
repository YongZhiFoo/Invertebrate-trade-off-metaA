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hidePivotFieldList="1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yongzhi/Library/CloudStorage/Dropbox/Yong and Kath/6. Manuscript preparation/Analysis and dataset/"/>
    </mc:Choice>
  </mc:AlternateContent>
  <xr:revisionPtr revIDLastSave="0" documentId="13_ncr:1_{E36CB7B1-CC9D-3D46-879B-C2CE3B3AADB7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data" sheetId="2" r:id="rId1"/>
  </sheets>
  <definedNames>
    <definedName name="_xlnm._FilterDatabase" localSheetId="0" hidden="1">data!$A$1:$BD$784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57" i="2" l="1"/>
  <c r="AG240" i="2"/>
  <c r="AG239" i="2"/>
  <c r="AG228" i="2"/>
  <c r="AG227" i="2"/>
  <c r="AG226" i="2"/>
  <c r="AG225" i="2"/>
  <c r="AG220" i="2"/>
  <c r="AG219" i="2"/>
  <c r="AG53" i="2"/>
  <c r="AG31" i="2"/>
  <c r="AG30" i="2"/>
  <c r="AG3" i="2"/>
  <c r="AG2" i="2"/>
  <c r="AG587" i="2" l="1"/>
  <c r="AG10" i="2"/>
  <c r="AG14" i="2"/>
  <c r="AG15" i="2"/>
  <c r="AG16" i="2"/>
  <c r="AG25" i="2"/>
  <c r="AG26" i="2"/>
  <c r="AG27" i="2"/>
  <c r="AG28" i="2"/>
  <c r="AG29" i="2"/>
  <c r="AG32" i="2"/>
  <c r="AG34" i="2"/>
  <c r="AG35" i="2"/>
  <c r="AG36" i="2"/>
  <c r="AG37" i="2"/>
  <c r="AG38" i="2"/>
  <c r="AG39" i="2"/>
  <c r="AG40" i="2"/>
  <c r="AG41" i="2"/>
  <c r="AG42" i="2"/>
  <c r="AG43" i="2"/>
  <c r="AG44" i="2"/>
  <c r="AG62" i="2"/>
  <c r="AG63" i="2"/>
  <c r="AG67" i="2"/>
  <c r="AG68" i="2"/>
  <c r="AG69" i="2"/>
  <c r="AG70" i="2"/>
  <c r="AG71" i="2"/>
  <c r="AG72" i="2"/>
  <c r="AG73" i="2"/>
  <c r="AG76" i="2"/>
  <c r="AG77" i="2"/>
  <c r="AG80" i="2"/>
  <c r="AG81" i="2"/>
  <c r="AG87" i="2"/>
  <c r="AG117" i="2"/>
  <c r="AG118" i="2"/>
  <c r="AG119" i="2"/>
  <c r="AG120" i="2"/>
  <c r="AG121" i="2"/>
  <c r="AG122" i="2"/>
  <c r="AG123" i="2"/>
  <c r="AG124" i="2"/>
  <c r="AG125" i="2"/>
  <c r="AG131" i="2"/>
  <c r="AG132" i="2"/>
  <c r="AG133" i="2"/>
  <c r="AG134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51" i="2"/>
  <c r="AG152" i="2"/>
  <c r="AG153" i="2"/>
  <c r="AG160" i="2"/>
  <c r="AG172" i="2"/>
  <c r="AG173" i="2"/>
  <c r="AG174" i="2"/>
  <c r="AG175" i="2"/>
  <c r="AG176" i="2"/>
  <c r="AG177" i="2"/>
  <c r="AG178" i="2"/>
  <c r="AG179" i="2"/>
  <c r="AG180" i="2"/>
  <c r="AG182" i="2"/>
  <c r="AG183" i="2"/>
  <c r="AG184" i="2"/>
  <c r="AG185" i="2"/>
  <c r="AG186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8" i="2"/>
  <c r="AG209" i="2"/>
  <c r="AG210" i="2"/>
  <c r="AG211" i="2"/>
  <c r="AG212" i="2"/>
  <c r="AG215" i="2"/>
  <c r="AG216" i="2"/>
  <c r="AG217" i="2"/>
  <c r="AG221" i="2"/>
  <c r="AG222" i="2"/>
  <c r="AG229" i="2"/>
  <c r="AG230" i="2"/>
  <c r="AG231" i="2"/>
  <c r="AG232" i="2"/>
  <c r="AG236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84" i="2"/>
  <c r="AG285" i="2"/>
  <c r="AG286" i="2"/>
  <c r="AG289" i="2"/>
  <c r="AG290" i="2"/>
  <c r="AG291" i="2"/>
  <c r="AG292" i="2"/>
  <c r="AG299" i="2"/>
  <c r="AG318" i="2"/>
  <c r="AG319" i="2"/>
  <c r="AG320" i="2"/>
  <c r="AG322" i="2"/>
  <c r="AG324" i="2"/>
  <c r="AG326" i="2"/>
  <c r="AG327" i="2"/>
  <c r="AG328" i="2"/>
  <c r="AG329" i="2"/>
  <c r="AG330" i="2"/>
  <c r="AG331" i="2"/>
  <c r="AG333" i="2"/>
  <c r="AG334" i="2"/>
  <c r="AG335" i="2"/>
  <c r="AG336" i="2"/>
  <c r="AG337" i="2"/>
  <c r="AG338" i="2"/>
  <c r="AG339" i="2"/>
  <c r="AG341" i="2"/>
  <c r="AG342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1" i="2"/>
  <c r="AG362" i="2"/>
  <c r="AG363" i="2"/>
  <c r="AG378" i="2"/>
  <c r="AG379" i="2"/>
  <c r="AG380" i="2"/>
  <c r="AG381" i="2"/>
  <c r="AG384" i="2"/>
  <c r="AG385" i="2"/>
  <c r="AG388" i="2"/>
  <c r="AG389" i="2"/>
  <c r="AG390" i="2"/>
  <c r="AG391" i="2"/>
  <c r="AG395" i="2"/>
  <c r="AG408" i="2"/>
  <c r="AG409" i="2"/>
  <c r="AG411" i="2"/>
  <c r="AG412" i="2"/>
  <c r="AG417" i="2"/>
  <c r="AG418" i="2"/>
  <c r="AG424" i="2"/>
  <c r="AG425" i="2"/>
  <c r="AG427" i="2"/>
  <c r="AG428" i="2"/>
  <c r="AG430" i="2"/>
  <c r="AG451" i="2"/>
  <c r="AG452" i="2"/>
  <c r="AG453" i="2"/>
  <c r="AG454" i="2"/>
  <c r="AG455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70" i="2"/>
  <c r="AG471" i="2"/>
  <c r="AG475" i="2"/>
  <c r="AG485" i="2"/>
  <c r="AG486" i="2"/>
  <c r="AG487" i="2"/>
  <c r="AG488" i="2"/>
  <c r="AG489" i="2"/>
  <c r="AG490" i="2"/>
  <c r="AG491" i="2"/>
  <c r="AG500" i="2"/>
  <c r="AG501" i="2"/>
  <c r="AG510" i="2"/>
  <c r="AG511" i="2"/>
  <c r="AG512" i="2"/>
  <c r="AG513" i="2"/>
  <c r="AG514" i="2"/>
  <c r="AG515" i="2"/>
  <c r="AG544" i="2"/>
  <c r="AG545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Y304" i="2"/>
  <c r="Y303" i="2"/>
  <c r="Z304" i="2"/>
  <c r="Z303" i="2"/>
  <c r="Y301" i="2"/>
  <c r="Z301" i="2"/>
  <c r="Y302" i="2"/>
  <c r="Z302" i="2"/>
  <c r="Y300" i="2"/>
  <c r="Z300" i="2"/>
  <c r="Y298" i="2"/>
  <c r="Z298" i="2"/>
  <c r="Y297" i="2"/>
  <c r="Z297" i="2"/>
  <c r="Z296" i="2"/>
  <c r="Y296" i="2"/>
  <c r="Z295" i="2"/>
  <c r="Y295" i="2"/>
  <c r="Z294" i="2"/>
  <c r="Y294" i="2"/>
  <c r="Y293" i="2"/>
  <c r="Z293" i="2"/>
</calcChain>
</file>

<file path=xl/sharedStrings.xml><?xml version="1.0" encoding="utf-8"?>
<sst xmlns="http://schemas.openxmlformats.org/spreadsheetml/2006/main" count="20309" uniqueCount="2312">
  <si>
    <t>species</t>
  </si>
  <si>
    <t>authors</t>
  </si>
  <si>
    <t>doi</t>
  </si>
  <si>
    <t>order</t>
  </si>
  <si>
    <t>r</t>
  </si>
  <si>
    <t>paper_title</t>
  </si>
  <si>
    <t>paperid</t>
  </si>
  <si>
    <t>esid</t>
  </si>
  <si>
    <t>studyid</t>
  </si>
  <si>
    <t>year_published</t>
  </si>
  <si>
    <t>immunity_or_reproduction</t>
  </si>
  <si>
    <t>immunity</t>
  </si>
  <si>
    <t>reproduction</t>
  </si>
  <si>
    <t>endoparasite</t>
  </si>
  <si>
    <t>fungus</t>
  </si>
  <si>
    <t>live bacteria</t>
  </si>
  <si>
    <t>heat-killed bacteria</t>
  </si>
  <si>
    <t>ectoparasite</t>
  </si>
  <si>
    <t>LPS</t>
  </si>
  <si>
    <t>other</t>
  </si>
  <si>
    <t>precopulatory</t>
  </si>
  <si>
    <t>postcopulatory</t>
  </si>
  <si>
    <t>correlational_experimental</t>
  </si>
  <si>
    <t>chemical</t>
  </si>
  <si>
    <t>auditory</t>
  </si>
  <si>
    <t>visual</t>
  </si>
  <si>
    <t>dominance</t>
  </si>
  <si>
    <t>mating success</t>
  </si>
  <si>
    <t>SS_assayed</t>
  </si>
  <si>
    <t>Odonata</t>
  </si>
  <si>
    <t>Dermaptera</t>
  </si>
  <si>
    <t>Orthoptera</t>
  </si>
  <si>
    <t>Hemiptera</t>
  </si>
  <si>
    <t>Araneae</t>
  </si>
  <si>
    <t>correlational</t>
  </si>
  <si>
    <t>experimental</t>
  </si>
  <si>
    <t>constitutive_induced</t>
  </si>
  <si>
    <t>constitutive</t>
  </si>
  <si>
    <t>induced</t>
  </si>
  <si>
    <t>PO</t>
  </si>
  <si>
    <t>lytic</t>
  </si>
  <si>
    <t>survival</t>
  </si>
  <si>
    <t>haemocytes</t>
  </si>
  <si>
    <t>encapsulation</t>
  </si>
  <si>
    <t>parasite presence</t>
  </si>
  <si>
    <t>parasite load</t>
  </si>
  <si>
    <t>developmental_stage</t>
  </si>
  <si>
    <t>adult</t>
  </si>
  <si>
    <t>juvenile</t>
  </si>
  <si>
    <t>figure</t>
  </si>
  <si>
    <t>table</t>
  </si>
  <si>
    <t>text</t>
  </si>
  <si>
    <t>supplementary material</t>
  </si>
  <si>
    <t>source data</t>
  </si>
  <si>
    <t>data_source</t>
  </si>
  <si>
    <t>fig_table_page_number</t>
  </si>
  <si>
    <t>n_control</t>
  </si>
  <si>
    <t>dispersion_control</t>
  </si>
  <si>
    <t>n_experimental</t>
  </si>
  <si>
    <t>dispersion_experimental</t>
  </si>
  <si>
    <t>dispersion_stats</t>
  </si>
  <si>
    <t>sd</t>
  </si>
  <si>
    <t>se</t>
  </si>
  <si>
    <t>IQ</t>
  </si>
  <si>
    <t>n_correlation</t>
  </si>
  <si>
    <t>success_control</t>
  </si>
  <si>
    <t>success_experimental</t>
  </si>
  <si>
    <t>t</t>
  </si>
  <si>
    <t>df</t>
  </si>
  <si>
    <t>value_control</t>
  </si>
  <si>
    <t>value_experimental</t>
  </si>
  <si>
    <t>mean</t>
  </si>
  <si>
    <t>median</t>
  </si>
  <si>
    <t>value_stats</t>
  </si>
  <si>
    <t>sperm competitiveness</t>
  </si>
  <si>
    <t>nuptial gift</t>
  </si>
  <si>
    <t>both</t>
  </si>
  <si>
    <t>figure_table_referencenumber</t>
  </si>
  <si>
    <t>ejaculate traits</t>
  </si>
  <si>
    <t>experimental_immune_elicitor</t>
  </si>
  <si>
    <t>r2</t>
  </si>
  <si>
    <t>Hymenoptera</t>
  </si>
  <si>
    <t>Coleoptera</t>
  </si>
  <si>
    <t>Diptera</t>
  </si>
  <si>
    <t>Labidomera clivicollis</t>
  </si>
  <si>
    <t>Sexually Transmitted Parasites and Sexual Selection in the Milkweed Leaf Beetle, Labidomera clivicollis</t>
  </si>
  <si>
    <t>Abbot&amp;Dill</t>
  </si>
  <si>
    <t>experiment</t>
  </si>
  <si>
    <t>Table 3</t>
  </si>
  <si>
    <t>Table 2</t>
  </si>
  <si>
    <t xml:space="preserve">Effects of water mites on the damselfly Ceriagrion tenellum </t>
  </si>
  <si>
    <t>Andres&amp;Cordero</t>
  </si>
  <si>
    <t>Table 1</t>
  </si>
  <si>
    <t xml:space="preserve">Table 4 </t>
  </si>
  <si>
    <t>n</t>
  </si>
  <si>
    <t xml:space="preserve">Beyond species recognition: somatic state affects long-distance sex pheromone communication </t>
  </si>
  <si>
    <t>Chemnitz_et_al</t>
  </si>
  <si>
    <t xml:space="preserve">10.1098/rspb.2015.0832 </t>
  </si>
  <si>
    <t>1g</t>
  </si>
  <si>
    <t>2d</t>
  </si>
  <si>
    <t xml:space="preserve">Ectoparasites and mating success of male Enallagma ebrium damselflies (Odonata: Coenagrionidae </t>
  </si>
  <si>
    <t>Forbes</t>
  </si>
  <si>
    <t>Enallagma ebrium</t>
  </si>
  <si>
    <t>paper10</t>
  </si>
  <si>
    <t>1h</t>
  </si>
  <si>
    <t>es10</t>
  </si>
  <si>
    <t>10.2307/3545076</t>
  </si>
  <si>
    <t>es11</t>
  </si>
  <si>
    <t>es12</t>
  </si>
  <si>
    <t>es13</t>
  </si>
  <si>
    <t>es14</t>
  </si>
  <si>
    <t>es15</t>
  </si>
  <si>
    <t>es16</t>
  </si>
  <si>
    <t>es17</t>
  </si>
  <si>
    <t>es26</t>
  </si>
  <si>
    <t>es27</t>
  </si>
  <si>
    <t>es28</t>
  </si>
  <si>
    <t>es29</t>
  </si>
  <si>
    <t>es32</t>
  </si>
  <si>
    <t>es33</t>
  </si>
  <si>
    <t>es34</t>
  </si>
  <si>
    <t>es35</t>
  </si>
  <si>
    <t>es36</t>
  </si>
  <si>
    <t>es37</t>
  </si>
  <si>
    <t>es38</t>
  </si>
  <si>
    <t>es39</t>
  </si>
  <si>
    <t>es40</t>
  </si>
  <si>
    <t>es41</t>
  </si>
  <si>
    <t>es42</t>
  </si>
  <si>
    <t>es43</t>
  </si>
  <si>
    <t>es47</t>
  </si>
  <si>
    <t>es48</t>
  </si>
  <si>
    <t>Wing pigmentation in territorial male damselflies, Calopteryx haemorrhoidalis: a possible relation to sexual selection</t>
  </si>
  <si>
    <t>Córdoba-Aguilar</t>
  </si>
  <si>
    <t>Amphipoda</t>
  </si>
  <si>
    <t xml:space="preserve">10.1006/anbe.2001.1974 </t>
  </si>
  <si>
    <t>es49</t>
  </si>
  <si>
    <t>es50</t>
  </si>
  <si>
    <t>es51</t>
  </si>
  <si>
    <t xml:space="preserve">The effects of two acanthocephalan parasites, Pomphorhynchus laevis and Polmorphus minutus, on pairing success in male Gammarus pulex (Crustacea: Amphipoda) </t>
  </si>
  <si>
    <t>Bollache_et_al</t>
  </si>
  <si>
    <t xml:space="preserve">10. 1007/s002650000300 </t>
  </si>
  <si>
    <t>Gammarus pulex</t>
  </si>
  <si>
    <t>Fig. 3</t>
  </si>
  <si>
    <t>Table</t>
  </si>
  <si>
    <t>Table 5</t>
  </si>
  <si>
    <t xml:space="preserve">The costs of the immune memory within generations </t>
  </si>
  <si>
    <t>Contreras_Garduno_et_al</t>
  </si>
  <si>
    <t xml:space="preserve">10.1007/s00114-019-1657-2 </t>
  </si>
  <si>
    <t>Immune melanization ability and male territorial status in Erythemis vesiculosa (Fabricius) (Anisoptera: Libellulidae)</t>
  </si>
  <si>
    <t>Cordoba-Aguilar</t>
  </si>
  <si>
    <t>Erythemis vesiculosa</t>
  </si>
  <si>
    <t xml:space="preserve">Interaction Between Gammarinema gammari (Nematoda), Microphallus papillorobustus (Trematoda) and Their Common Host Gammarus insensibilis (Amphipoda) </t>
  </si>
  <si>
    <t>Fauchier&amp;Thomas</t>
  </si>
  <si>
    <t xml:space="preserve">10.1645/0022- 3395(2001)087[1479:IBGGNM]2.0.CO;2 </t>
  </si>
  <si>
    <t xml:space="preserve">Immune system activation affects male sexual signal and reproductive potential in crickets </t>
  </si>
  <si>
    <t>Fedorka&amp;Mosseau</t>
  </si>
  <si>
    <t xml:space="preserve">10.1093/beheco/arl067 </t>
  </si>
  <si>
    <t xml:space="preserve">Pairing success and sperm reserve of male Gammarus pulex infected by Cyathocephalus truncatus (Cestoda: Spathebothriidea) </t>
  </si>
  <si>
    <t xml:space="preserve">10.1017/S0031182011001247 </t>
  </si>
  <si>
    <t>Galipaud_et_al</t>
  </si>
  <si>
    <t>1431-2</t>
  </si>
  <si>
    <t>Parasitism and Male Mating Success in Drosophila testacea</t>
  </si>
  <si>
    <t>Jaenike_et_al</t>
  </si>
  <si>
    <t>Drosophila testacea</t>
  </si>
  <si>
    <t xml:space="preserve">Nosema ceranae, Fipronil and their combination compromise honey bee reproduction via changes in male physiology </t>
  </si>
  <si>
    <t>Kairo_et_al</t>
  </si>
  <si>
    <t>2c</t>
  </si>
  <si>
    <t>paper01</t>
  </si>
  <si>
    <t>paper02</t>
  </si>
  <si>
    <t>paper04</t>
  </si>
  <si>
    <t>paper05</t>
  </si>
  <si>
    <t>paper06</t>
  </si>
  <si>
    <t>paper07</t>
  </si>
  <si>
    <t>paper09</t>
  </si>
  <si>
    <t>paper11</t>
  </si>
  <si>
    <t>paper12</t>
  </si>
  <si>
    <t>paper13</t>
  </si>
  <si>
    <t>paper14</t>
  </si>
  <si>
    <t>paper15</t>
  </si>
  <si>
    <t>es01</t>
  </si>
  <si>
    <t>es02</t>
  </si>
  <si>
    <t>es03</t>
  </si>
  <si>
    <t>es06</t>
  </si>
  <si>
    <t>es07</t>
  </si>
  <si>
    <t>es08</t>
  </si>
  <si>
    <t>es09</t>
  </si>
  <si>
    <t>es52</t>
  </si>
  <si>
    <t>es53</t>
  </si>
  <si>
    <t>es54</t>
  </si>
  <si>
    <t>es55</t>
  </si>
  <si>
    <t>es56</t>
  </si>
  <si>
    <t>es57</t>
  </si>
  <si>
    <t>es58</t>
  </si>
  <si>
    <t>es59</t>
  </si>
  <si>
    <t>es60</t>
  </si>
  <si>
    <t>es61</t>
  </si>
  <si>
    <t>es62</t>
  </si>
  <si>
    <t>es63</t>
  </si>
  <si>
    <t>es64</t>
  </si>
  <si>
    <t>es65</t>
  </si>
  <si>
    <t>es67</t>
  </si>
  <si>
    <t>es68</t>
  </si>
  <si>
    <t>es69</t>
  </si>
  <si>
    <t>es70</t>
  </si>
  <si>
    <t>es71</t>
  </si>
  <si>
    <t>es72</t>
  </si>
  <si>
    <t>es73</t>
  </si>
  <si>
    <t>es74</t>
  </si>
  <si>
    <t>es75</t>
  </si>
  <si>
    <t>es76</t>
  </si>
  <si>
    <t>es77</t>
  </si>
  <si>
    <t>statistics_type</t>
  </si>
  <si>
    <t>descriptive</t>
  </si>
  <si>
    <t>inferential</t>
  </si>
  <si>
    <t>immune_response_type</t>
  </si>
  <si>
    <t>study01</t>
  </si>
  <si>
    <t>study02</t>
  </si>
  <si>
    <t>study03</t>
  </si>
  <si>
    <t>study04</t>
  </si>
  <si>
    <t>study05</t>
  </si>
  <si>
    <t>study06</t>
  </si>
  <si>
    <t>negative</t>
  </si>
  <si>
    <t>Fig. 1a</t>
  </si>
  <si>
    <t>Fig. 1b</t>
  </si>
  <si>
    <t>10.1038/s41598-017-08380-5</t>
  </si>
  <si>
    <t>Simmons</t>
  </si>
  <si>
    <t>paper16</t>
  </si>
  <si>
    <t xml:space="preserve">Post-copulatory guarding, female choice and the levels of gregarine infections in the field cricket, Gryllus bimaculatus </t>
  </si>
  <si>
    <t>es78</t>
  </si>
  <si>
    <t>Gryllus bimaculatus</t>
  </si>
  <si>
    <t xml:space="preserve">Some constraints on reproduction for male bushcrickets, Requena verticalis(Orthoptera: Tettigoniidae): diet, size and parasite load </t>
  </si>
  <si>
    <t>paper17</t>
  </si>
  <si>
    <t>es79</t>
  </si>
  <si>
    <t>Requena verticalis</t>
  </si>
  <si>
    <t>Courtship role reversal in bush crickets: another role for parasites?</t>
  </si>
  <si>
    <t>paper18</t>
  </si>
  <si>
    <t>es80</t>
  </si>
  <si>
    <t>es81</t>
  </si>
  <si>
    <t>es82</t>
  </si>
  <si>
    <t>es83</t>
  </si>
  <si>
    <t>es84</t>
  </si>
  <si>
    <t>es85</t>
  </si>
  <si>
    <t>es86</t>
  </si>
  <si>
    <t>es87</t>
  </si>
  <si>
    <t>es88</t>
  </si>
  <si>
    <t>es89</t>
  </si>
  <si>
    <t>Fig5</t>
  </si>
  <si>
    <t>paper19</t>
  </si>
  <si>
    <t>es90</t>
  </si>
  <si>
    <t>es91</t>
  </si>
  <si>
    <t>es92</t>
  </si>
  <si>
    <t>es94</t>
  </si>
  <si>
    <t>es95</t>
  </si>
  <si>
    <t>es96</t>
  </si>
  <si>
    <t>es97</t>
  </si>
  <si>
    <t>es98</t>
  </si>
  <si>
    <t>es99</t>
  </si>
  <si>
    <t>es100</t>
  </si>
  <si>
    <t>es101</t>
  </si>
  <si>
    <t>es102</t>
  </si>
  <si>
    <t>es103</t>
  </si>
  <si>
    <t>es104</t>
  </si>
  <si>
    <t>es105</t>
  </si>
  <si>
    <t>es106</t>
  </si>
  <si>
    <t>es107</t>
  </si>
  <si>
    <t>es108</t>
  </si>
  <si>
    <t>es109</t>
  </si>
  <si>
    <t>es110</t>
  </si>
  <si>
    <t>es111</t>
  </si>
  <si>
    <t>es112</t>
  </si>
  <si>
    <t>es115</t>
  </si>
  <si>
    <t>es116</t>
  </si>
  <si>
    <t>es117</t>
  </si>
  <si>
    <t xml:space="preserve">Assortative pairing by parasitic prevalence in Gammarus insensibilis (Amphipoda): patterns and processes </t>
  </si>
  <si>
    <t>Thomas_et_al</t>
  </si>
  <si>
    <t>study10</t>
  </si>
  <si>
    <t>study11</t>
  </si>
  <si>
    <t>study12</t>
  </si>
  <si>
    <t>study13</t>
  </si>
  <si>
    <t>study14</t>
  </si>
  <si>
    <t>study16</t>
  </si>
  <si>
    <t>study17</t>
  </si>
  <si>
    <t>study18</t>
  </si>
  <si>
    <t>study19</t>
  </si>
  <si>
    <t>study20</t>
  </si>
  <si>
    <t>study21</t>
  </si>
  <si>
    <t>study22</t>
  </si>
  <si>
    <t>study23</t>
  </si>
  <si>
    <t>study24</t>
  </si>
  <si>
    <t>study26</t>
  </si>
  <si>
    <t>study27</t>
  </si>
  <si>
    <t>study28</t>
  </si>
  <si>
    <t>study29</t>
  </si>
  <si>
    <t>study30</t>
  </si>
  <si>
    <t>study31</t>
  </si>
  <si>
    <t>study32</t>
  </si>
  <si>
    <t>study33</t>
  </si>
  <si>
    <t>study34</t>
  </si>
  <si>
    <t>Parasitoid Infection and Sexual Selection in the Beetle Timarcha maritima Perris (Coleoptera: Chrysomelidae)</t>
  </si>
  <si>
    <t>paper20</t>
  </si>
  <si>
    <t>study35</t>
  </si>
  <si>
    <t>Timarcha maritima</t>
  </si>
  <si>
    <t>Assortative pairing with respect to parasite load in the beetle Timarcha maritima (Chrysomelidae)</t>
  </si>
  <si>
    <t>paper21</t>
  </si>
  <si>
    <t>study36</t>
  </si>
  <si>
    <t>Influence of Microphallus hoffmanni (Trematoda, Microphallidae) on the survival, sexual selection, and fecundity of Gammarus aequicauda (Amphipoda)</t>
  </si>
  <si>
    <t>paper22</t>
  </si>
  <si>
    <t>study37</t>
  </si>
  <si>
    <t>Gammarus aequicauda</t>
  </si>
  <si>
    <t>Fighting while Parasitized: Can Nematode Infections Affect the Outcome of Staged Combat in Beetles?</t>
  </si>
  <si>
    <t>Vasquez_et_al</t>
  </si>
  <si>
    <t>paper23</t>
  </si>
  <si>
    <t>study38</t>
  </si>
  <si>
    <t xml:space="preserve">Effect of immune challenge on aggressive behaviour: how to fight two battles at once </t>
  </si>
  <si>
    <t>Adamo_et_al</t>
  </si>
  <si>
    <t>paper24</t>
  </si>
  <si>
    <t>study39</t>
  </si>
  <si>
    <t>Fig 1</t>
  </si>
  <si>
    <t>study40</t>
  </si>
  <si>
    <t xml:space="preserve">A trade-off between sexual signalling and immune function in a natural population of the drumming wolf spider Hygrolycosa rubrofasciata </t>
  </si>
  <si>
    <t>paper25</t>
  </si>
  <si>
    <t>study41</t>
  </si>
  <si>
    <t>Fig 2</t>
  </si>
  <si>
    <t xml:space="preserve">Female spotted cucumber beetles use own cuticular hydrocarbon signature to choose immunocompatible mates </t>
  </si>
  <si>
    <t>paper26</t>
  </si>
  <si>
    <t>study42</t>
  </si>
  <si>
    <t>Ali&amp;Tallamy</t>
  </si>
  <si>
    <t>When do trade-offs occur? The roles of evnerg10.1111/jeb.13221y constraints and trait flexibility in bushcricket populations</t>
  </si>
  <si>
    <t>Barbosa_et_al</t>
  </si>
  <si>
    <t xml:space="preserve">10.1111/jeb.13221 </t>
  </si>
  <si>
    <t>paper28</t>
  </si>
  <si>
    <t>study44</t>
  </si>
  <si>
    <t>study45</t>
  </si>
  <si>
    <t>study46</t>
  </si>
  <si>
    <t>study47</t>
  </si>
  <si>
    <t>study48</t>
  </si>
  <si>
    <t>study49</t>
  </si>
  <si>
    <t>study50</t>
  </si>
  <si>
    <t>study51</t>
  </si>
  <si>
    <t>es118</t>
  </si>
  <si>
    <t>es119</t>
  </si>
  <si>
    <t>es120</t>
  </si>
  <si>
    <t>es121</t>
  </si>
  <si>
    <t>es122</t>
  </si>
  <si>
    <t>es123</t>
  </si>
  <si>
    <t>es124</t>
  </si>
  <si>
    <t>es125</t>
  </si>
  <si>
    <t>es126</t>
  </si>
  <si>
    <t>es127</t>
  </si>
  <si>
    <t>es128</t>
  </si>
  <si>
    <t>es129</t>
  </si>
  <si>
    <t>es130</t>
  </si>
  <si>
    <t>es131</t>
  </si>
  <si>
    <t>es132</t>
  </si>
  <si>
    <t>es133</t>
  </si>
  <si>
    <t>es134</t>
  </si>
  <si>
    <t>es135</t>
  </si>
  <si>
    <t>paper29</t>
  </si>
  <si>
    <t>study52</t>
  </si>
  <si>
    <t>study53</t>
  </si>
  <si>
    <t>study54</t>
  </si>
  <si>
    <t>study55</t>
  </si>
  <si>
    <t>study56</t>
  </si>
  <si>
    <t>study57</t>
  </si>
  <si>
    <t>study58</t>
  </si>
  <si>
    <t xml:space="preserve">A link between heritable parasite resistance and mate choice in dung beetles </t>
  </si>
  <si>
    <t>Buzatto_et_al</t>
  </si>
  <si>
    <t xml:space="preserve">10.1093/beheco/arz089 </t>
  </si>
  <si>
    <t>study59</t>
  </si>
  <si>
    <t>parasite resistance</t>
  </si>
  <si>
    <t>Supplementary material</t>
  </si>
  <si>
    <t>Immunity and reproduction during colony foundation in the dampwood termite, Zootermopsis angusticollis</t>
  </si>
  <si>
    <t>Calleri II_et_al</t>
  </si>
  <si>
    <t xml:space="preserve">10.1111/j.1365-3032.2007.00559.x </t>
  </si>
  <si>
    <t>paper30</t>
  </si>
  <si>
    <t xml:space="preserve">	Blattodea</t>
  </si>
  <si>
    <t>paper31</t>
  </si>
  <si>
    <t>es138</t>
  </si>
  <si>
    <t xml:space="preserve">The expression of a sexually selected trait correlates with different immune defense components and survival in males of the American rubyspot </t>
  </si>
  <si>
    <t>Contreras-Garduno_et_al</t>
  </si>
  <si>
    <t xml:space="preserve">10.1016/j.jinsphys.2007.03.003 </t>
  </si>
  <si>
    <t>es139</t>
  </si>
  <si>
    <t>es140</t>
  </si>
  <si>
    <t>es141</t>
  </si>
  <si>
    <t>es142</t>
  </si>
  <si>
    <t>es143</t>
  </si>
  <si>
    <t>es144</t>
  </si>
  <si>
    <t>es145</t>
  </si>
  <si>
    <t>es146</t>
  </si>
  <si>
    <t>es147</t>
  </si>
  <si>
    <t>es148</t>
  </si>
  <si>
    <t>es149</t>
  </si>
  <si>
    <t>es150</t>
  </si>
  <si>
    <t>es151</t>
  </si>
  <si>
    <t>es152</t>
  </si>
  <si>
    <t>es153</t>
  </si>
  <si>
    <t>hydrolitic enzyme</t>
  </si>
  <si>
    <t>Figure</t>
  </si>
  <si>
    <t>Variation in sex pheromone emission does not reflect immunocompetence but affects attractiveness of male burying beetles—a combination of laboratory and field experiments</t>
  </si>
  <si>
    <t xml:space="preserve">10.1007/s00114-017-1473-5 </t>
  </si>
  <si>
    <t>paper32</t>
  </si>
  <si>
    <t>es154</t>
  </si>
  <si>
    <t>es155</t>
  </si>
  <si>
    <t>es156</t>
  </si>
  <si>
    <t>es157</t>
  </si>
  <si>
    <t>es158</t>
  </si>
  <si>
    <t>es159</t>
  </si>
  <si>
    <t>es160</t>
  </si>
  <si>
    <t>es161</t>
  </si>
  <si>
    <t>es162</t>
  </si>
  <si>
    <t>es163</t>
  </si>
  <si>
    <t>es164</t>
  </si>
  <si>
    <t>es165</t>
  </si>
  <si>
    <t>es166</t>
  </si>
  <si>
    <t>Supplementary</t>
  </si>
  <si>
    <t>paper33</t>
  </si>
  <si>
    <t xml:space="preserve">The influence of male age and simulated pathogenic infection on producing a dishonest sexual signal </t>
  </si>
  <si>
    <t>Copeland_at_al</t>
  </si>
  <si>
    <t xml:space="preserve">10.1098/rspb.2012.1914 </t>
  </si>
  <si>
    <t>es167</t>
  </si>
  <si>
    <t>Excel</t>
  </si>
  <si>
    <t xml:space="preserve">Male morph predicts investment in larval immune function in the dung beetle, Onthophagus taurus </t>
  </si>
  <si>
    <t>Cotter_et_al</t>
  </si>
  <si>
    <t xml:space="preserve">10.1093/beheco/arm137 </t>
  </si>
  <si>
    <t xml:space="preserve">Sex, War, and Disease: The Role of Parasite Infection on Weapon Development and Mating Success in a Horned Beetle (Gnatocerus cornutus) </t>
  </si>
  <si>
    <t>Demuth_et_al</t>
  </si>
  <si>
    <t xml:space="preserve">10.1371/journal.pone.0028690 </t>
  </si>
  <si>
    <t>paper34</t>
  </si>
  <si>
    <t>es168</t>
  </si>
  <si>
    <t>paper35</t>
  </si>
  <si>
    <t xml:space="preserve">IMMUNE SUPPRESSION AND THE COST OF REPRODUCTION IN THE GROUND CRICKET, ALLONEMOBIUS SOCIUS </t>
  </si>
  <si>
    <t>Fedorka_et_al</t>
  </si>
  <si>
    <t>Allonemobius socius</t>
  </si>
  <si>
    <t xml:space="preserve">Give ‘til it hurts: trade-offs between immunity and male reproductive effort in the decorated cricket, Gryllodes sigillatus </t>
  </si>
  <si>
    <t>Gershman_et_al</t>
  </si>
  <si>
    <t>10.1111/j.1420-9101.2010.01951.x</t>
  </si>
  <si>
    <t>paper38</t>
  </si>
  <si>
    <t>study60</t>
  </si>
  <si>
    <t>es189</t>
  </si>
  <si>
    <t>Gryllodes sigillatus</t>
  </si>
  <si>
    <t xml:space="preserve">Sex-specific differences in immunological costs of multiple mating in Gryllus vocalis field crickets </t>
  </si>
  <si>
    <t>Gershman</t>
  </si>
  <si>
    <t xml:space="preserve">10.1093/beheco/arn040 </t>
  </si>
  <si>
    <t>paper39</t>
  </si>
  <si>
    <t>study62</t>
  </si>
  <si>
    <t>es196</t>
  </si>
  <si>
    <t>es197</t>
  </si>
  <si>
    <t>es198</t>
  </si>
  <si>
    <t>es199</t>
  </si>
  <si>
    <t>es200</t>
  </si>
  <si>
    <t>es201</t>
  </si>
  <si>
    <t>es202</t>
  </si>
  <si>
    <t xml:space="preserve">Gender-related variations in hemolymph parameters of Carabus lefebvrei (Coleoptera: Carabidae): HPLC analysis and phenoloxidase activity </t>
  </si>
  <si>
    <t>Giglio_et_al</t>
  </si>
  <si>
    <t>paper40</t>
  </si>
  <si>
    <t>study63</t>
  </si>
  <si>
    <t>es203</t>
  </si>
  <si>
    <t>es204</t>
  </si>
  <si>
    <t>es205</t>
  </si>
  <si>
    <t>es206</t>
  </si>
  <si>
    <t>es207</t>
  </si>
  <si>
    <t>es208</t>
  </si>
  <si>
    <t>es209</t>
  </si>
  <si>
    <t>Courtship and male ornaments as honest indicators of immune function</t>
  </si>
  <si>
    <t>Gilbert&amp;Uetz</t>
  </si>
  <si>
    <t xml:space="preserve">10.1016/j.anbehav.2016.04.013 </t>
  </si>
  <si>
    <t>paper41</t>
  </si>
  <si>
    <t>study64</t>
  </si>
  <si>
    <t>paper42</t>
  </si>
  <si>
    <t>study65</t>
  </si>
  <si>
    <t xml:space="preserve">Phenoloxidase activity and melanization do not always covary with sexual trait expression in Hetaerina damselflies (Insecta: Calopterygidae) </t>
  </si>
  <si>
    <t xml:space="preserve">González-Santoyo </t>
  </si>
  <si>
    <t>10.1163/000579510X516777</t>
  </si>
  <si>
    <t>Hetaerina americana</t>
  </si>
  <si>
    <t>es210</t>
  </si>
  <si>
    <t>es211</t>
  </si>
  <si>
    <t>es212</t>
  </si>
  <si>
    <t>es213</t>
  </si>
  <si>
    <t>es214</t>
  </si>
  <si>
    <t>es215</t>
  </si>
  <si>
    <t>es216</t>
  </si>
  <si>
    <t>es217</t>
  </si>
  <si>
    <t>study66</t>
  </si>
  <si>
    <t>study67</t>
  </si>
  <si>
    <t>study68</t>
  </si>
  <si>
    <t>study69</t>
  </si>
  <si>
    <t>study70</t>
  </si>
  <si>
    <t>study71</t>
  </si>
  <si>
    <t>study72</t>
  </si>
  <si>
    <t>study73</t>
  </si>
  <si>
    <t>study74</t>
  </si>
  <si>
    <t>study75</t>
  </si>
  <si>
    <t>k</t>
  </si>
  <si>
    <t xml:space="preserve">Infection effects on feeding and territorial behaviour in a predatory insect in the wild </t>
  </si>
  <si>
    <t>González-Tokman_et_al</t>
  </si>
  <si>
    <t>10.1016/j.anbehav.2011.02.027</t>
  </si>
  <si>
    <t>paper43</t>
  </si>
  <si>
    <t>study78</t>
  </si>
  <si>
    <t>es222</t>
  </si>
  <si>
    <t>es223</t>
  </si>
  <si>
    <t>es224</t>
  </si>
  <si>
    <t>es225</t>
  </si>
  <si>
    <t>es226</t>
  </si>
  <si>
    <t>es227</t>
  </si>
  <si>
    <t>es228</t>
  </si>
  <si>
    <t>es229</t>
  </si>
  <si>
    <t>es230</t>
  </si>
  <si>
    <t>Gupta_et_al</t>
  </si>
  <si>
    <t xml:space="preserve">Sexual activity increases resistance against Pseudomonas entomophila in male Drosophila melanogaster </t>
  </si>
  <si>
    <t>es232</t>
  </si>
  <si>
    <t>es234</t>
  </si>
  <si>
    <t>Drosophila melanogaster</t>
  </si>
  <si>
    <t>10.1186/1471-2148-13-185</t>
  </si>
  <si>
    <t>Tribolium castaneum</t>
  </si>
  <si>
    <t xml:space="preserve">Mating status, immune defence, and multi-parasite burden in the damselfly Coenagrion armatum </t>
  </si>
  <si>
    <t>Honkavaara_et_al</t>
  </si>
  <si>
    <t xml:space="preserve">10.1111/j.1570-7458.2009.00877.x </t>
  </si>
  <si>
    <t>paper45</t>
  </si>
  <si>
    <t>study80</t>
  </si>
  <si>
    <t xml:space="preserve">10.1554/03-660 </t>
  </si>
  <si>
    <t>Jacot_et_al</t>
  </si>
  <si>
    <t>paper46</t>
  </si>
  <si>
    <t>study81</t>
  </si>
  <si>
    <t>Gryllus campestris</t>
  </si>
  <si>
    <t>Costs of an induced immune response on sexual display and longevity in field crickets</t>
  </si>
  <si>
    <t>es237</t>
  </si>
  <si>
    <t>es238</t>
  </si>
  <si>
    <t>2b</t>
  </si>
  <si>
    <t>es239</t>
  </si>
  <si>
    <t>es240</t>
  </si>
  <si>
    <t>Fat and sassy: factors underlying male mating success in a butterfly</t>
  </si>
  <si>
    <t>Kehl_et_al</t>
  </si>
  <si>
    <t xml:space="preserve">10.1111/eea.12305 </t>
  </si>
  <si>
    <t>paper47</t>
  </si>
  <si>
    <t>study82</t>
  </si>
  <si>
    <t>Lepidoptera</t>
  </si>
  <si>
    <t xml:space="preserve">Sexually dimorphic immune response in the harem polygynous Wellington tree weta Hemideina crassidens </t>
  </si>
  <si>
    <t>Kelly_et_al</t>
  </si>
  <si>
    <t xml:space="preserve">10.1111/j.1365-3032.2009.00671.x </t>
  </si>
  <si>
    <t>paper48</t>
  </si>
  <si>
    <t>study83</t>
  </si>
  <si>
    <t>es241</t>
  </si>
  <si>
    <t>es242</t>
  </si>
  <si>
    <t>es243</t>
  </si>
  <si>
    <t>es244</t>
  </si>
  <si>
    <t>es245</t>
  </si>
  <si>
    <t>es246</t>
  </si>
  <si>
    <t>Effect of an immune challenge on the functional performance of male weaponry</t>
  </si>
  <si>
    <t xml:space="preserve">10.1016/j.beproc.2014.11.001 </t>
  </si>
  <si>
    <t>paper49</t>
  </si>
  <si>
    <t>study84</t>
  </si>
  <si>
    <t xml:space="preserve">Experimentally induced spermatophore production and immune responses reveal a trade-off in crickets </t>
  </si>
  <si>
    <t>Kerr_et_al</t>
  </si>
  <si>
    <t xml:space="preserve">10.1093/beheco/arq035 </t>
  </si>
  <si>
    <t>paper50</t>
  </si>
  <si>
    <t>study85</t>
  </si>
  <si>
    <t>es247</t>
  </si>
  <si>
    <t>es248</t>
  </si>
  <si>
    <t>es249</t>
  </si>
  <si>
    <t>3a</t>
  </si>
  <si>
    <t>3b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</si>
  <si>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</si>
  <si>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</si>
  <si>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</si>
  <si>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</si>
  <si>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</si>
  <si>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</si>
  <si>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</si>
  <si>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</si>
  <si>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es258</t>
  </si>
  <si>
    <t xml:space="preserve">Age-dependent trade-offs between immunity and male, but not female, reproduction </t>
  </si>
  <si>
    <t>McNamara_et_al</t>
  </si>
  <si>
    <t xml:space="preserve">10.1111/j.1365-2656.2012.02018.x </t>
  </si>
  <si>
    <t>paper51</t>
  </si>
  <si>
    <t>study86</t>
  </si>
  <si>
    <t>Helicoverpa armigera</t>
  </si>
  <si>
    <t>my notes</t>
  </si>
  <si>
    <t xml:space="preserve">Evaluating the costs of a sexually selected weapon: big horns at a small price </t>
  </si>
  <si>
    <t>McCullough_et_al</t>
  </si>
  <si>
    <t>10.1016/j.anbehav.2013.08.017</t>
  </si>
  <si>
    <t>paper52</t>
  </si>
  <si>
    <t>study87</t>
  </si>
  <si>
    <t>es259</t>
  </si>
  <si>
    <t>es260</t>
  </si>
  <si>
    <t>es261</t>
  </si>
  <si>
    <t>es262</t>
  </si>
  <si>
    <t>es263</t>
  </si>
  <si>
    <t xml:space="preserve">10.1038/s41598-017-08339-6 </t>
  </si>
  <si>
    <t>paper53</t>
  </si>
  <si>
    <t>study88</t>
  </si>
  <si>
    <t>es264</t>
  </si>
  <si>
    <t>es265</t>
  </si>
  <si>
    <t>es266</t>
  </si>
  <si>
    <t>es267</t>
  </si>
  <si>
    <t>es268</t>
  </si>
  <si>
    <t>es269</t>
  </si>
  <si>
    <t>es270</t>
  </si>
  <si>
    <t>es271</t>
  </si>
  <si>
    <t xml:space="preserve">Male mealworm beetles increase resting metabolic rate under terminal investment </t>
  </si>
  <si>
    <t>Krams_et_al</t>
  </si>
  <si>
    <t xml:space="preserve">10.1111/jeb.12318 </t>
  </si>
  <si>
    <t>study89</t>
  </si>
  <si>
    <t xml:space="preserve">Reproduction is costly in an infected aquatic insect </t>
  </si>
  <si>
    <t>10.1080/03949370.2015.1089943</t>
  </si>
  <si>
    <t>paper54</t>
  </si>
  <si>
    <t>study90</t>
  </si>
  <si>
    <t xml:space="preserve">Reproductive status of Tribolium castaneum (Coleoptera: Tenebrionidae) affects its response to infection by Steinernema feltiae (Rhabditida: Steinernematidae) </t>
  </si>
  <si>
    <t>Kramarz_et_al</t>
  </si>
  <si>
    <t xml:space="preserve">10.14411/eje.2016.039 </t>
  </si>
  <si>
    <t>paper55</t>
  </si>
  <si>
    <t>study91</t>
  </si>
  <si>
    <t xml:space="preserve">Lovesick: immunological costs of mating to male sagebrush crickets </t>
  </si>
  <si>
    <t>Leman_et_al</t>
  </si>
  <si>
    <t xml:space="preserve">10.1111/j.1420-9101.2008.01636.x </t>
  </si>
  <si>
    <t>paper56</t>
  </si>
  <si>
    <t>study92</t>
  </si>
  <si>
    <t>es273</t>
  </si>
  <si>
    <t>es274</t>
  </si>
  <si>
    <t>es275</t>
  </si>
  <si>
    <t>es276</t>
  </si>
  <si>
    <t>es277</t>
  </si>
  <si>
    <t>study93</t>
  </si>
  <si>
    <t>study94</t>
  </si>
  <si>
    <t>study95</t>
  </si>
  <si>
    <t>McKean&amp;Nunney</t>
  </si>
  <si>
    <t>bacterial load</t>
  </si>
  <si>
    <t xml:space="preserve">Intrasexual selection favours an immune-correlated colour ornament in a dragonfly </t>
  </si>
  <si>
    <t>Moore&amp;Martin</t>
  </si>
  <si>
    <t xml:space="preserve">10.1111/jeb.12953 </t>
  </si>
  <si>
    <t>paper58</t>
  </si>
  <si>
    <t>study97</t>
  </si>
  <si>
    <t>Dryad</t>
  </si>
  <si>
    <t>es278</t>
  </si>
  <si>
    <t>es279</t>
  </si>
  <si>
    <t xml:space="preserve">Terminal investment in multiple sexual signals: immune-challenged males produce more attractive pheromones  </t>
  </si>
  <si>
    <t xml:space="preserve">10.1111/j.1365-2435.2011.01914.x </t>
  </si>
  <si>
    <t>paper59</t>
  </si>
  <si>
    <t>study98</t>
  </si>
  <si>
    <t xml:space="preserve">Transgenerational plasticity following a dual pathogen and stress challenge in fruit flies </t>
  </si>
  <si>
    <t>Nystrand_et_al</t>
  </si>
  <si>
    <t xml:space="preserve">10.1186/s12862-016-0737-6 </t>
  </si>
  <si>
    <t>paper60</t>
  </si>
  <si>
    <t>study99</t>
  </si>
  <si>
    <t>es280</t>
  </si>
  <si>
    <t>es281</t>
  </si>
  <si>
    <t>reproductive output</t>
  </si>
  <si>
    <t>paper61</t>
  </si>
  <si>
    <t>study100</t>
  </si>
  <si>
    <t xml:space="preserve">Immune activation decreases sperm viability in both sexes and influences </t>
  </si>
  <si>
    <t>Radhakrishnan_et_al</t>
  </si>
  <si>
    <t xml:space="preserve">10.1098/rspb.2012.0654 </t>
  </si>
  <si>
    <t xml:space="preserve">Immunity and the expression of a secondary sexual trait in a horned beetle </t>
  </si>
  <si>
    <t>Pomfret&amp;Knell</t>
  </si>
  <si>
    <t xml:space="preserve">10.1093/beheco/arj050 </t>
  </si>
  <si>
    <t>paper62</t>
  </si>
  <si>
    <t>study101</t>
  </si>
  <si>
    <t xml:space="preserve">Do pheromones reveal male immunocompetence? </t>
  </si>
  <si>
    <t>Rantala_et_al</t>
  </si>
  <si>
    <t xml:space="preserve">10.1098/rspb.2002.2056 </t>
  </si>
  <si>
    <t>paper63</t>
  </si>
  <si>
    <t>study102</t>
  </si>
  <si>
    <t>es282</t>
  </si>
  <si>
    <t>es283</t>
  </si>
  <si>
    <t xml:space="preserve">Male dominance and immunocompetence in a field cricket </t>
  </si>
  <si>
    <t>Rantala&amp;Kortet</t>
  </si>
  <si>
    <t xml:space="preserve">10.1093/beheco/arg103 </t>
  </si>
  <si>
    <t>paper64</t>
  </si>
  <si>
    <t>study103</t>
  </si>
  <si>
    <t>es284</t>
  </si>
  <si>
    <t>es285</t>
  </si>
  <si>
    <t>1a</t>
  </si>
  <si>
    <t>1b</t>
  </si>
  <si>
    <t>paper65</t>
  </si>
  <si>
    <t xml:space="preserve">Male calling song provides a reliable signal of immune function in a cricket </t>
  </si>
  <si>
    <t>Ryder&amp;Siva-Jothy</t>
  </si>
  <si>
    <t>paper66</t>
  </si>
  <si>
    <t>study105</t>
  </si>
  <si>
    <t>es290</t>
  </si>
  <si>
    <t>Acheta domesticus</t>
  </si>
  <si>
    <t xml:space="preserve">Contest dynamics for food and reproductive resources are defined by health condition in a dung beetle </t>
  </si>
  <si>
    <t>Salomao_et_al</t>
  </si>
  <si>
    <t xml:space="preserve">10.1111/eth.12858 </t>
  </si>
  <si>
    <t>Canthon cyanelllus</t>
  </si>
  <si>
    <t xml:space="preserve">Humoral immunocompetence shifts in response to developmental stage change and mating access in Bactrocera dorsalis Hendel (Diptera: Tephritidae) </t>
  </si>
  <si>
    <t>Shi_et_al</t>
  </si>
  <si>
    <t xml:space="preserve">10.1017/S0007485314000911 </t>
  </si>
  <si>
    <t>es291</t>
  </si>
  <si>
    <t>Bacterial immunity traded for sperm viability in male crickets</t>
  </si>
  <si>
    <t>10.1126/science.1114500</t>
  </si>
  <si>
    <t>study106</t>
  </si>
  <si>
    <t>es292</t>
  </si>
  <si>
    <t>study107</t>
  </si>
  <si>
    <t>es293</t>
  </si>
  <si>
    <t>es294</t>
  </si>
  <si>
    <t>es295</t>
  </si>
  <si>
    <t>es296</t>
  </si>
  <si>
    <t xml:space="preserve">Resource allocation trade-off between sperm quality and immunity in the field cricket, Teleogryllus oceanicus </t>
  </si>
  <si>
    <t>Simmons_et_al</t>
  </si>
  <si>
    <t xml:space="preserve">10.1093/beheco/arr170 </t>
  </si>
  <si>
    <t>paper67</t>
  </si>
  <si>
    <t>es298</t>
  </si>
  <si>
    <t>A mechanistic link between parasite resistance and expression of a sexually selected trait in a damselfly</t>
  </si>
  <si>
    <t>Siva-Jothy</t>
  </si>
  <si>
    <t xml:space="preserve">10.1098/rspb.2000.1315 </t>
  </si>
  <si>
    <t>paper68</t>
  </si>
  <si>
    <t>study108</t>
  </si>
  <si>
    <t>paper69</t>
  </si>
  <si>
    <t>study109</t>
  </si>
  <si>
    <t xml:space="preserve">Do male mealworm beetles, Tenebrio molitor, sustain the honesty of pheromone signals under immune challenge? </t>
  </si>
  <si>
    <t>Vainikka_et_al</t>
  </si>
  <si>
    <t xml:space="preserve">10.1007/s10211-007-0031-0 </t>
  </si>
  <si>
    <t>es302</t>
  </si>
  <si>
    <t>es305</t>
  </si>
  <si>
    <t xml:space="preserve">Females prefer noninfected males as mates in the grain beetle Tenebrio molitor: evidence in pre- and postcopulatory behaviours </t>
  </si>
  <si>
    <t>Worden&amp;Parker</t>
  </si>
  <si>
    <t xml:space="preserve">10.1016/j.anbehav.2005.01.023 </t>
  </si>
  <si>
    <t>paper70</t>
  </si>
  <si>
    <t>study110</t>
  </si>
  <si>
    <t>es306</t>
  </si>
  <si>
    <t>es307</t>
  </si>
  <si>
    <t>es308</t>
  </si>
  <si>
    <t>es309</t>
  </si>
  <si>
    <t xml:space="preserve">Sex-biased immunity is driven by relative differences in reproductive investment </t>
  </si>
  <si>
    <t>Vincent&amp;Gwynne</t>
  </si>
  <si>
    <t xml:space="preserve">10.1098/rspb.2014.0333 </t>
  </si>
  <si>
    <t>paper71</t>
  </si>
  <si>
    <t>study111</t>
  </si>
  <si>
    <t>es310</t>
  </si>
  <si>
    <t>es311</t>
  </si>
  <si>
    <t>paper74</t>
  </si>
  <si>
    <t>study115</t>
  </si>
  <si>
    <t>es315</t>
  </si>
  <si>
    <t>es316</t>
  </si>
  <si>
    <t>es317</t>
  </si>
  <si>
    <t>es318</t>
  </si>
  <si>
    <t>es319</t>
  </si>
  <si>
    <t>es320</t>
  </si>
  <si>
    <t>es321</t>
  </si>
  <si>
    <t>es322</t>
  </si>
  <si>
    <t>es323</t>
  </si>
  <si>
    <t>es324</t>
  </si>
  <si>
    <t>es325</t>
  </si>
  <si>
    <t>es326</t>
  </si>
  <si>
    <t>es327</t>
  </si>
  <si>
    <t>es328</t>
  </si>
  <si>
    <t>es329</t>
  </si>
  <si>
    <t>es330</t>
  </si>
  <si>
    <t>es331</t>
  </si>
  <si>
    <t>es332</t>
  </si>
  <si>
    <t>es333</t>
  </si>
  <si>
    <t>es334</t>
  </si>
  <si>
    <t>Simmons&amp;Robert</t>
  </si>
  <si>
    <t>es336</t>
  </si>
  <si>
    <t>es337</t>
  </si>
  <si>
    <t>Condition-Dependent Trade-Off Between Weapon Size and Immunity in Males of the European Earwig</t>
  </si>
  <si>
    <t>Korner_et_al</t>
  </si>
  <si>
    <t>paper75</t>
  </si>
  <si>
    <t>study116</t>
  </si>
  <si>
    <t>es338</t>
  </si>
  <si>
    <t>es339</t>
  </si>
  <si>
    <t>es340</t>
  </si>
  <si>
    <t>es341</t>
  </si>
  <si>
    <t>es342</t>
  </si>
  <si>
    <t>es343</t>
  </si>
  <si>
    <t>es344</t>
  </si>
  <si>
    <t>es345</t>
  </si>
  <si>
    <t>es346</t>
  </si>
  <si>
    <t>es347</t>
  </si>
  <si>
    <t>es348</t>
  </si>
  <si>
    <t xml:space="preserve">THE GENETIC ARCHITECTURE OF IMMUNE DEFENSE AND REPRODUCTION IN MALE BOMBUS TERRESTRIS BUMBLEBEES </t>
  </si>
  <si>
    <t>Wilfert_et_al</t>
  </si>
  <si>
    <t xml:space="preserve">10.1111/j.1558-5646.2007.00079.x </t>
  </si>
  <si>
    <t>paper76</t>
  </si>
  <si>
    <t>study117</t>
  </si>
  <si>
    <t>es349</t>
  </si>
  <si>
    <t>paper77</t>
  </si>
  <si>
    <t>study118</t>
  </si>
  <si>
    <t>es350</t>
  </si>
  <si>
    <t xml:space="preserve">Female preference for male courtship song and its role as a signal of immune function and condition </t>
  </si>
  <si>
    <t>Tregenza_et_al</t>
  </si>
  <si>
    <t xml:space="preserve">10.1016/j.anbehav.2006.01.019 </t>
  </si>
  <si>
    <t>paper78</t>
  </si>
  <si>
    <t>study119</t>
  </si>
  <si>
    <t>es351</t>
  </si>
  <si>
    <t>es352</t>
  </si>
  <si>
    <t xml:space="preserve">Sex differences in immunity and rapid upregulation of immune defence during parental care in the burying beetle, Nicrophorus orbicollis </t>
  </si>
  <si>
    <t>Steiger_et_al</t>
  </si>
  <si>
    <t>10.1111/j.1365-2435.2011.01895.x</t>
  </si>
  <si>
    <t>paper79</t>
  </si>
  <si>
    <t>study120</t>
  </si>
  <si>
    <t>es353</t>
  </si>
  <si>
    <t>es355</t>
  </si>
  <si>
    <t>es357</t>
  </si>
  <si>
    <t>paper80</t>
  </si>
  <si>
    <t>study121</t>
  </si>
  <si>
    <t>es359</t>
  </si>
  <si>
    <t xml:space="preserve">Immunosenescence and the ability to survive bacterial infection in the red flour beetle Tribolium castaneum </t>
  </si>
  <si>
    <t xml:space="preserve">10.1111/1365-2656.12433 </t>
  </si>
  <si>
    <t>paper81</t>
  </si>
  <si>
    <t>study122</t>
  </si>
  <si>
    <t>es360</t>
  </si>
  <si>
    <t>es361</t>
  </si>
  <si>
    <t>es362</t>
  </si>
  <si>
    <t>es363</t>
  </si>
  <si>
    <t>es364</t>
  </si>
  <si>
    <t>es365</t>
  </si>
  <si>
    <t>es366</t>
  </si>
  <si>
    <t>es367</t>
  </si>
  <si>
    <t>es368</t>
  </si>
  <si>
    <t>Khan_et_al</t>
  </si>
  <si>
    <t>paper82</t>
  </si>
  <si>
    <t>study123</t>
  </si>
  <si>
    <t>es369</t>
  </si>
  <si>
    <t>es370</t>
  </si>
  <si>
    <t>es371</t>
  </si>
  <si>
    <t>es372</t>
  </si>
  <si>
    <t>es373</t>
  </si>
  <si>
    <t>es374</t>
  </si>
  <si>
    <t>study124</t>
  </si>
  <si>
    <t>study125</t>
  </si>
  <si>
    <t>colony forming units</t>
  </si>
  <si>
    <t>es375</t>
  </si>
  <si>
    <t>es376</t>
  </si>
  <si>
    <t xml:space="preserve">Terminal investment in the gustatory appeal of nuptial food gifts in crickets </t>
  </si>
  <si>
    <t>Duffield_et_al</t>
  </si>
  <si>
    <t xml:space="preserve">10.1111/jeb.12703 </t>
  </si>
  <si>
    <t>paper83</t>
  </si>
  <si>
    <t xml:space="preserve">Condition-dependence and sexual ornamentation: Effects of immune challenges on a highly sexually dimorphic grasshopper </t>
  </si>
  <si>
    <t>Valverde_et_al</t>
  </si>
  <si>
    <t xml:space="preserve">10.1111/1744-7917.12448 </t>
  </si>
  <si>
    <t>es377</t>
  </si>
  <si>
    <t>S4</t>
  </si>
  <si>
    <t>es378</t>
  </si>
  <si>
    <t>es379</t>
  </si>
  <si>
    <t>es380</t>
  </si>
  <si>
    <t>es381</t>
  </si>
  <si>
    <t>es382</t>
  </si>
  <si>
    <t>es383</t>
  </si>
  <si>
    <t>es384</t>
  </si>
  <si>
    <t>es385</t>
  </si>
  <si>
    <t>es386</t>
  </si>
  <si>
    <t>es387</t>
  </si>
  <si>
    <t>study126</t>
  </si>
  <si>
    <t>es388</t>
  </si>
  <si>
    <t>es389</t>
  </si>
  <si>
    <t>es391</t>
  </si>
  <si>
    <t>es392</t>
  </si>
  <si>
    <t>es393</t>
  </si>
  <si>
    <t>positive</t>
  </si>
  <si>
    <t>reproduction_direction</t>
  </si>
  <si>
    <t>immunity_direction</t>
  </si>
  <si>
    <t xml:space="preserve">10.1645/+43:450022- 3395(2001)087[1479:IBGGNM]2.0.CO;2 </t>
  </si>
  <si>
    <t>experiment1</t>
  </si>
  <si>
    <t>experiment2</t>
  </si>
  <si>
    <t>experiment3</t>
  </si>
  <si>
    <t>experiment4</t>
  </si>
  <si>
    <t>experiment5</t>
  </si>
  <si>
    <t>experiment6</t>
  </si>
  <si>
    <t>experiment7</t>
  </si>
  <si>
    <t>experiment8</t>
  </si>
  <si>
    <t>experiment9</t>
  </si>
  <si>
    <t>experiment13</t>
  </si>
  <si>
    <t>experiment14</t>
  </si>
  <si>
    <t>experiment15</t>
  </si>
  <si>
    <t>experiment16</t>
  </si>
  <si>
    <t>experiment17</t>
  </si>
  <si>
    <t>experiment18</t>
  </si>
  <si>
    <t>experiment19</t>
  </si>
  <si>
    <t>experiment20</t>
  </si>
  <si>
    <t>experiment21</t>
  </si>
  <si>
    <t>experiment25</t>
  </si>
  <si>
    <t>experiment26</t>
  </si>
  <si>
    <t>experiment29</t>
  </si>
  <si>
    <t>experiment30</t>
  </si>
  <si>
    <t>experiment31</t>
  </si>
  <si>
    <t>experiment32</t>
  </si>
  <si>
    <t>experiment33</t>
  </si>
  <si>
    <t>experiment34</t>
  </si>
  <si>
    <t>experiment35</t>
  </si>
  <si>
    <t>experiment37</t>
  </si>
  <si>
    <t>experiment39</t>
  </si>
  <si>
    <t>experiment40</t>
  </si>
  <si>
    <t>experiment41</t>
  </si>
  <si>
    <t>experiment42</t>
  </si>
  <si>
    <t>experiment43</t>
  </si>
  <si>
    <t>experiment44</t>
  </si>
  <si>
    <t>experiment45</t>
  </si>
  <si>
    <t>experiment46</t>
  </si>
  <si>
    <t>experiment47</t>
  </si>
  <si>
    <t>experiment48</t>
  </si>
  <si>
    <t>experiment49</t>
  </si>
  <si>
    <t>experiment50</t>
  </si>
  <si>
    <t>experiment51</t>
  </si>
  <si>
    <t>experiment52</t>
  </si>
  <si>
    <t>experiment53</t>
  </si>
  <si>
    <t>experiment54</t>
  </si>
  <si>
    <t>experiment55</t>
  </si>
  <si>
    <t>experiment56</t>
  </si>
  <si>
    <t>experiment57</t>
  </si>
  <si>
    <t>experiment58</t>
  </si>
  <si>
    <t>experiment59</t>
  </si>
  <si>
    <t>experiment60</t>
  </si>
  <si>
    <t>experiment61</t>
  </si>
  <si>
    <t>experiment62</t>
  </si>
  <si>
    <t>experiment63</t>
  </si>
  <si>
    <t>experiment64</t>
  </si>
  <si>
    <t>experiment65</t>
  </si>
  <si>
    <t>experiment66</t>
  </si>
  <si>
    <t>experiment67</t>
  </si>
  <si>
    <t>experiment68</t>
  </si>
  <si>
    <t>experiment69</t>
  </si>
  <si>
    <t>experiment70</t>
  </si>
  <si>
    <t>experiment71</t>
  </si>
  <si>
    <t>experiment72</t>
  </si>
  <si>
    <t>experiment73</t>
  </si>
  <si>
    <t>experiment74</t>
  </si>
  <si>
    <t>experiment75</t>
  </si>
  <si>
    <t>experiment76</t>
  </si>
  <si>
    <t>experiment77</t>
  </si>
  <si>
    <t>experiment78</t>
  </si>
  <si>
    <t>experiment79</t>
  </si>
  <si>
    <t>experiment80</t>
  </si>
  <si>
    <t>experiment81</t>
  </si>
  <si>
    <t>experiment82</t>
  </si>
  <si>
    <t>experiment83</t>
  </si>
  <si>
    <t>experiment84</t>
  </si>
  <si>
    <t>experiment85</t>
  </si>
  <si>
    <t>experiment86</t>
  </si>
  <si>
    <t>experiment87</t>
  </si>
  <si>
    <t>experiment88</t>
  </si>
  <si>
    <t>experiment89</t>
  </si>
  <si>
    <t>experiment90</t>
  </si>
  <si>
    <t>experiment91</t>
  </si>
  <si>
    <t>experiment92</t>
  </si>
  <si>
    <t>experiment93</t>
  </si>
  <si>
    <t>experiment94</t>
  </si>
  <si>
    <t>experiment95</t>
  </si>
  <si>
    <t>experiment96</t>
  </si>
  <si>
    <t>experiment97</t>
  </si>
  <si>
    <t>experiment98</t>
  </si>
  <si>
    <t>experiment107</t>
  </si>
  <si>
    <t>experiment108</t>
  </si>
  <si>
    <t>experiment109</t>
  </si>
  <si>
    <t>experiment110</t>
  </si>
  <si>
    <t>experiment111</t>
  </si>
  <si>
    <t>experiment112</t>
  </si>
  <si>
    <t>experiment113</t>
  </si>
  <si>
    <t>experiment114</t>
  </si>
  <si>
    <t>experiment115</t>
  </si>
  <si>
    <t>experiment116</t>
  </si>
  <si>
    <t>experiment117</t>
  </si>
  <si>
    <t>experiment118</t>
  </si>
  <si>
    <t>experiment119</t>
  </si>
  <si>
    <t>experiment120</t>
  </si>
  <si>
    <t>experiment121</t>
  </si>
  <si>
    <t>experiment122</t>
  </si>
  <si>
    <t>experiment123</t>
  </si>
  <si>
    <t>experiment124</t>
  </si>
  <si>
    <t>experiment125</t>
  </si>
  <si>
    <t>experiment128</t>
  </si>
  <si>
    <t>experiment131</t>
  </si>
  <si>
    <t>experiment132</t>
  </si>
  <si>
    <t>experiment133</t>
  </si>
  <si>
    <t>experiment134</t>
  </si>
  <si>
    <t>experiment135</t>
  </si>
  <si>
    <t>experiment136</t>
  </si>
  <si>
    <t>experiment137</t>
  </si>
  <si>
    <t>experiment138</t>
  </si>
  <si>
    <t>experiment139</t>
  </si>
  <si>
    <t>experiment140</t>
  </si>
  <si>
    <t>experiment143</t>
  </si>
  <si>
    <t>experiment144</t>
  </si>
  <si>
    <t>experiment145</t>
  </si>
  <si>
    <t>experiment146</t>
  </si>
  <si>
    <t>experiment147</t>
  </si>
  <si>
    <t>experiment148</t>
  </si>
  <si>
    <t>experiment149</t>
  </si>
  <si>
    <t>experiment150</t>
  </si>
  <si>
    <t>experiment151</t>
  </si>
  <si>
    <t>experiment153</t>
  </si>
  <si>
    <t>experiment154</t>
  </si>
  <si>
    <t>experiment155</t>
  </si>
  <si>
    <t>experiment156</t>
  </si>
  <si>
    <t>experiment157</t>
  </si>
  <si>
    <t>experiment158</t>
  </si>
  <si>
    <t>experiment159</t>
  </si>
  <si>
    <t>experiment160</t>
  </si>
  <si>
    <t>experiment161</t>
  </si>
  <si>
    <t>experiment164</t>
  </si>
  <si>
    <t>experiment166</t>
  </si>
  <si>
    <t>experiment167</t>
  </si>
  <si>
    <t>experiment168</t>
  </si>
  <si>
    <t>experiment169</t>
  </si>
  <si>
    <t>experiment170</t>
  </si>
  <si>
    <t>experiment171</t>
  </si>
  <si>
    <t>experiment173</t>
  </si>
  <si>
    <t>experiment174</t>
  </si>
  <si>
    <t>experiment176</t>
  </si>
  <si>
    <t>experiment177</t>
  </si>
  <si>
    <t>experiment178</t>
  </si>
  <si>
    <t>experiment179</t>
  </si>
  <si>
    <t>experiment180</t>
  </si>
  <si>
    <t>experiment181</t>
  </si>
  <si>
    <t>experiment182</t>
  </si>
  <si>
    <t>experiment183</t>
  </si>
  <si>
    <t>experiment184</t>
  </si>
  <si>
    <t>experiment185</t>
  </si>
  <si>
    <t>experiment186</t>
  </si>
  <si>
    <t>experiment187</t>
  </si>
  <si>
    <t>experiment188</t>
  </si>
  <si>
    <t>experiment189</t>
  </si>
  <si>
    <t>experiment190</t>
  </si>
  <si>
    <t>experiment191</t>
  </si>
  <si>
    <t>experiment192</t>
  </si>
  <si>
    <t>experiment193</t>
  </si>
  <si>
    <t>experiment194</t>
  </si>
  <si>
    <t>experiment195</t>
  </si>
  <si>
    <t>experiment196</t>
  </si>
  <si>
    <t>experiment197</t>
  </si>
  <si>
    <t>experiment198</t>
  </si>
  <si>
    <t>experiment199</t>
  </si>
  <si>
    <t>experiment200</t>
  </si>
  <si>
    <t>experiment201</t>
  </si>
  <si>
    <t>experiment202</t>
  </si>
  <si>
    <t>experiment203</t>
  </si>
  <si>
    <t>experiment204</t>
  </si>
  <si>
    <t>beta</t>
  </si>
  <si>
    <t xml:space="preserve">Assortative pairing in the amphipod Paracalliope fluviatilis: a role for parasites? </t>
  </si>
  <si>
    <t>Lefebvre et al</t>
  </si>
  <si>
    <t xml:space="preserve">10.1007/s10750-005-2211-0 </t>
  </si>
  <si>
    <t xml:space="preserve">Increased sexual activity reduces male immune function in Drosophila melanogaster </t>
  </si>
  <si>
    <t>10.1073 pnas.131216398</t>
  </si>
  <si>
    <t>Bateman's principle and immunity: phenotypically plastic reproductive strategies predict changes in immunological sex differences</t>
  </si>
  <si>
    <t>10.1554/04-657</t>
  </si>
  <si>
    <t>Sexual selection under scramble competition: mate location and mate choice in the eucalypt leaf beetle Chrysophtharta agricola (Chapuis) in the field</t>
  </si>
  <si>
    <t>Nahrung&amp;Allen</t>
  </si>
  <si>
    <t>10.1023/B:JOIR.0000031536.59988.0d</t>
  </si>
  <si>
    <t xml:space="preserve"> </t>
  </si>
  <si>
    <t>Effects of tapeworm infection on male reproductive success and mating vigor in the red flour beetle, Tribolium castaneum</t>
  </si>
  <si>
    <t>Pai&amp;Yan</t>
  </si>
  <si>
    <t>10.1645/0022-3395(2003)089[0516:EOTIOM]2.0.CO;2</t>
  </si>
  <si>
    <t>mating effort</t>
  </si>
  <si>
    <t xml:space="preserve">Effect of Ectoparasitic Mites on Sexual Selection in a Sonoran Desert Fruit Fly </t>
  </si>
  <si>
    <t>Polak&amp;Markow</t>
  </si>
  <si>
    <t>10.1111/j.1558-5646.1995.tb02302.x</t>
  </si>
  <si>
    <t>Drosophila nigrospiracula</t>
  </si>
  <si>
    <t>Parasite-induced risk of mortality elevates reproductive effort in male Drosophila</t>
  </si>
  <si>
    <t>Polak&amp;Starmer</t>
  </si>
  <si>
    <t>10.1098/rspb.1998.0559</t>
  </si>
  <si>
    <t>2a</t>
  </si>
  <si>
    <t>Immune system activation interacts with territory-holding potential and increases predation of the damselfly Calopteryx splendens by birds</t>
  </si>
  <si>
    <t>Rantala&amp;Vonkavaara</t>
  </si>
  <si>
    <t xml:space="preserve">10.1007/s00442-010-1582-8 </t>
  </si>
  <si>
    <t>Calopteryx splendens</t>
  </si>
  <si>
    <t>No Correlation Between Ectoparasitism and Male Mating Success in a Damselfly: Why Parasite Behavior Matters</t>
  </si>
  <si>
    <t>Rolff et al</t>
  </si>
  <si>
    <t>10.1023/A:1007867719887</t>
  </si>
  <si>
    <t>Coenagrion puella</t>
  </si>
  <si>
    <t xml:space="preserve">The effect of parasites on sex differences in selection </t>
  </si>
  <si>
    <t>Sharp&amp;Vincent</t>
  </si>
  <si>
    <t>10.1038/hdy.2014.110</t>
  </si>
  <si>
    <t>Variability in call structure and pairing successof male field crickets,
Variability in call structure and pairing successof male field crickets, Gryllus bimaculatus:the effects of age,size and parasite load</t>
  </si>
  <si>
    <t>Simmons&amp;Zuk</t>
  </si>
  <si>
    <t>10.1016/S0003-3472(05)80326-4</t>
  </si>
  <si>
    <t xml:space="preserve">Lack of parasite-mediated sexual selection in a ladybird/sexually transmitted disease system </t>
  </si>
  <si>
    <t>Webberley et al</t>
  </si>
  <si>
    <t>10.1006/anbe.2001.1877</t>
  </si>
  <si>
    <t>Adalia bipunctata</t>
  </si>
  <si>
    <t>10.1006/anbe.2001.1878</t>
  </si>
  <si>
    <t>10.1006/anbe.2001.1879</t>
  </si>
  <si>
    <t>10.1006/anbe.2001.1880</t>
  </si>
  <si>
    <t>10.1006/anbe.2001.1881</t>
  </si>
  <si>
    <t>10.1006/anbe.2001.1882</t>
  </si>
  <si>
    <t>10.1006/anbe.2001.1883</t>
  </si>
  <si>
    <t>10.1006/anbe.2001.1884</t>
  </si>
  <si>
    <t>10.1006/anbe.2001.1885</t>
  </si>
  <si>
    <t>10.1006/anbe.2001.1886</t>
  </si>
  <si>
    <t>10.1006/anbe.2001.1887</t>
  </si>
  <si>
    <t>10.1006/anbe.2001.1888</t>
  </si>
  <si>
    <t>10.1006/anbe.2001.1889</t>
  </si>
  <si>
    <t>10.1006/anbe.2001.1890</t>
  </si>
  <si>
    <t>10.1006/anbe.2001.1891</t>
  </si>
  <si>
    <t>10.1006/anbe.2001.1892</t>
  </si>
  <si>
    <t>10.1006/anbe.2001.1893</t>
  </si>
  <si>
    <t>10.1006/anbe.2001.1894</t>
  </si>
  <si>
    <t>10.1006/anbe.2001.1895</t>
  </si>
  <si>
    <t>Parasites reduce attractiveness and reproductive success in male grain beetles</t>
  </si>
  <si>
    <t>Worden et al</t>
  </si>
  <si>
    <t>10.1006/anbe.1999.1368</t>
  </si>
  <si>
    <t>Tenebrio molitor</t>
  </si>
  <si>
    <t>Selection by Parasites on Components of Fitness in Tribolium Beetles: The Effect of
Intraspecific Competition</t>
  </si>
  <si>
    <t>Yan&amp;Stevens</t>
  </si>
  <si>
    <t>10.1086/285825</t>
  </si>
  <si>
    <t>Teleogryllus oceanicus</t>
  </si>
  <si>
    <t>The effects of gregarine parasites, body size, and time of day on spermatophore production and sexual selection in field crickets</t>
  </si>
  <si>
    <t>Zuk</t>
  </si>
  <si>
    <t>10.1007/BF00324437</t>
  </si>
  <si>
    <t>Gryllus pennsylvanicus</t>
  </si>
  <si>
    <t>Variability in attractiveness of male field crickets (Orthoptera: Gryllidae) to females</t>
  </si>
  <si>
    <t>10.1016/S0003-3472(87)80182-3</t>
  </si>
  <si>
    <t>Parasite load, body size, and age of wild‐caught male field crickets (Orthoptera: Gryllidae): effects on sexual selection</t>
  </si>
  <si>
    <t xml:space="preserve">10.2307/2408912 </t>
  </si>
  <si>
    <t xml:space="preserve">A viral aphrodisiac in the cricket Gryllus texensis </t>
  </si>
  <si>
    <t>Adamo et al</t>
  </si>
  <si>
    <t>10.1242/jeb.103408</t>
  </si>
  <si>
    <t>Gryllus texensis</t>
  </si>
  <si>
    <t xml:space="preserve">Sexual advertisement and immune function in an arachnid species (Lycosidae) </t>
  </si>
  <si>
    <t>Ahtiainen et al</t>
  </si>
  <si>
    <t xml:space="preserve">10.1093/beheco/arh062 </t>
  </si>
  <si>
    <t>Immune function, dominance and mating success
in drumming male wolf spiders Hygrolycosa rubrofasciata</t>
  </si>
  <si>
    <t>10.1007/s00265-006-0226-9</t>
  </si>
  <si>
    <t>Barbosa et al</t>
  </si>
  <si>
    <t>10.1093/beheco/arv131</t>
  </si>
  <si>
    <t>Ephippiger diurnus</t>
  </si>
  <si>
    <t>Sex-specific consequences of an induced immune response on reproduction in a moth</t>
  </si>
  <si>
    <t>Barthel et al</t>
  </si>
  <si>
    <t>10.1186/s12862-015-0562-3</t>
  </si>
  <si>
    <t>Heliothis virescens</t>
  </si>
  <si>
    <t>Reproductive activities impair immunocompetence in Physocyclus dugesi (Araneae: Pholcidae)</t>
  </si>
  <si>
    <t>Calbacho-Rosa et al</t>
  </si>
  <si>
    <t>10.1636/Hi11-13.1</t>
  </si>
  <si>
    <t>Physocyclus dugesi</t>
  </si>
  <si>
    <t>Wing pigmentation, immune ability, fat reserves and territorial status in males of the rubyspot damselfly, Hetaerina americana</t>
  </si>
  <si>
    <t>Contreras-Garduño et al</t>
  </si>
  <si>
    <t>10.1007/s10164-005-0177-z</t>
  </si>
  <si>
    <t>4a</t>
  </si>
  <si>
    <t>The size of the red wing spot of the American rubyspot as a heightened condition-dependent ornament</t>
  </si>
  <si>
    <t>10.1093/beheco/arn026</t>
  </si>
  <si>
    <t>6a</t>
  </si>
  <si>
    <t>The relationship between male wing pigmentation and condition in Erythrodiplax funerea (Hagen) (Anisoptera: Libellulidae)</t>
  </si>
  <si>
    <t xml:space="preserve">Sexual selection in Hetaerina titia males: a possible key species to understand the evolution of pigmentation in calopterygid damselflies (Odonata: Zygoptera) </t>
  </si>
  <si>
    <t>10.1163/156853907781492672</t>
  </si>
  <si>
    <t>Hetaerina titia</t>
  </si>
  <si>
    <t>Sexual ornaments reveal the strength of melanization immune response and longevity of male paper wasps</t>
  </si>
  <si>
    <t>de Souza et al</t>
  </si>
  <si>
    <t>10.1016/j.jinsphys.2018.06.002</t>
  </si>
  <si>
    <t>Polistes simillimus</t>
  </si>
  <si>
    <t>Ejaculate Economics: Testing the Effects of Male Sexual History on the Trade-Off between Sperm and Immune Function in Australian Crickets</t>
  </si>
  <si>
    <t>Dowling &amp; Simmons</t>
  </si>
  <si>
    <t>10.1371/journal.pone.0030172</t>
  </si>
  <si>
    <t xml:space="preserve">Sexual Signaling and Immune Function in the Black Field Cricket Teleogryllus commodus </t>
  </si>
  <si>
    <t>Drayton et al</t>
  </si>
  <si>
    <t xml:space="preserve">10.1371/journal.pone.0039631 </t>
  </si>
  <si>
    <t>Immune investment and sperm competition in a beetle</t>
  </si>
  <si>
    <t>Drnevich et al</t>
  </si>
  <si>
    <t>10.1046/j.1365-3032.2002.00290.x</t>
  </si>
  <si>
    <t>cuticular melanization</t>
  </si>
  <si>
    <t>Natural selection drives the link between male immune function and reproductive potential</t>
  </si>
  <si>
    <t>Fedorka et al</t>
  </si>
  <si>
    <t>10.1139/z05-095</t>
  </si>
  <si>
    <t>The relative fitness of Drosophila melanogaster (Diptera, Drosophilidae) that have successfully defended themselves against the parasitoid Asobara tabida (Hymenoptera, Braconidae)</t>
  </si>
  <si>
    <t>Fellowes et al</t>
  </si>
  <si>
    <t>10.1046/j.1420-9101.1999.00018.x</t>
  </si>
  <si>
    <t>Are immune responses gender-related in Carabus lefebvrei (Coleoptera: Carabidae)?</t>
  </si>
  <si>
    <t>Giglio et al</t>
  </si>
  <si>
    <t xml:space="preserve">10.25431/1824-307X/isj.v13i1.102-110 </t>
  </si>
  <si>
    <t>Carabus lefebvrei</t>
  </si>
  <si>
    <t>Effects of juvenile infection on adult immunity and secondary sexual characters in a wolf spider</t>
  </si>
  <si>
    <t>Gilbert et al</t>
  </si>
  <si>
    <t>10.1093/beheco/arv241</t>
  </si>
  <si>
    <t>Schizocosa ocreata</t>
  </si>
  <si>
    <t xml:space="preserve">Evaluation of Providencia rettgeri pathogenicity against laboratory Mediterranean fruit fly strain (Ceratitis capitata) </t>
  </si>
  <si>
    <t>Guerfali et al</t>
  </si>
  <si>
    <t xml:space="preserve">10.1371/journal.pone.0196343 </t>
  </si>
  <si>
    <t>Molecular, physiological and behavioral responses of honey bee (Apis mellifera) drones to infection with microsporidian parasites</t>
  </si>
  <si>
    <t>Holt et al</t>
  </si>
  <si>
    <t>10.1016/j.jip.2018.04.008</t>
  </si>
  <si>
    <t>supplementary</t>
  </si>
  <si>
    <t>5a</t>
  </si>
  <si>
    <t>5b</t>
  </si>
  <si>
    <t>5c</t>
  </si>
  <si>
    <t>Sex differences in disease avoidance behavior vary across modes of pathogen exposure</t>
  </si>
  <si>
    <t>Keiser et al</t>
  </si>
  <si>
    <t xml:space="preserve">10.1111/eth.12969 </t>
  </si>
  <si>
    <t xml:space="preserve">Are attractive male crickets better able to pay the costs of an immune challenge? </t>
  </si>
  <si>
    <t>Kelly et al</t>
  </si>
  <si>
    <t>10.7717/peerj.1501</t>
  </si>
  <si>
    <t>Endurance in exercise is associated with courtship call rate in decorated crickets, Gryllodes sigillatus</t>
  </si>
  <si>
    <t>Ketola et al</t>
  </si>
  <si>
    <t>Sexual attractiveness of immune-challenged male mealworm beetles suggests terminal investment in reproduction</t>
  </si>
  <si>
    <t>Kivleniece et al</t>
  </si>
  <si>
    <t xml:space="preserve">10.1016/j.anbehav.2010.09.004 </t>
  </si>
  <si>
    <t xml:space="preserve">Resource availability as a proxy for terminal investment in a beetle </t>
  </si>
  <si>
    <t>Krams et al</t>
  </si>
  <si>
    <t>10.1007/s00442-014-3210-5</t>
  </si>
  <si>
    <t xml:space="preserve">The correlation between immunocompetence and an ornament trait changes over lifetime in Panorpa vulgaris scorpionflies </t>
  </si>
  <si>
    <t>Kurtz</t>
  </si>
  <si>
    <t>10.1016/j.zool.2007.07.001</t>
  </si>
  <si>
    <t>Mecoptera</t>
  </si>
  <si>
    <t>The effect of maternal and paternal immune challenge on offspring immunity and reproduction in a cricket</t>
  </si>
  <si>
    <t>McNamara et al</t>
  </si>
  <si>
    <t>10.1111/jeb.12376</t>
  </si>
  <si>
    <t>Immune deployment increases larval vulnerability to predators and inhibits adult life-history traits in a dragonfly</t>
  </si>
  <si>
    <t>Moore et al</t>
  </si>
  <si>
    <t xml:space="preserve">10.1111/jeb.13337 </t>
  </si>
  <si>
    <t>Dose-dependent effects of an immune challenge at both ultimate and proximate levels in Drosophila melanogaster</t>
  </si>
  <si>
    <t>Nystrand&amp;Dowling</t>
  </si>
  <si>
    <t xml:space="preserve">10.1111/jeb.12364 </t>
  </si>
  <si>
    <t>Consequences of Nosema apis infection for male honey bees and their fertility</t>
  </si>
  <si>
    <t>Peng et al</t>
  </si>
  <si>
    <t>10.1038/srep10565</t>
  </si>
  <si>
    <t>6b</t>
  </si>
  <si>
    <t>Dominance is not always an honest signal of male quality, but females may be able to detect the dishonesty</t>
  </si>
  <si>
    <t>Pölkki et al</t>
  </si>
  <si>
    <t>10.1098/rsbl.2012.1002</t>
  </si>
  <si>
    <t>Gryllus integer</t>
  </si>
  <si>
    <t>Immunocompetence, developmental stability and wingspot size in the damsel􏰞y Calopteryx splendens L.</t>
  </si>
  <si>
    <t>Rantala et al</t>
  </si>
  <si>
    <t>10.1098/rspb.2000.1305</t>
  </si>
  <si>
    <t>Courtship song and immune function in the field cricket
Gryllus bimaculatus</t>
  </si>
  <si>
    <t>10.1046/j.1095-8312.2003.00202.x</t>
  </si>
  <si>
    <t>Copulation corrupts immunity: A mechanism for a cost of mating in insects</t>
  </si>
  <si>
    <t>Rolff&amp;Siva-Jothy</t>
  </si>
  <si>
    <t>10.1073/pnas.152271999</t>
  </si>
  <si>
    <t>Sexual dimorphism in immune response: Testing the hypothesis in an insect species with two male morphs</t>
  </si>
  <si>
    <t>Ruiz-Guzmán et al</t>
  </si>
  <si>
    <t>10.1111/j.1744-7917.2012.01551.x</t>
  </si>
  <si>
    <t>Paraphlebia zoe</t>
  </si>
  <si>
    <t>1c</t>
  </si>
  <si>
    <t>Modulation of sexual signalling by immune challenged male mealworm beetles (Tenebrio molitor, L.): evidence for terminal investment and dishonesty</t>
  </si>
  <si>
    <t>Sadd et al</t>
  </si>
  <si>
    <t>10.1111/j.1420-9101.2005.01062.x</t>
  </si>
  <si>
    <t>Sex and immunity in the yellow dung fly Scathophaga stercoraria</t>
  </si>
  <si>
    <t>Schwarzenbach et al</t>
  </si>
  <si>
    <t>10.1111/j.1420-9101.2004.00820.x</t>
  </si>
  <si>
    <t>Scathophaga stercoraria</t>
  </si>
  <si>
    <t>Immune function reflected in calling song characteristics in a natural population of the cricket Teleogryllus commodus</t>
  </si>
  <si>
    <t>Simmons et al</t>
  </si>
  <si>
    <t>10.1016/j.anbehav.2004.09.011</t>
  </si>
  <si>
    <t>Teleogryllus commodus</t>
  </si>
  <si>
    <t>Quantitative genetic variation in courtship song and its covariation with immune function and sperm quality in the field cricket Teleogryllus oceanicus</t>
  </si>
  <si>
    <t>10.1093/beheco/arq154</t>
  </si>
  <si>
    <t>Decreased immune response as a proximate cost of copulation and oviposition in a damselfly</t>
  </si>
  <si>
    <t>Siva-Jothy et al</t>
  </si>
  <si>
    <t>10.1046/j.1365-3032.1998.233090.x</t>
  </si>
  <si>
    <t>Matrona basilaris japonica Fester</t>
  </si>
  <si>
    <t>Grasshopper calling songs convey information about condition and health of males</t>
  </si>
  <si>
    <t>Stange&amp;Ronacher</t>
  </si>
  <si>
    <t>10.1007/s00359-012-0709-2</t>
  </si>
  <si>
    <t>Chorthippus biguttulus</t>
  </si>
  <si>
    <t>Short independent lives and selection for maximal sperm survival make investment in immune defences unprofitable for leaf-cutting ant males</t>
  </si>
  <si>
    <t>Stürup et al</t>
  </si>
  <si>
    <t>10.1007/s00265-014-1707-x</t>
  </si>
  <si>
    <t>Atta colombica</t>
  </si>
  <si>
    <t>Acromyrmex echinatior</t>
  </si>
  <si>
    <t>Dominance status and sex influence nutritional state and immunity in burying beetles Nicrophorus orbicollis</t>
  </si>
  <si>
    <t>10.1093/beheco/ars082</t>
  </si>
  <si>
    <t>Nicrophorus orbicollis</t>
  </si>
  <si>
    <t>Dominance and immune function in the F1 generation of wild caught field crickets</t>
  </si>
  <si>
    <t>Väänänen et al</t>
  </si>
  <si>
    <t>10.1163/156853906777791388</t>
  </si>
  <si>
    <t>Copulation enhances resistance against an entomopathogenic
fungus in the mealworm beetle Tenebrio molitor</t>
  </si>
  <si>
    <t>Valtonen et al</t>
  </si>
  <si>
    <t>10.1017/S0031182009992009</t>
  </si>
  <si>
    <t>Age-dependent variation in the terminal investment threshold in male crickets</t>
  </si>
  <si>
    <t>Duffield et al</t>
  </si>
  <si>
    <t>10.1111/evo.13443</t>
  </si>
  <si>
    <t>Juvenile immune status affects the expression of a sexually selected trait in field crickets</t>
  </si>
  <si>
    <t>Jacot et al</t>
  </si>
  <si>
    <t>10.1111/j.1420-9101.2005.00899.x</t>
  </si>
  <si>
    <t>Immunocompetence and resource holding potential in the damselfly, Calopteryx virgo L.</t>
  </si>
  <si>
    <t>Koskimäki et al</t>
  </si>
  <si>
    <t>10.1093/beheco/arg088</t>
  </si>
  <si>
    <t>Calopteryx virgo</t>
  </si>
  <si>
    <t>Female choice reveals terminal investment in male mealworm beetles, Tenebrio molitor, after a repeated activation of the immune system</t>
  </si>
  <si>
    <t>10.1673/031.011.5601</t>
  </si>
  <si>
    <t>paper84</t>
  </si>
  <si>
    <t>paper85</t>
  </si>
  <si>
    <t>paper86</t>
  </si>
  <si>
    <t>paper87</t>
  </si>
  <si>
    <t>paper88</t>
  </si>
  <si>
    <t>paper89</t>
  </si>
  <si>
    <t>paper90</t>
  </si>
  <si>
    <t>paper91</t>
  </si>
  <si>
    <t>paper92</t>
  </si>
  <si>
    <t>paper93</t>
  </si>
  <si>
    <t>paper94</t>
  </si>
  <si>
    <t>paper95</t>
  </si>
  <si>
    <t>paper97</t>
  </si>
  <si>
    <t>paper98</t>
  </si>
  <si>
    <t>paper99</t>
  </si>
  <si>
    <t>paper101</t>
  </si>
  <si>
    <t>paper102</t>
  </si>
  <si>
    <t>paper103</t>
  </si>
  <si>
    <t>paper104</t>
  </si>
  <si>
    <t>paper105</t>
  </si>
  <si>
    <t>paper106</t>
  </si>
  <si>
    <t>paper108</t>
  </si>
  <si>
    <t>paper109</t>
  </si>
  <si>
    <t>paper110</t>
  </si>
  <si>
    <t>paper111</t>
  </si>
  <si>
    <t>paper112</t>
  </si>
  <si>
    <t>paper113</t>
  </si>
  <si>
    <t>paper114</t>
  </si>
  <si>
    <t>paper115</t>
  </si>
  <si>
    <t>paper116</t>
  </si>
  <si>
    <t>paper117</t>
  </si>
  <si>
    <t>paper118</t>
  </si>
  <si>
    <t>paper119</t>
  </si>
  <si>
    <t>paper120</t>
  </si>
  <si>
    <t>paper121</t>
  </si>
  <si>
    <t>paper122</t>
  </si>
  <si>
    <t>paper124</t>
  </si>
  <si>
    <t>paper126</t>
  </si>
  <si>
    <t>paper127</t>
  </si>
  <si>
    <t>paper128</t>
  </si>
  <si>
    <t>paper129</t>
  </si>
  <si>
    <t>paper130</t>
  </si>
  <si>
    <t>paper131</t>
  </si>
  <si>
    <t>paper132</t>
  </si>
  <si>
    <t>paper134</t>
  </si>
  <si>
    <t>paper135</t>
  </si>
  <si>
    <t>paper136</t>
  </si>
  <si>
    <t>paper137</t>
  </si>
  <si>
    <t>paper138</t>
  </si>
  <si>
    <t>paper139</t>
  </si>
  <si>
    <t>paper140</t>
  </si>
  <si>
    <t>paper141</t>
  </si>
  <si>
    <t>paper142</t>
  </si>
  <si>
    <t>paper143</t>
  </si>
  <si>
    <t>paper144</t>
  </si>
  <si>
    <t>paper145</t>
  </si>
  <si>
    <t>paper146</t>
  </si>
  <si>
    <t>paper147</t>
  </si>
  <si>
    <t>paper148</t>
  </si>
  <si>
    <t>paper149</t>
  </si>
  <si>
    <t>paper150</t>
  </si>
  <si>
    <t>paper151</t>
  </si>
  <si>
    <t>paper152</t>
  </si>
  <si>
    <t>paper153</t>
  </si>
  <si>
    <t>paper154</t>
  </si>
  <si>
    <t>paper155</t>
  </si>
  <si>
    <t>paper156</t>
  </si>
  <si>
    <t>study128</t>
  </si>
  <si>
    <t>study129</t>
  </si>
  <si>
    <t>study130</t>
  </si>
  <si>
    <t>study131</t>
  </si>
  <si>
    <t>study132</t>
  </si>
  <si>
    <t>study136</t>
  </si>
  <si>
    <t>study137</t>
  </si>
  <si>
    <t>study138</t>
  </si>
  <si>
    <t>study139</t>
  </si>
  <si>
    <t>study140</t>
  </si>
  <si>
    <t>study141</t>
  </si>
  <si>
    <t>study142</t>
  </si>
  <si>
    <t>study143</t>
  </si>
  <si>
    <t>study144</t>
  </si>
  <si>
    <t>study145</t>
  </si>
  <si>
    <t>study146</t>
  </si>
  <si>
    <t>study147</t>
  </si>
  <si>
    <t>study149</t>
  </si>
  <si>
    <t>study150</t>
  </si>
  <si>
    <t>study152</t>
  </si>
  <si>
    <t>study153</t>
  </si>
  <si>
    <t>study155</t>
  </si>
  <si>
    <t>study156</t>
  </si>
  <si>
    <t>study157</t>
  </si>
  <si>
    <t>study158</t>
  </si>
  <si>
    <t>study160</t>
  </si>
  <si>
    <t>study161</t>
  </si>
  <si>
    <t>study162</t>
  </si>
  <si>
    <t>study163</t>
  </si>
  <si>
    <t>study164</t>
  </si>
  <si>
    <t>study165</t>
  </si>
  <si>
    <t>study166</t>
  </si>
  <si>
    <t>study167</t>
  </si>
  <si>
    <t>study168</t>
  </si>
  <si>
    <t>study169</t>
  </si>
  <si>
    <t>study170</t>
  </si>
  <si>
    <t>study171</t>
  </si>
  <si>
    <t>study172</t>
  </si>
  <si>
    <t>study173</t>
  </si>
  <si>
    <t>study174</t>
  </si>
  <si>
    <t>study175</t>
  </si>
  <si>
    <t>study177</t>
  </si>
  <si>
    <t>study179</t>
  </si>
  <si>
    <t>study180</t>
  </si>
  <si>
    <t>study181</t>
  </si>
  <si>
    <t>study182</t>
  </si>
  <si>
    <t>study183</t>
  </si>
  <si>
    <t>study184</t>
  </si>
  <si>
    <t>study185</t>
  </si>
  <si>
    <t>study187</t>
  </si>
  <si>
    <t>study188</t>
  </si>
  <si>
    <t>study189</t>
  </si>
  <si>
    <t>study190</t>
  </si>
  <si>
    <t>study191</t>
  </si>
  <si>
    <t>study192</t>
  </si>
  <si>
    <t>study193</t>
  </si>
  <si>
    <t>study194</t>
  </si>
  <si>
    <t>study195</t>
  </si>
  <si>
    <t>study196</t>
  </si>
  <si>
    <t>study197</t>
  </si>
  <si>
    <t>study198</t>
  </si>
  <si>
    <t>study199</t>
  </si>
  <si>
    <t>study200</t>
  </si>
  <si>
    <t>study201</t>
  </si>
  <si>
    <t>study202</t>
  </si>
  <si>
    <t>study204</t>
  </si>
  <si>
    <t>study213</t>
  </si>
  <si>
    <t>study214</t>
  </si>
  <si>
    <t>study215</t>
  </si>
  <si>
    <t>study216</t>
  </si>
  <si>
    <t>study217</t>
  </si>
  <si>
    <t>study218</t>
  </si>
  <si>
    <t>study219</t>
  </si>
  <si>
    <t>experiment207</t>
  </si>
  <si>
    <t>experiment208</t>
  </si>
  <si>
    <t>experiment209</t>
  </si>
  <si>
    <t>experiment210</t>
  </si>
  <si>
    <t>experiment211</t>
  </si>
  <si>
    <t>experiment212</t>
  </si>
  <si>
    <t>experiment213</t>
  </si>
  <si>
    <t>experiment214</t>
  </si>
  <si>
    <t>experiment215</t>
  </si>
  <si>
    <t>experiment216</t>
  </si>
  <si>
    <t>experiment217</t>
  </si>
  <si>
    <t>experiment218</t>
  </si>
  <si>
    <t>experiment219</t>
  </si>
  <si>
    <t>experiment220</t>
  </si>
  <si>
    <t>experiment221</t>
  </si>
  <si>
    <t>experiment222</t>
  </si>
  <si>
    <t>experiment223</t>
  </si>
  <si>
    <t>experiment224</t>
  </si>
  <si>
    <t>experiment225</t>
  </si>
  <si>
    <t>experiment226</t>
  </si>
  <si>
    <t>experiment227</t>
  </si>
  <si>
    <t>experiment228</t>
  </si>
  <si>
    <t>experiment229</t>
  </si>
  <si>
    <t>experiment231</t>
  </si>
  <si>
    <t>experiment232</t>
  </si>
  <si>
    <t>experiment233</t>
  </si>
  <si>
    <t>experiment234</t>
  </si>
  <si>
    <t>experiment235</t>
  </si>
  <si>
    <t>experiment236</t>
  </si>
  <si>
    <t>experiment237</t>
  </si>
  <si>
    <t>experiment238</t>
  </si>
  <si>
    <t>experiment239</t>
  </si>
  <si>
    <t>experiment240</t>
  </si>
  <si>
    <t>experiment241</t>
  </si>
  <si>
    <t>experiment243</t>
  </si>
  <si>
    <t>experiment244</t>
  </si>
  <si>
    <t>experiment245</t>
  </si>
  <si>
    <t>experiment246</t>
  </si>
  <si>
    <t>experiment247</t>
  </si>
  <si>
    <t>experiment248</t>
  </si>
  <si>
    <t>experiment249</t>
  </si>
  <si>
    <t>experiment250</t>
  </si>
  <si>
    <t>experiment251</t>
  </si>
  <si>
    <t>experiment252</t>
  </si>
  <si>
    <t>experiment253</t>
  </si>
  <si>
    <t>experiment254</t>
  </si>
  <si>
    <t>experiment255</t>
  </si>
  <si>
    <t>experiment256</t>
  </si>
  <si>
    <t>experiment257</t>
  </si>
  <si>
    <t>experiment258</t>
  </si>
  <si>
    <t>experiment259</t>
  </si>
  <si>
    <t>experiment261</t>
  </si>
  <si>
    <t>experiment263</t>
  </si>
  <si>
    <t>experiment264</t>
  </si>
  <si>
    <t>experiment265</t>
  </si>
  <si>
    <t>experiment266</t>
  </si>
  <si>
    <t>experiment267</t>
  </si>
  <si>
    <t>experiment268</t>
  </si>
  <si>
    <t>experiment269</t>
  </si>
  <si>
    <t>experiment271</t>
  </si>
  <si>
    <t>experiment272</t>
  </si>
  <si>
    <t>experiment273</t>
  </si>
  <si>
    <t>experiment274</t>
  </si>
  <si>
    <t>experiment275</t>
  </si>
  <si>
    <t>experiment276</t>
  </si>
  <si>
    <t>experiment277</t>
  </si>
  <si>
    <t>experiment278</t>
  </si>
  <si>
    <t>experiment279</t>
  </si>
  <si>
    <t>experiment280</t>
  </si>
  <si>
    <t>experiment281</t>
  </si>
  <si>
    <t>experiment282</t>
  </si>
  <si>
    <t>experiment283</t>
  </si>
  <si>
    <t>experiment284</t>
  </si>
  <si>
    <t>experiment285</t>
  </si>
  <si>
    <t>experiment286</t>
  </si>
  <si>
    <t>experiment287</t>
  </si>
  <si>
    <t>experiment288</t>
  </si>
  <si>
    <t>experiment289</t>
  </si>
  <si>
    <t>experiment290</t>
  </si>
  <si>
    <t>experiment292</t>
  </si>
  <si>
    <t>experiment293</t>
  </si>
  <si>
    <t>experiment294</t>
  </si>
  <si>
    <t>es395</t>
  </si>
  <si>
    <t>es396</t>
  </si>
  <si>
    <t>es397</t>
  </si>
  <si>
    <t>es398</t>
  </si>
  <si>
    <t>es399</t>
  </si>
  <si>
    <t>es400</t>
  </si>
  <si>
    <t>es401</t>
  </si>
  <si>
    <t>es402</t>
  </si>
  <si>
    <t>es403</t>
  </si>
  <si>
    <t>es404</t>
  </si>
  <si>
    <t>es406</t>
  </si>
  <si>
    <t>es407</t>
  </si>
  <si>
    <t>es408</t>
  </si>
  <si>
    <t>es409</t>
  </si>
  <si>
    <t>es410</t>
  </si>
  <si>
    <t>es411</t>
  </si>
  <si>
    <t>es412</t>
  </si>
  <si>
    <t>es413</t>
  </si>
  <si>
    <t>es414</t>
  </si>
  <si>
    <t>es415</t>
  </si>
  <si>
    <t>es416</t>
  </si>
  <si>
    <t>es417</t>
  </si>
  <si>
    <t>es423</t>
  </si>
  <si>
    <t>es424</t>
  </si>
  <si>
    <t>es425</t>
  </si>
  <si>
    <t>es426</t>
  </si>
  <si>
    <t>es427</t>
  </si>
  <si>
    <t>es428</t>
  </si>
  <si>
    <t>es429</t>
  </si>
  <si>
    <t>es430</t>
  </si>
  <si>
    <t>es431</t>
  </si>
  <si>
    <t>es432</t>
  </si>
  <si>
    <t>es433</t>
  </si>
  <si>
    <t>es434</t>
  </si>
  <si>
    <t>es435</t>
  </si>
  <si>
    <t>es436</t>
  </si>
  <si>
    <t>es437</t>
  </si>
  <si>
    <t>es438</t>
  </si>
  <si>
    <t>es439</t>
  </si>
  <si>
    <t>es440</t>
  </si>
  <si>
    <t>es441</t>
  </si>
  <si>
    <t>es442</t>
  </si>
  <si>
    <t>es443</t>
  </si>
  <si>
    <t>es444</t>
  </si>
  <si>
    <t>es446</t>
  </si>
  <si>
    <t>es447</t>
  </si>
  <si>
    <t>es448</t>
  </si>
  <si>
    <t>es449</t>
  </si>
  <si>
    <t>es450</t>
  </si>
  <si>
    <t>es451</t>
  </si>
  <si>
    <t>es452</t>
  </si>
  <si>
    <t>es455</t>
  </si>
  <si>
    <t>es456</t>
  </si>
  <si>
    <t>es457</t>
  </si>
  <si>
    <t>es458</t>
  </si>
  <si>
    <t>es459</t>
  </si>
  <si>
    <t>es460</t>
  </si>
  <si>
    <t>es461</t>
  </si>
  <si>
    <t>es462</t>
  </si>
  <si>
    <t>es463</t>
  </si>
  <si>
    <t>es464</t>
  </si>
  <si>
    <t>es465</t>
  </si>
  <si>
    <t>es466</t>
  </si>
  <si>
    <t>es467</t>
  </si>
  <si>
    <t>es468</t>
  </si>
  <si>
    <t>es469</t>
  </si>
  <si>
    <t>es470</t>
  </si>
  <si>
    <t>es471</t>
  </si>
  <si>
    <t>es472</t>
  </si>
  <si>
    <t>es473</t>
  </si>
  <si>
    <t>es474</t>
  </si>
  <si>
    <t>es475</t>
  </si>
  <si>
    <t>es476</t>
  </si>
  <si>
    <t>es477</t>
  </si>
  <si>
    <t>es478</t>
  </si>
  <si>
    <t>es484</t>
  </si>
  <si>
    <t>es485</t>
  </si>
  <si>
    <t>es486</t>
  </si>
  <si>
    <t>es487</t>
  </si>
  <si>
    <t>es488</t>
  </si>
  <si>
    <t>es489</t>
  </si>
  <si>
    <t>es490</t>
  </si>
  <si>
    <t>es491</t>
  </si>
  <si>
    <t>es492</t>
  </si>
  <si>
    <t>es493</t>
  </si>
  <si>
    <t>es494</t>
  </si>
  <si>
    <t>es495</t>
  </si>
  <si>
    <t>es496</t>
  </si>
  <si>
    <t>es497</t>
  </si>
  <si>
    <t>es498</t>
  </si>
  <si>
    <t>es499</t>
  </si>
  <si>
    <t>es500</t>
  </si>
  <si>
    <t>es501</t>
  </si>
  <si>
    <t>es502</t>
  </si>
  <si>
    <t>es503</t>
  </si>
  <si>
    <t>es504</t>
  </si>
  <si>
    <t>es505</t>
  </si>
  <si>
    <t>es506</t>
  </si>
  <si>
    <t>es507</t>
  </si>
  <si>
    <t>es510</t>
  </si>
  <si>
    <t>es511</t>
  </si>
  <si>
    <t>es512</t>
  </si>
  <si>
    <t>es513</t>
  </si>
  <si>
    <t>es514</t>
  </si>
  <si>
    <t>es515</t>
  </si>
  <si>
    <t>es516</t>
  </si>
  <si>
    <t>es517</t>
  </si>
  <si>
    <t>es518</t>
  </si>
  <si>
    <t>es519</t>
  </si>
  <si>
    <t>es520</t>
  </si>
  <si>
    <t>es521</t>
  </si>
  <si>
    <t>es522</t>
  </si>
  <si>
    <t>es523</t>
  </si>
  <si>
    <t>es524</t>
  </si>
  <si>
    <t>es525</t>
  </si>
  <si>
    <t>es526</t>
  </si>
  <si>
    <t>es527</t>
  </si>
  <si>
    <t>es528</t>
  </si>
  <si>
    <t>es529</t>
  </si>
  <si>
    <t>es530</t>
  </si>
  <si>
    <t>es531</t>
  </si>
  <si>
    <t>es532</t>
  </si>
  <si>
    <t>es533</t>
  </si>
  <si>
    <t>es534</t>
  </si>
  <si>
    <t>es535</t>
  </si>
  <si>
    <t>es536</t>
  </si>
  <si>
    <t>es537</t>
  </si>
  <si>
    <t>es538</t>
  </si>
  <si>
    <t>es539</t>
  </si>
  <si>
    <t>es540</t>
  </si>
  <si>
    <t>es541</t>
  </si>
  <si>
    <t>es542</t>
  </si>
  <si>
    <t>es543</t>
  </si>
  <si>
    <t>es544</t>
  </si>
  <si>
    <t>es545</t>
  </si>
  <si>
    <t>es548</t>
  </si>
  <si>
    <t>es550</t>
  </si>
  <si>
    <t>es553</t>
  </si>
  <si>
    <t>es554</t>
  </si>
  <si>
    <t>es555</t>
  </si>
  <si>
    <t>es556</t>
  </si>
  <si>
    <t>es557</t>
  </si>
  <si>
    <t>es565</t>
  </si>
  <si>
    <t>es566</t>
  </si>
  <si>
    <t>es567</t>
  </si>
  <si>
    <t>es568</t>
  </si>
  <si>
    <t>es569</t>
  </si>
  <si>
    <t>es570</t>
  </si>
  <si>
    <t>es571</t>
  </si>
  <si>
    <t>es572</t>
  </si>
  <si>
    <t>es573</t>
  </si>
  <si>
    <t>es574</t>
  </si>
  <si>
    <t>es575</t>
  </si>
  <si>
    <t>es576</t>
  </si>
  <si>
    <t>es577</t>
  </si>
  <si>
    <t>es578</t>
  </si>
  <si>
    <t>es579</t>
  </si>
  <si>
    <t>es580</t>
  </si>
  <si>
    <t>es581</t>
  </si>
  <si>
    <t>es582</t>
  </si>
  <si>
    <t>es583</t>
  </si>
  <si>
    <t>es584</t>
  </si>
  <si>
    <t>es585</t>
  </si>
  <si>
    <t>es590</t>
  </si>
  <si>
    <t>es591</t>
  </si>
  <si>
    <t>es592</t>
  </si>
  <si>
    <t>es593</t>
  </si>
  <si>
    <t>es594</t>
  </si>
  <si>
    <t>es595</t>
  </si>
  <si>
    <t>es596</t>
  </si>
  <si>
    <t>es597</t>
  </si>
  <si>
    <t>es598</t>
  </si>
  <si>
    <t>es599</t>
  </si>
  <si>
    <t>es600</t>
  </si>
  <si>
    <t>es601</t>
  </si>
  <si>
    <t>es602</t>
  </si>
  <si>
    <t>es603</t>
  </si>
  <si>
    <t>es604</t>
  </si>
  <si>
    <t>es605</t>
  </si>
  <si>
    <t>es606</t>
  </si>
  <si>
    <t>es607</t>
  </si>
  <si>
    <t>es608</t>
  </si>
  <si>
    <t>es609</t>
  </si>
  <si>
    <t>es610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</si>
  <si>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</si>
  <si>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</si>
  <si>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</si>
  <si>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</si>
  <si>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</si>
  <si>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</si>
  <si>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</si>
  <si>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</si>
  <si>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es619</t>
  </si>
  <si>
    <t>es620</t>
  </si>
  <si>
    <t>es621</t>
  </si>
  <si>
    <t>es622</t>
  </si>
  <si>
    <t>es623</t>
  </si>
  <si>
    <t>es624</t>
  </si>
  <si>
    <t>es625</t>
  </si>
  <si>
    <t>es626</t>
  </si>
  <si>
    <t>es627</t>
  </si>
  <si>
    <t>es628</t>
  </si>
  <si>
    <t>es629</t>
  </si>
  <si>
    <t>es630</t>
  </si>
  <si>
    <t>es631</t>
  </si>
  <si>
    <t>es632</t>
  </si>
  <si>
    <t>es633</t>
  </si>
  <si>
    <t>es634</t>
  </si>
  <si>
    <t>es635</t>
  </si>
  <si>
    <t>es636</t>
  </si>
  <si>
    <t>es637</t>
  </si>
  <si>
    <t>es638</t>
  </si>
  <si>
    <t>es639</t>
  </si>
  <si>
    <t>es640</t>
  </si>
  <si>
    <t>es641</t>
  </si>
  <si>
    <t>es642</t>
  </si>
  <si>
    <t>es643</t>
  </si>
  <si>
    <t>es644</t>
  </si>
  <si>
    <t>es645</t>
  </si>
  <si>
    <t>es646</t>
  </si>
  <si>
    <t>es647</t>
  </si>
  <si>
    <t>es648</t>
  </si>
  <si>
    <t>es649</t>
  </si>
  <si>
    <t>es650</t>
  </si>
  <si>
    <t>es651</t>
  </si>
  <si>
    <t>es652</t>
  </si>
  <si>
    <t>es653</t>
  </si>
  <si>
    <t>es655</t>
  </si>
  <si>
    <t>es656</t>
  </si>
  <si>
    <t>es658</t>
  </si>
  <si>
    <t>es659</t>
  </si>
  <si>
    <t>es661</t>
  </si>
  <si>
    <t>es662</t>
  </si>
  <si>
    <t>es664</t>
  </si>
  <si>
    <t>es665</t>
  </si>
  <si>
    <t>es666</t>
  </si>
  <si>
    <t>es667</t>
  </si>
  <si>
    <t>es668</t>
  </si>
  <si>
    <t>es669</t>
  </si>
  <si>
    <t>es670</t>
  </si>
  <si>
    <t>es671</t>
  </si>
  <si>
    <t>es672</t>
  </si>
  <si>
    <t>es673</t>
  </si>
  <si>
    <t>es674</t>
  </si>
  <si>
    <t>es675</t>
  </si>
  <si>
    <t>es676</t>
  </si>
  <si>
    <t>es677</t>
  </si>
  <si>
    <t>es678</t>
  </si>
  <si>
    <t>es679</t>
  </si>
  <si>
    <t>es680</t>
  </si>
  <si>
    <t>es681</t>
  </si>
  <si>
    <t>es682</t>
  </si>
  <si>
    <t>es683</t>
  </si>
  <si>
    <t>es684</t>
  </si>
  <si>
    <t>es685</t>
  </si>
  <si>
    <t>es686</t>
  </si>
  <si>
    <t>es687</t>
  </si>
  <si>
    <t>es688</t>
  </si>
  <si>
    <t>es689</t>
  </si>
  <si>
    <t>es690</t>
  </si>
  <si>
    <t>es691</t>
  </si>
  <si>
    <t>es692</t>
  </si>
  <si>
    <t>es693</t>
  </si>
  <si>
    <t>es694</t>
  </si>
  <si>
    <t>es695</t>
  </si>
  <si>
    <t>es696</t>
  </si>
  <si>
    <t>Ceriagrion tenellum</t>
  </si>
  <si>
    <t>Nicrophorus vespilloides</t>
  </si>
  <si>
    <t>Calopteryx haemorrhoidalis</t>
  </si>
  <si>
    <t>Gammarus insensibilis</t>
  </si>
  <si>
    <t>Apis mellifera</t>
  </si>
  <si>
    <t>Odontotaenius disjunctus</t>
  </si>
  <si>
    <t>Hygrolycosa rubrofasciata</t>
  </si>
  <si>
    <t>Diabrotica u. howardi</t>
  </si>
  <si>
    <t>Onthophagus taurus</t>
  </si>
  <si>
    <t>Zootermopsis angusticollis</t>
  </si>
  <si>
    <t>Gnatocerus cornutus</t>
  </si>
  <si>
    <t>Gryllus vocalis</t>
  </si>
  <si>
    <t>Hetaerina cruentata</t>
  </si>
  <si>
    <t>Hetaerina occisa</t>
  </si>
  <si>
    <t>Hetaerina vulnerata</t>
  </si>
  <si>
    <t>Coenagrion armatum</t>
  </si>
  <si>
    <t>Bicyclus anynana</t>
  </si>
  <si>
    <t>Hemideina crassidens</t>
  </si>
  <si>
    <t>Trypoxylus dichotomus</t>
  </si>
  <si>
    <t>Cyphoderris strepitans</t>
  </si>
  <si>
    <t>Pachydiplax longipennis</t>
  </si>
  <si>
    <t>Euoniticellus intermedius</t>
  </si>
  <si>
    <t>Bactrocera dorsalis</t>
  </si>
  <si>
    <t>Kawanaphila nartee</t>
  </si>
  <si>
    <t>Forficula auricularia</t>
  </si>
  <si>
    <t>Bombus terrestris</t>
  </si>
  <si>
    <t>Gomphocerus sibiricus</t>
  </si>
  <si>
    <t>Paracalliope fluviatilis</t>
  </si>
  <si>
    <t>Chrysophtharta agricola</t>
  </si>
  <si>
    <t>Erythrodiplax funerea</t>
  </si>
  <si>
    <t>Ceratitis capitata</t>
  </si>
  <si>
    <t>Panorpa vulgaris</t>
  </si>
  <si>
    <t>stats</t>
  </si>
  <si>
    <t>Cohen</t>
  </si>
  <si>
    <t>F</t>
  </si>
  <si>
    <t>count</t>
  </si>
  <si>
    <t>Sexually dimorphic effect of mating on the melanotic encapsulation response in the harem-defending Wellington tree weta, Hemideina crassidens (Orthoptera: Tettigonioidea: Anostostomatidae)</t>
  </si>
  <si>
    <t>Kelly</t>
  </si>
  <si>
    <t>10.1111/eth.12650</t>
  </si>
  <si>
    <t>paper160</t>
  </si>
  <si>
    <t>study223</t>
  </si>
  <si>
    <t>experiment299</t>
  </si>
  <si>
    <t>es708</t>
  </si>
  <si>
    <t>Gryllus veletis</t>
  </si>
  <si>
    <t>female_mating_frequency</t>
  </si>
  <si>
    <t>contest_scramble</t>
  </si>
  <si>
    <t>trait_type</t>
  </si>
  <si>
    <t>precedence</t>
  </si>
  <si>
    <t>high</t>
  </si>
  <si>
    <t xml:space="preserve">contest </t>
  </si>
  <si>
    <t>song</t>
  </si>
  <si>
    <t>mixing</t>
  </si>
  <si>
    <t>scramble</t>
  </si>
  <si>
    <t>endurance</t>
  </si>
  <si>
    <t>post</t>
  </si>
  <si>
    <t>low</t>
  </si>
  <si>
    <t>precedence_last</t>
  </si>
  <si>
    <t>monogamous</t>
  </si>
  <si>
    <t>pre</t>
  </si>
  <si>
    <t>displacement</t>
  </si>
  <si>
    <t>contest</t>
  </si>
  <si>
    <t>song, chemical</t>
  </si>
  <si>
    <t>weapon</t>
  </si>
  <si>
    <t>precedence_first</t>
  </si>
  <si>
    <t>song, weapon</t>
  </si>
  <si>
    <t xml:space="preserve">pre </t>
  </si>
  <si>
    <t xml:space="preserve">song </t>
  </si>
  <si>
    <t>endurance, chemical</t>
  </si>
  <si>
    <t>weapons, endurance</t>
  </si>
  <si>
    <t>attractiveness/unclear modality</t>
  </si>
  <si>
    <t>reproductive ouput</t>
  </si>
  <si>
    <t>pathogenlive</t>
  </si>
  <si>
    <t>nonlive_endoparasite</t>
  </si>
  <si>
    <t>Lytic</t>
  </si>
  <si>
    <t>Nitric oxide assay</t>
  </si>
  <si>
    <t xml:space="preserve">Sex and burrowing behavior and their implications with lytic activity in the sand-dwelling spider Allocosa senex </t>
  </si>
  <si>
    <t xml:space="preserve">Albin et al </t>
  </si>
  <si>
    <t xml:space="preserve">10.1007/s00114-020-01700-2 </t>
  </si>
  <si>
    <t>paper161</t>
  </si>
  <si>
    <t>study224</t>
  </si>
  <si>
    <t>experiment300</t>
  </si>
  <si>
    <t>es709</t>
  </si>
  <si>
    <t xml:space="preserve">The reproductive status determines tolerance and resistance to Mycobacterium marinum in Drosophila melanogaster </t>
  </si>
  <si>
    <t xml:space="preserve">Arch et al </t>
  </si>
  <si>
    <t>10.1093/emph/eoad029</t>
  </si>
  <si>
    <t>paper162</t>
  </si>
  <si>
    <t>study225</t>
  </si>
  <si>
    <t>experiment301</t>
  </si>
  <si>
    <t>es711</t>
  </si>
  <si>
    <t>es712</t>
  </si>
  <si>
    <t>es713</t>
  </si>
  <si>
    <t>es714</t>
  </si>
  <si>
    <t>es715</t>
  </si>
  <si>
    <t>es716</t>
  </si>
  <si>
    <t>es717</t>
  </si>
  <si>
    <t>es718</t>
  </si>
  <si>
    <t>es719</t>
  </si>
  <si>
    <t>10.1093/emph/eoad031</t>
  </si>
  <si>
    <t>10.1093/emph/eoad032</t>
  </si>
  <si>
    <t>10.1093/emph/eoad033</t>
  </si>
  <si>
    <t>10.1093/emph/eoad034</t>
  </si>
  <si>
    <t>es720</t>
  </si>
  <si>
    <t>es721</t>
  </si>
  <si>
    <t>es722</t>
  </si>
  <si>
    <t>es723</t>
  </si>
  <si>
    <t>es724</t>
  </si>
  <si>
    <t>es725</t>
  </si>
  <si>
    <t>es726</t>
  </si>
  <si>
    <t>es727</t>
  </si>
  <si>
    <t>experiment302</t>
  </si>
  <si>
    <t>experiment303</t>
  </si>
  <si>
    <t>experiment304</t>
  </si>
  <si>
    <t xml:space="preserve">EXPERIMENTAL INFECTION WITH A NATURALLY OCCURRING PROTOZOAN PARASITE REDUCES MONARCH BUTTERFLY (DANAUS PLEXIPPUS) MATING SUCCESS </t>
  </si>
  <si>
    <t>Babalola et al</t>
  </si>
  <si>
    <t xml:space="preserve">10.1645/21-121 </t>
  </si>
  <si>
    <t>paper163</t>
  </si>
  <si>
    <t>study226</t>
  </si>
  <si>
    <t>Danaus plexippus</t>
  </si>
  <si>
    <t>es728</t>
  </si>
  <si>
    <t xml:space="preserve">Infection-related sexual conflict in mating behaviors of wolf spiders </t>
  </si>
  <si>
    <t xml:space="preserve">Bauer-Nilsen et al </t>
  </si>
  <si>
    <t xml:space="preserve">10.1111/eth.13441 </t>
  </si>
  <si>
    <t>paper164</t>
  </si>
  <si>
    <t>study227</t>
  </si>
  <si>
    <t>es729</t>
  </si>
  <si>
    <t>10.1111/eth.13442</t>
  </si>
  <si>
    <t>10.1111/eth.13443</t>
  </si>
  <si>
    <t>10.1111/eth.13444</t>
  </si>
  <si>
    <t>10.1111/eth.13445</t>
  </si>
  <si>
    <t>10.1111/eth.13446</t>
  </si>
  <si>
    <t>10.1111/eth.13447</t>
  </si>
  <si>
    <t>es730</t>
  </si>
  <si>
    <t>es731</t>
  </si>
  <si>
    <t>es732</t>
  </si>
  <si>
    <t>es733</t>
  </si>
  <si>
    <t>es734</t>
  </si>
  <si>
    <t>es735</t>
  </si>
  <si>
    <t>es736</t>
  </si>
  <si>
    <t>es737</t>
  </si>
  <si>
    <t>es738</t>
  </si>
  <si>
    <t>es739</t>
  </si>
  <si>
    <t>es740</t>
  </si>
  <si>
    <t>es741</t>
  </si>
  <si>
    <t>es742</t>
  </si>
  <si>
    <t>paper165</t>
  </si>
  <si>
    <t>study228</t>
  </si>
  <si>
    <t>experiment305</t>
  </si>
  <si>
    <t>es743</t>
  </si>
  <si>
    <t>es744</t>
  </si>
  <si>
    <t>es745</t>
  </si>
  <si>
    <t xml:space="preserve">Potential Effects of Biotic and Abiotic Stressors on the Reproductive Health of Honey Bees </t>
  </si>
  <si>
    <t>Bruckner</t>
  </si>
  <si>
    <t xml:space="preserve">Sexually dimorphic traits and male fertility in a paper wasp </t>
  </si>
  <si>
    <t>paper166</t>
  </si>
  <si>
    <t>study229</t>
  </si>
  <si>
    <t>experiment306</t>
  </si>
  <si>
    <t>es746</t>
  </si>
  <si>
    <t>Polistes dominula</t>
  </si>
  <si>
    <t>es747</t>
  </si>
  <si>
    <t>es748</t>
  </si>
  <si>
    <t xml:space="preserve">Macronutrient intake and simulated infection threat independently affect life history traits of male decorated crickets </t>
  </si>
  <si>
    <t xml:space="preserve">10.1002/ece3.6813 </t>
  </si>
  <si>
    <t>es749</t>
  </si>
  <si>
    <t>paper167</t>
  </si>
  <si>
    <t>study230</t>
  </si>
  <si>
    <t>experiment307</t>
  </si>
  <si>
    <t>experiment308</t>
  </si>
  <si>
    <t>es750</t>
  </si>
  <si>
    <t>es751</t>
  </si>
  <si>
    <t>es752</t>
  </si>
  <si>
    <t>es753</t>
  </si>
  <si>
    <t>es754</t>
  </si>
  <si>
    <t>es755</t>
  </si>
  <si>
    <t>es756</t>
  </si>
  <si>
    <t>es757</t>
  </si>
  <si>
    <t>es758</t>
  </si>
  <si>
    <t>es759</t>
  </si>
  <si>
    <t>es760</t>
  </si>
  <si>
    <t xml:space="preserve">Low sex drive and choosy females: fungal infections are a reproductive downfall for male house flies </t>
  </si>
  <si>
    <t xml:space="preserve">Edwards et al </t>
  </si>
  <si>
    <t xml:space="preserve">10.1093/beheco/arae004 </t>
  </si>
  <si>
    <t>paper168</t>
  </si>
  <si>
    <t>study231</t>
  </si>
  <si>
    <t>experiment309</t>
  </si>
  <si>
    <t>es761</t>
  </si>
  <si>
    <t>Musca domestica</t>
  </si>
  <si>
    <t>es762</t>
  </si>
  <si>
    <t>es763</t>
  </si>
  <si>
    <t>es764</t>
  </si>
  <si>
    <t>es766</t>
  </si>
  <si>
    <t>es768</t>
  </si>
  <si>
    <t>es769</t>
  </si>
  <si>
    <t>experiment310</t>
  </si>
  <si>
    <t>Age, but not an immune challenge, triggers terminal investment in the Pacific field terminal investment in the Pacific field cricket, Teleogryllus oceanicus</t>
  </si>
  <si>
    <t>Rutkowski et al</t>
  </si>
  <si>
    <t>10.1093/beheco/arad021</t>
  </si>
  <si>
    <t>paper169</t>
  </si>
  <si>
    <t>study232</t>
  </si>
  <si>
    <t>experiment311</t>
  </si>
  <si>
    <t>es770</t>
  </si>
  <si>
    <t xml:space="preserve">The effect of sex and mating opportunity on ecological immunity in Brood X cicadas </t>
  </si>
  <si>
    <t>Hord et al</t>
  </si>
  <si>
    <t xml:space="preserve">10.1080/03949370.2024.2307028 </t>
  </si>
  <si>
    <t>study233</t>
  </si>
  <si>
    <t>es771</t>
  </si>
  <si>
    <t>es772</t>
  </si>
  <si>
    <t>es773</t>
  </si>
  <si>
    <t>experiment312</t>
  </si>
  <si>
    <t xml:space="preserve">Pre-copulatory reproductive behaviours are preserved in Drosophila melanogaster infected with bacteria </t>
  </si>
  <si>
    <t>Rose et al</t>
  </si>
  <si>
    <t xml:space="preserve">10.1098/rspb.2022.0492 </t>
  </si>
  <si>
    <t>paper170</t>
  </si>
  <si>
    <t>study234</t>
  </si>
  <si>
    <t>experiment313</t>
  </si>
  <si>
    <t>es774</t>
  </si>
  <si>
    <t>es775</t>
  </si>
  <si>
    <t>es776</t>
  </si>
  <si>
    <t>es777</t>
  </si>
  <si>
    <t>es778</t>
  </si>
  <si>
    <t>es779</t>
  </si>
  <si>
    <t>es780</t>
  </si>
  <si>
    <t>es781</t>
  </si>
  <si>
    <t>es782</t>
  </si>
  <si>
    <t>es783</t>
  </si>
  <si>
    <t>es784</t>
  </si>
  <si>
    <t>es785</t>
  </si>
  <si>
    <t>es786</t>
  </si>
  <si>
    <t>es787</t>
  </si>
  <si>
    <t>es788</t>
  </si>
  <si>
    <t>es789</t>
  </si>
  <si>
    <t>study235</t>
  </si>
  <si>
    <t>experiment314</t>
  </si>
  <si>
    <t>experiment315</t>
  </si>
  <si>
    <t>experiment316</t>
  </si>
  <si>
    <t>experiment317</t>
  </si>
  <si>
    <t>experiment318</t>
  </si>
  <si>
    <t>experiment319</t>
  </si>
  <si>
    <t>experiment320</t>
  </si>
  <si>
    <t>Scleractinia</t>
  </si>
  <si>
    <t xml:space="preserve">10.7717/peerj.16586 </t>
  </si>
  <si>
    <t>paper171</t>
  </si>
  <si>
    <t>study236</t>
  </si>
  <si>
    <t>experiment321</t>
  </si>
  <si>
    <t>es790</t>
  </si>
  <si>
    <t>es791</t>
  </si>
  <si>
    <t xml:space="preserve">Characterization of trade-offs between immunity and reproduction in the coral species Astrangia poculata </t>
  </si>
  <si>
    <t>Villafranca et al</t>
  </si>
  <si>
    <t>Antimicrobial activity</t>
  </si>
  <si>
    <t xml:space="preserve">Effect of rearing density on the expression of fitness‐related traits in male sand field crickets (Gryllus firmus) </t>
  </si>
  <si>
    <t xml:space="preserve">10.1007/s10682-023-10251-7 </t>
  </si>
  <si>
    <t>paper172</t>
  </si>
  <si>
    <t>study237</t>
  </si>
  <si>
    <t>experiment322</t>
  </si>
  <si>
    <t>es792</t>
  </si>
  <si>
    <t>Gryllus firmus</t>
  </si>
  <si>
    <t>acoustic</t>
  </si>
  <si>
    <t>es793</t>
  </si>
  <si>
    <t>es794</t>
  </si>
  <si>
    <t>Mating with sexually attractive males provides female Gryllus firmus field crickets with direct but not indirect fitness benefits</t>
  </si>
  <si>
    <t>10.1007/s00265-020-02859-4</t>
  </si>
  <si>
    <t>paper173</t>
  </si>
  <si>
    <t>study238</t>
  </si>
  <si>
    <t>experiment323</t>
  </si>
  <si>
    <t>es795</t>
  </si>
  <si>
    <t>Text</t>
  </si>
  <si>
    <t>longevity post-infection</t>
  </si>
  <si>
    <t>es796</t>
  </si>
  <si>
    <t>experiment324</t>
  </si>
  <si>
    <t xml:space="preserve">Infection influences vibratory signal components in a wolf spider </t>
  </si>
  <si>
    <t xml:space="preserve">10.1111/eth.13319 </t>
  </si>
  <si>
    <t xml:space="preserve">Transcriptome analysis of germ cell changes in male Chinese mitten crabs (Eriocheir sinensis) induced by rhizocephalan parasite, Polyascus gregaria </t>
  </si>
  <si>
    <t>Feng et al</t>
  </si>
  <si>
    <t xml:space="preserve">10.3389/fmars.2023.1144448 </t>
  </si>
  <si>
    <t>paper176</t>
  </si>
  <si>
    <t>study241</t>
  </si>
  <si>
    <t>experiment327</t>
  </si>
  <si>
    <t>es803</t>
  </si>
  <si>
    <t>Eriocheir sinensis</t>
  </si>
  <si>
    <t>Decapoda</t>
  </si>
  <si>
    <t>es804</t>
  </si>
  <si>
    <t>Experimental immune challenges reduce the quality of male antennae and female pheromone output</t>
  </si>
  <si>
    <t>Pham et al</t>
  </si>
  <si>
    <t xml:space="preserve">10.1038/s41598-022-07100-y </t>
  </si>
  <si>
    <t>paper177</t>
  </si>
  <si>
    <t>study242</t>
  </si>
  <si>
    <t>experiment328</t>
  </si>
  <si>
    <t>es805</t>
  </si>
  <si>
    <t>Uraba lugens</t>
  </si>
  <si>
    <t>es806</t>
  </si>
  <si>
    <t>es807</t>
  </si>
  <si>
    <t>es808</t>
  </si>
  <si>
    <t>es809</t>
  </si>
  <si>
    <t>es810</t>
  </si>
  <si>
    <t>es811</t>
  </si>
  <si>
    <t>es812</t>
  </si>
  <si>
    <t>experiment329</t>
  </si>
  <si>
    <t>experiment330</t>
  </si>
  <si>
    <t>experiment331</t>
  </si>
  <si>
    <t xml:space="preserve">Effects of reproductive condition on haemocyte parameters in the Pacific abalone Haliotis discus hannai during the spawning period </t>
  </si>
  <si>
    <t>Sawangwong et al</t>
  </si>
  <si>
    <t xml:space="preserve">10.1080/00288330.2024.2325682 </t>
  </si>
  <si>
    <t>paper178</t>
  </si>
  <si>
    <t>study243</t>
  </si>
  <si>
    <t>es813</t>
  </si>
  <si>
    <t>Haliotis discus hannai</t>
  </si>
  <si>
    <t xml:space="preserve">How healthy is your mate? Sex-specific consequences of parasite infections in the moth Helicoverpa armigera </t>
  </si>
  <si>
    <t>Gao et al</t>
  </si>
  <si>
    <t xml:space="preserve">10.1016/j.anbehav.2021.06.005 </t>
  </si>
  <si>
    <t>paper179</t>
  </si>
  <si>
    <t>study244</t>
  </si>
  <si>
    <t>es814</t>
  </si>
  <si>
    <t>Lepetellida</t>
  </si>
  <si>
    <t>es815</t>
  </si>
  <si>
    <t>paper180</t>
  </si>
  <si>
    <t>es816</t>
  </si>
  <si>
    <t>es817</t>
  </si>
  <si>
    <t xml:space="preserve">Male-Male Competition Causes Parasite-Mediated Sexual Selection for Local Adaptation </t>
  </si>
  <si>
    <t>10.1086/710039</t>
  </si>
  <si>
    <t>paper181</t>
  </si>
  <si>
    <t>study246</t>
  </si>
  <si>
    <t>experiment332</t>
  </si>
  <si>
    <t>es818</t>
  </si>
  <si>
    <t xml:space="preserve">Ischnura elegans </t>
  </si>
  <si>
    <t>Gomez-Llano et al</t>
  </si>
  <si>
    <t>study247</t>
  </si>
  <si>
    <t>experiment333</t>
  </si>
  <si>
    <t>es819</t>
  </si>
  <si>
    <t>experiment334</t>
  </si>
  <si>
    <t>es820</t>
  </si>
  <si>
    <t>study248</t>
  </si>
  <si>
    <t>experiment335</t>
  </si>
  <si>
    <t>es821</t>
  </si>
  <si>
    <t>Immune defense in Drosophila melanogaster depends on diet, sex, and mating status</t>
  </si>
  <si>
    <t>Rai et al</t>
  </si>
  <si>
    <t>10.1371/journal.pone.0268415</t>
  </si>
  <si>
    <t xml:space="preserve">Gut parasites infection increases mate rejection in a species with indirect sperm transfer </t>
  </si>
  <si>
    <t>Pietri et al</t>
  </si>
  <si>
    <t xml:space="preserve">10.1111/eth.13380 </t>
  </si>
  <si>
    <t>paper182</t>
  </si>
  <si>
    <t>study249</t>
  </si>
  <si>
    <t>experiment336</t>
  </si>
  <si>
    <t>es822</t>
  </si>
  <si>
    <t xml:space="preserve">Lustrochernes argentinus </t>
  </si>
  <si>
    <t>Pseudoscorpiones</t>
  </si>
  <si>
    <t>es823</t>
  </si>
  <si>
    <t>es824</t>
  </si>
  <si>
    <t>es825</t>
  </si>
  <si>
    <t>paper183</t>
  </si>
  <si>
    <t>paper184</t>
  </si>
  <si>
    <t>paper185</t>
  </si>
  <si>
    <t>Immunosenescence along with direct physiological allocation trade-offs between life history and immunity in the red palm weevil Rhynchophorus ferrugineus</t>
  </si>
  <si>
    <t>Pu et al</t>
  </si>
  <si>
    <t>10.1016/j.dci.2021.104143</t>
  </si>
  <si>
    <t>study250</t>
  </si>
  <si>
    <t>experiment337</t>
  </si>
  <si>
    <t>es826</t>
  </si>
  <si>
    <t xml:space="preserve">Rhynchophorus ferrugineus </t>
  </si>
  <si>
    <t>es827</t>
  </si>
  <si>
    <t>study251</t>
  </si>
  <si>
    <t>experiment338</t>
  </si>
  <si>
    <t>es828</t>
  </si>
  <si>
    <t>es829</t>
  </si>
  <si>
    <t>10c</t>
  </si>
  <si>
    <t>experiment339</t>
  </si>
  <si>
    <t>es830</t>
  </si>
  <si>
    <t>es831</t>
  </si>
  <si>
    <t>11a</t>
  </si>
  <si>
    <t>es832</t>
  </si>
  <si>
    <t>es833</t>
  </si>
  <si>
    <t>11b</t>
  </si>
  <si>
    <t xml:space="preserve">Effects of an entomopathogenic fungus on the reproductive potential of Drosophila males </t>
  </si>
  <si>
    <t>Liao et al</t>
  </si>
  <si>
    <t xml:space="preserve">10.1002/ece3.11242 </t>
  </si>
  <si>
    <t>experiment340</t>
  </si>
  <si>
    <t>es834</t>
  </si>
  <si>
    <t>es835</t>
  </si>
  <si>
    <t>experiment341</t>
  </si>
  <si>
    <t>es836</t>
  </si>
  <si>
    <t>es837</t>
  </si>
  <si>
    <t>Dynamic terminal investment in male burying beetles</t>
  </si>
  <si>
    <t>Farchmin et al</t>
  </si>
  <si>
    <t>10.1016/j.anbehav.2020.02.015</t>
  </si>
  <si>
    <t>study252</t>
  </si>
  <si>
    <t>experiment342</t>
  </si>
  <si>
    <t>es838</t>
  </si>
  <si>
    <t>Nicrophorus marginatus</t>
  </si>
  <si>
    <t>es839</t>
  </si>
  <si>
    <t>experiment343</t>
  </si>
  <si>
    <t xml:space="preserve">Parasite-mediated sexual selection in a damselfly </t>
  </si>
  <si>
    <t>Khan et al</t>
  </si>
  <si>
    <t xml:space="preserve">10.1111/eth.13315 </t>
  </si>
  <si>
    <t>paper186</t>
  </si>
  <si>
    <t>study253</t>
  </si>
  <si>
    <t>experiment344</t>
  </si>
  <si>
    <t>es840</t>
  </si>
  <si>
    <t xml:space="preserve">Agriocnemis pygmaea </t>
  </si>
  <si>
    <t>es841</t>
  </si>
  <si>
    <t xml:space="preserve">Reproductive consequences of the interaction Trypanosoma cruzi − Triatoma infestans and its trade-off with survival </t>
  </si>
  <si>
    <t>Lobbia et al</t>
  </si>
  <si>
    <t xml:space="preserve">10.1016/j.jip.2024.108183 </t>
  </si>
  <si>
    <t>paper187</t>
  </si>
  <si>
    <t>study254</t>
  </si>
  <si>
    <t>experiment345</t>
  </si>
  <si>
    <t>es842</t>
  </si>
  <si>
    <t xml:space="preserve">Triatoma infestans </t>
  </si>
  <si>
    <t>es843</t>
  </si>
  <si>
    <t>10.1016/j.jip.2024.108184</t>
  </si>
  <si>
    <t>10.1016/j.jip.2024.108185</t>
  </si>
  <si>
    <t>10.1016/j.jip.2024.108186</t>
  </si>
  <si>
    <t>10.1016/j.jip.2024.108187</t>
  </si>
  <si>
    <t>es844</t>
  </si>
  <si>
    <t>es845</t>
  </si>
  <si>
    <t>es846</t>
  </si>
  <si>
    <t>es847</t>
  </si>
  <si>
    <t>es848</t>
  </si>
  <si>
    <t>es849</t>
  </si>
  <si>
    <t>10.1093/beheco/arad022</t>
  </si>
  <si>
    <t>10.1093/beheco/arad023</t>
  </si>
  <si>
    <t>10.1093/beheco/arad024</t>
  </si>
  <si>
    <t>10.1093/beheco/arad025</t>
  </si>
  <si>
    <t>10.1093/beheco/arad026</t>
  </si>
  <si>
    <t>10.1093/beheco/arad027</t>
  </si>
  <si>
    <t>10.1093/beheco/arad028</t>
  </si>
  <si>
    <t>10.1093/beheco/arad029</t>
  </si>
  <si>
    <t>10.1093/beheco/arad030</t>
  </si>
  <si>
    <t>10.1093/beheco/arad031</t>
  </si>
  <si>
    <t>paper188</t>
  </si>
  <si>
    <t>study255</t>
  </si>
  <si>
    <t>es850</t>
  </si>
  <si>
    <t>es851</t>
  </si>
  <si>
    <t>es852</t>
  </si>
  <si>
    <t>es853</t>
  </si>
  <si>
    <t>es854</t>
  </si>
  <si>
    <t>es855</t>
  </si>
  <si>
    <t>es856</t>
  </si>
  <si>
    <t>es857</t>
  </si>
  <si>
    <t>es858</t>
  </si>
  <si>
    <t>es859</t>
  </si>
  <si>
    <t>es860</t>
  </si>
  <si>
    <t>es861</t>
  </si>
  <si>
    <t>es862</t>
  </si>
  <si>
    <t>es863</t>
  </si>
  <si>
    <t>es864</t>
  </si>
  <si>
    <t>es865</t>
  </si>
  <si>
    <t>es866</t>
  </si>
  <si>
    <t>es867</t>
  </si>
  <si>
    <t>es868</t>
  </si>
  <si>
    <t>es869</t>
  </si>
  <si>
    <t>es870</t>
  </si>
  <si>
    <t>es871</t>
  </si>
  <si>
    <t>ejaculate</t>
  </si>
  <si>
    <t>es872</t>
  </si>
  <si>
    <t>es873</t>
  </si>
  <si>
    <t>study256</t>
  </si>
  <si>
    <t>10.1093/beheco/arad032</t>
  </si>
  <si>
    <t>10.1093/beheco/arad033</t>
  </si>
  <si>
    <t>10.1093/beheco/arad034</t>
  </si>
  <si>
    <t>10.1093/beheco/arad035</t>
  </si>
  <si>
    <t>10.1093/beheco/arad036</t>
  </si>
  <si>
    <t>10.1093/beheco/arad040</t>
  </si>
  <si>
    <t>10.1093/beheco/arad041</t>
  </si>
  <si>
    <t>10.1093/beheco/arad042</t>
  </si>
  <si>
    <t>10.1093/beheco/arad043</t>
  </si>
  <si>
    <t>10.1093/beheco/arad044</t>
  </si>
  <si>
    <t>10.1093/beheco/arad045</t>
  </si>
  <si>
    <t>10.1093/beheco/arad046</t>
  </si>
  <si>
    <t>10.1093/beheco/arad047</t>
  </si>
  <si>
    <t>10.1093/beheco/arad048</t>
  </si>
  <si>
    <t>10.1093/beheco/arad049</t>
  </si>
  <si>
    <t>10.1093/beheco/arad050</t>
  </si>
  <si>
    <t>10.1093/beheco/arad051</t>
  </si>
  <si>
    <t>10.1093/beheco/arad052</t>
  </si>
  <si>
    <t>10.1093/beheco/arad053</t>
  </si>
  <si>
    <t>10.1093/beheco/arad054</t>
  </si>
  <si>
    <t>es874</t>
  </si>
  <si>
    <t>es875</t>
  </si>
  <si>
    <t>es876</t>
  </si>
  <si>
    <t>es877</t>
  </si>
  <si>
    <t>es878</t>
  </si>
  <si>
    <t>es879</t>
  </si>
  <si>
    <t>es880</t>
  </si>
  <si>
    <t>es881</t>
  </si>
  <si>
    <t>es882</t>
  </si>
  <si>
    <t>es883</t>
  </si>
  <si>
    <t>es884</t>
  </si>
  <si>
    <t>es885</t>
  </si>
  <si>
    <t>es886</t>
  </si>
  <si>
    <t>es887</t>
  </si>
  <si>
    <t>es888</t>
  </si>
  <si>
    <t>es889</t>
  </si>
  <si>
    <t>es890</t>
  </si>
  <si>
    <t>es891</t>
  </si>
  <si>
    <t>es892</t>
  </si>
  <si>
    <t>es893</t>
  </si>
  <si>
    <t>es894</t>
  </si>
  <si>
    <t>es895</t>
  </si>
  <si>
    <t>es896</t>
  </si>
  <si>
    <t>es897</t>
  </si>
  <si>
    <t>es898</t>
  </si>
  <si>
    <t>es899</t>
  </si>
  <si>
    <t>es900</t>
  </si>
  <si>
    <t>es901</t>
  </si>
  <si>
    <t>es902</t>
  </si>
  <si>
    <t>es903</t>
  </si>
  <si>
    <t>es904</t>
  </si>
  <si>
    <t>es905</t>
  </si>
  <si>
    <t>es906</t>
  </si>
  <si>
    <t>Allocosa senex</t>
  </si>
  <si>
    <t>burrow</t>
  </si>
  <si>
    <t>Astrangia poculata</t>
  </si>
  <si>
    <t>sperm</t>
  </si>
  <si>
    <t>song , weapon</t>
  </si>
  <si>
    <t>Magicicada septendecim</t>
  </si>
  <si>
    <t>Magicicada cassini</t>
  </si>
  <si>
    <t>reverse</t>
  </si>
  <si>
    <t>direction_inferential_stats</t>
  </si>
  <si>
    <t>phagocytic index</t>
  </si>
  <si>
    <t>total phagocytic capacity</t>
  </si>
  <si>
    <t>total hemocyte count</t>
  </si>
  <si>
    <t>percentage phagocytosis</t>
  </si>
  <si>
    <t>Ahtiainen_et_al</t>
  </si>
  <si>
    <t>Nielsen&amp;Holman</t>
  </si>
  <si>
    <t>Steiger et al</t>
  </si>
  <si>
    <t xml:space="preserve">Reproduction and immunity trade-offs constrain mating signals and nuptial gift size in a bushcricket </t>
  </si>
  <si>
    <t>10.1371/journal.pone.0121614</t>
  </si>
  <si>
    <t>10.1093/biolinnean/blaa044</t>
  </si>
  <si>
    <t>10.1016/j.anbehav.2015.04.018</t>
  </si>
  <si>
    <t>paper189</t>
  </si>
  <si>
    <t>study257</t>
  </si>
  <si>
    <t>es907</t>
  </si>
  <si>
    <t>es908</t>
  </si>
  <si>
    <t>es909</t>
  </si>
  <si>
    <t>es910</t>
  </si>
  <si>
    <t>es911</t>
  </si>
  <si>
    <t>es912</t>
  </si>
  <si>
    <t>es913</t>
  </si>
  <si>
    <t>es914</t>
  </si>
  <si>
    <t>experiment270</t>
  </si>
  <si>
    <t>study186</t>
  </si>
  <si>
    <t>heat-killed fungus</t>
  </si>
  <si>
    <t>study15</t>
  </si>
  <si>
    <t>study258</t>
  </si>
  <si>
    <t>study259</t>
  </si>
  <si>
    <t>study260</t>
  </si>
  <si>
    <t>study261</t>
  </si>
  <si>
    <t>study262</t>
  </si>
  <si>
    <t>study263</t>
  </si>
  <si>
    <t>study264</t>
  </si>
  <si>
    <t>experiment346</t>
  </si>
  <si>
    <t>experiment347</t>
  </si>
  <si>
    <t>study265</t>
  </si>
  <si>
    <t>study266</t>
  </si>
  <si>
    <t>experiment348</t>
  </si>
  <si>
    <t>experiment349</t>
  </si>
  <si>
    <t>experiment350</t>
  </si>
  <si>
    <t>precopulatory_postcopulatory_traits</t>
  </si>
  <si>
    <t>pre_or_post_species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</si>
</sst>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8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4" fillId="0" borderId="0" xfId="0" applyFont="1"/>
    <xf numFmtId="0" fontId="5" fillId="0" borderId="0" xfId="0" applyFont="1"/>
    <xf numFmtId="49" fontId="0" fillId="0" borderId="0" xfId="0" applyNumberFormat="1"/>
    <xf numFmtId="4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6" fillId="0" borderId="0" xfId="0" applyFont="1"/>
    <xf numFmtId="0" fontId="0" fillId="0" borderId="0" xfId="0" applyFill="1" applyAlignment="1">
      <alignment wrapText="1"/>
    </xf>
    <xf numFmtId="0" fontId="0" fillId="0" borderId="0" xfId="0" applyFill="1"/>
    <xf numFmtId="0" fontId="4" fillId="0" borderId="0" xfId="0" applyFont="1" applyFill="1"/>
  </cellXfs>
  <cellStyles count="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784"/>
  <sheetViews>
    <sheetView tabSelected="1" zoomScale="120" zoomScaleNormal="120" zoomScalePageLayoutView="150" workbookViewId="0">
      <pane ySplit="1" topLeftCell="A2" activePane="bottomLeft" state="frozen"/>
      <selection pane="bottomLeft" activeCell="AY9" sqref="AY9"/>
    </sheetView>
  </sheetViews>
  <sheetFormatPr baseColWidth="10" defaultColWidth="10.1640625" defaultRowHeight="16" x14ac:dyDescent="0.2"/>
  <cols>
    <col min="1" max="1" width="55.1640625" customWidth="1"/>
    <col min="2" max="2" width="22.5" bestFit="1" customWidth="1"/>
    <col min="3" max="6" width="10.1640625" customWidth="1"/>
    <col min="7" max="7" width="14" customWidth="1"/>
    <col min="8" max="8" width="10.1640625" customWidth="1"/>
    <col min="9" max="9" width="29" customWidth="1"/>
    <col min="10" max="10" width="10.1640625" customWidth="1"/>
    <col min="11" max="11" width="13.83203125" customWidth="1"/>
    <col min="12" max="12" width="10.1640625" customWidth="1"/>
    <col min="13" max="13" width="19.1640625" customWidth="1"/>
    <col min="14" max="14" width="13.83203125" customWidth="1"/>
    <col min="15" max="15" width="13.1640625" style="18" customWidth="1"/>
    <col min="16" max="16" width="20.33203125" style="18" customWidth="1"/>
    <col min="17" max="17" width="10.1640625" customWidth="1"/>
    <col min="18" max="18" width="15.6640625" customWidth="1"/>
    <col min="19" max="20" width="10.1640625" customWidth="1"/>
    <col min="21" max="21" width="17.6640625" customWidth="1"/>
    <col min="22" max="24" width="10.1640625" customWidth="1"/>
    <col min="25" max="25" width="13.83203125" customWidth="1"/>
    <col min="26" max="46" width="10.1640625" customWidth="1"/>
    <col min="47" max="47" width="3.83203125" customWidth="1"/>
    <col min="48" max="48" width="24.5" customWidth="1"/>
    <col min="49" max="49" width="20.83203125" customWidth="1"/>
    <col min="50" max="50" width="20" customWidth="1"/>
    <col min="51" max="51" width="21.6640625" customWidth="1"/>
    <col min="52" max="52" width="15.1640625" customWidth="1"/>
  </cols>
  <sheetData>
    <row r="1" spans="1:52" s="1" customFormat="1" ht="16" customHeight="1" x14ac:dyDescent="0.2">
      <c r="A1" s="1" t="s">
        <v>5</v>
      </c>
      <c r="B1" s="1" t="s">
        <v>1</v>
      </c>
      <c r="C1" s="1" t="s">
        <v>2</v>
      </c>
      <c r="D1" s="1" t="s">
        <v>9</v>
      </c>
      <c r="E1" s="1" t="s">
        <v>6</v>
      </c>
      <c r="F1" s="1" t="s">
        <v>8</v>
      </c>
      <c r="G1" s="1" t="s">
        <v>87</v>
      </c>
      <c r="H1" s="1" t="s">
        <v>7</v>
      </c>
      <c r="I1" s="1" t="s">
        <v>0</v>
      </c>
      <c r="J1" s="1" t="s">
        <v>3</v>
      </c>
      <c r="K1" s="1" t="s">
        <v>22</v>
      </c>
      <c r="L1" s="1" t="s">
        <v>10</v>
      </c>
      <c r="M1" s="1" t="s">
        <v>79</v>
      </c>
      <c r="N1" s="1" t="s">
        <v>1826</v>
      </c>
      <c r="O1" s="17" t="s">
        <v>2310</v>
      </c>
      <c r="P1" s="17" t="s">
        <v>28</v>
      </c>
      <c r="Q1" s="1" t="s">
        <v>36</v>
      </c>
      <c r="R1" s="1" t="s">
        <v>215</v>
      </c>
      <c r="S1" s="1" t="s">
        <v>46</v>
      </c>
      <c r="T1" s="1" t="s">
        <v>54</v>
      </c>
      <c r="U1" s="1" t="s">
        <v>55</v>
      </c>
      <c r="V1" s="1" t="s">
        <v>77</v>
      </c>
      <c r="W1" s="2" t="s">
        <v>56</v>
      </c>
      <c r="X1" s="2" t="s">
        <v>58</v>
      </c>
      <c r="Y1" s="2" t="s">
        <v>65</v>
      </c>
      <c r="Z1" s="2" t="s">
        <v>66</v>
      </c>
      <c r="AA1" s="3" t="s">
        <v>69</v>
      </c>
      <c r="AB1" s="3" t="s">
        <v>57</v>
      </c>
      <c r="AC1" s="3" t="s">
        <v>70</v>
      </c>
      <c r="AD1" s="3" t="s">
        <v>59</v>
      </c>
      <c r="AE1" s="3" t="s">
        <v>73</v>
      </c>
      <c r="AF1" s="3" t="s">
        <v>60</v>
      </c>
      <c r="AG1" s="1" t="s">
        <v>1787</v>
      </c>
      <c r="AH1" s="3" t="s">
        <v>212</v>
      </c>
      <c r="AI1" s="3" t="s">
        <v>1788</v>
      </c>
      <c r="AJ1" s="3" t="s">
        <v>1789</v>
      </c>
      <c r="AK1" s="4" t="s">
        <v>67</v>
      </c>
      <c r="AL1" s="4" t="s">
        <v>68</v>
      </c>
      <c r="AM1" s="4" t="s">
        <v>94</v>
      </c>
      <c r="AN1" s="5" t="s">
        <v>64</v>
      </c>
      <c r="AO1" s="6" t="s">
        <v>4</v>
      </c>
      <c r="AP1" s="6" t="s">
        <v>80</v>
      </c>
      <c r="AQ1" s="1" t="s">
        <v>493</v>
      </c>
      <c r="AR1" s="6" t="s">
        <v>1027</v>
      </c>
      <c r="AS1" s="1" t="s">
        <v>851</v>
      </c>
      <c r="AT1" s="1" t="s">
        <v>850</v>
      </c>
      <c r="AU1" s="1" t="s">
        <v>2270</v>
      </c>
      <c r="AV1" s="1" t="s">
        <v>1799</v>
      </c>
      <c r="AW1" s="1" t="s">
        <v>1800</v>
      </c>
      <c r="AX1" s="1" t="s">
        <v>1801</v>
      </c>
      <c r="AY1" s="1" t="s">
        <v>1802</v>
      </c>
      <c r="AZ1" s="1" t="s">
        <v>2311</v>
      </c>
    </row>
    <row r="2" spans="1:52" x14ac:dyDescent="0.2">
      <c r="A2" t="s">
        <v>85</v>
      </c>
      <c r="B2" t="s">
        <v>86</v>
      </c>
      <c r="D2">
        <v>2001</v>
      </c>
      <c r="E2" t="s">
        <v>168</v>
      </c>
      <c r="F2" t="s">
        <v>216</v>
      </c>
      <c r="G2" t="s">
        <v>853</v>
      </c>
      <c r="H2" t="s">
        <v>180</v>
      </c>
      <c r="I2" t="s">
        <v>84</v>
      </c>
      <c r="J2" t="s">
        <v>82</v>
      </c>
      <c r="K2" t="s">
        <v>35</v>
      </c>
      <c r="L2" t="s">
        <v>11</v>
      </c>
      <c r="M2" t="s">
        <v>17</v>
      </c>
      <c r="N2">
        <v>1</v>
      </c>
      <c r="O2" s="18" t="s">
        <v>20</v>
      </c>
      <c r="P2" s="18" t="s">
        <v>1824</v>
      </c>
      <c r="S2" t="s">
        <v>47</v>
      </c>
      <c r="T2" t="s">
        <v>51</v>
      </c>
      <c r="U2">
        <v>95</v>
      </c>
      <c r="W2">
        <v>27</v>
      </c>
      <c r="X2">
        <v>27</v>
      </c>
      <c r="AA2">
        <v>222</v>
      </c>
      <c r="AB2">
        <v>29.1</v>
      </c>
      <c r="AC2">
        <v>195</v>
      </c>
      <c r="AD2">
        <v>24.2</v>
      </c>
      <c r="AE2" t="s">
        <v>71</v>
      </c>
      <c r="AF2" t="s">
        <v>62</v>
      </c>
      <c r="AG2" t="str">
        <f>IF(AE2="mean", "mean", "")</f>
        <v>mean</v>
      </c>
      <c r="AH2" t="s">
        <v>213</v>
      </c>
      <c r="AS2" t="s">
        <v>849</v>
      </c>
      <c r="AT2" t="s">
        <v>849</v>
      </c>
      <c r="AV2" t="s">
        <v>1803</v>
      </c>
      <c r="AW2" t="s">
        <v>1807</v>
      </c>
      <c r="AX2" t="s">
        <v>1808</v>
      </c>
      <c r="AY2" t="s">
        <v>1806</v>
      </c>
      <c r="AZ2" t="s">
        <v>76</v>
      </c>
    </row>
    <row r="3" spans="1:52" x14ac:dyDescent="0.2">
      <c r="A3" t="s">
        <v>85</v>
      </c>
      <c r="B3" t="s">
        <v>86</v>
      </c>
      <c r="D3">
        <v>2001</v>
      </c>
      <c r="E3" t="s">
        <v>168</v>
      </c>
      <c r="F3" t="s">
        <v>216</v>
      </c>
      <c r="G3" t="s">
        <v>853</v>
      </c>
      <c r="H3" t="s">
        <v>181</v>
      </c>
      <c r="I3" t="s">
        <v>84</v>
      </c>
      <c r="J3" t="s">
        <v>82</v>
      </c>
      <c r="K3" t="s">
        <v>35</v>
      </c>
      <c r="L3" t="s">
        <v>11</v>
      </c>
      <c r="M3" t="s">
        <v>17</v>
      </c>
      <c r="N3">
        <v>1</v>
      </c>
      <c r="O3" s="18" t="s">
        <v>20</v>
      </c>
      <c r="P3" s="18" t="s">
        <v>1824</v>
      </c>
      <c r="S3" t="s">
        <v>47</v>
      </c>
      <c r="T3" t="s">
        <v>51</v>
      </c>
      <c r="U3">
        <v>95</v>
      </c>
      <c r="W3">
        <v>27</v>
      </c>
      <c r="X3">
        <v>27</v>
      </c>
      <c r="AA3">
        <v>4.3</v>
      </c>
      <c r="AB3">
        <v>0.43</v>
      </c>
      <c r="AC3">
        <v>4.3</v>
      </c>
      <c r="AD3">
        <v>0.47</v>
      </c>
      <c r="AE3" t="s">
        <v>71</v>
      </c>
      <c r="AF3" t="s">
        <v>62</v>
      </c>
      <c r="AG3" t="str">
        <f>IF(AE3="mean", "mean", "")</f>
        <v>mean</v>
      </c>
      <c r="AH3" t="s">
        <v>213</v>
      </c>
      <c r="AS3" t="s">
        <v>849</v>
      </c>
      <c r="AT3" t="s">
        <v>849</v>
      </c>
      <c r="AV3" t="s">
        <v>1803</v>
      </c>
      <c r="AW3" t="s">
        <v>1807</v>
      </c>
      <c r="AX3" t="s">
        <v>1808</v>
      </c>
      <c r="AY3" t="s">
        <v>1806</v>
      </c>
      <c r="AZ3" t="s">
        <v>76</v>
      </c>
    </row>
    <row r="4" spans="1:52" x14ac:dyDescent="0.2">
      <c r="A4" t="s">
        <v>85</v>
      </c>
      <c r="B4" t="s">
        <v>86</v>
      </c>
      <c r="D4">
        <v>2001</v>
      </c>
      <c r="E4" t="s">
        <v>168</v>
      </c>
      <c r="F4" t="s">
        <v>217</v>
      </c>
      <c r="G4" t="s">
        <v>854</v>
      </c>
      <c r="H4" t="s">
        <v>182</v>
      </c>
      <c r="I4" t="s">
        <v>84</v>
      </c>
      <c r="J4" t="s">
        <v>82</v>
      </c>
      <c r="K4" t="s">
        <v>34</v>
      </c>
      <c r="O4" s="18" t="s">
        <v>20</v>
      </c>
      <c r="P4" s="18" t="s">
        <v>27</v>
      </c>
      <c r="Q4" t="s">
        <v>38</v>
      </c>
      <c r="R4" t="s">
        <v>44</v>
      </c>
      <c r="S4" t="s">
        <v>47</v>
      </c>
      <c r="T4" t="s">
        <v>51</v>
      </c>
      <c r="U4">
        <v>96</v>
      </c>
      <c r="W4">
        <v>36</v>
      </c>
      <c r="X4">
        <v>30</v>
      </c>
      <c r="Y4">
        <v>34</v>
      </c>
      <c r="Z4">
        <v>29</v>
      </c>
      <c r="AG4" t="s">
        <v>1790</v>
      </c>
      <c r="AH4" t="s">
        <v>213</v>
      </c>
      <c r="AS4" t="s">
        <v>222</v>
      </c>
      <c r="AT4" t="s">
        <v>849</v>
      </c>
      <c r="AV4" t="s">
        <v>1803</v>
      </c>
      <c r="AW4" t="s">
        <v>1807</v>
      </c>
      <c r="AX4" t="s">
        <v>1808</v>
      </c>
      <c r="AY4" t="s">
        <v>1806</v>
      </c>
      <c r="AZ4" t="s">
        <v>76</v>
      </c>
    </row>
    <row r="5" spans="1:52" x14ac:dyDescent="0.2">
      <c r="A5" t="s">
        <v>85</v>
      </c>
      <c r="B5" t="s">
        <v>86</v>
      </c>
      <c r="D5">
        <v>2001</v>
      </c>
      <c r="E5" t="s">
        <v>168</v>
      </c>
      <c r="F5" t="s">
        <v>216</v>
      </c>
      <c r="G5" t="s">
        <v>855</v>
      </c>
      <c r="H5" t="s">
        <v>183</v>
      </c>
      <c r="I5" t="s">
        <v>84</v>
      </c>
      <c r="J5" t="s">
        <v>82</v>
      </c>
      <c r="K5" t="s">
        <v>34</v>
      </c>
      <c r="O5" s="18" t="s">
        <v>20</v>
      </c>
      <c r="P5" s="18" t="s">
        <v>26</v>
      </c>
      <c r="Q5" t="s">
        <v>38</v>
      </c>
      <c r="R5" t="s">
        <v>44</v>
      </c>
      <c r="S5" t="s">
        <v>47</v>
      </c>
      <c r="T5" t="s">
        <v>51</v>
      </c>
      <c r="U5">
        <v>96</v>
      </c>
      <c r="AG5" t="s">
        <v>4</v>
      </c>
      <c r="AH5" t="s">
        <v>214</v>
      </c>
      <c r="AN5">
        <v>30</v>
      </c>
      <c r="AO5">
        <v>-0.23400000000000001</v>
      </c>
      <c r="AS5" t="s">
        <v>849</v>
      </c>
      <c r="AT5" t="s">
        <v>849</v>
      </c>
      <c r="AV5" t="s">
        <v>1803</v>
      </c>
      <c r="AW5" t="s">
        <v>1807</v>
      </c>
      <c r="AX5" t="s">
        <v>1808</v>
      </c>
      <c r="AY5" t="s">
        <v>1806</v>
      </c>
      <c r="AZ5" t="s">
        <v>76</v>
      </c>
    </row>
    <row r="6" spans="1:52" x14ac:dyDescent="0.2">
      <c r="A6" t="s">
        <v>85</v>
      </c>
      <c r="B6" t="s">
        <v>86</v>
      </c>
      <c r="D6">
        <v>2001</v>
      </c>
      <c r="E6" t="s">
        <v>168</v>
      </c>
      <c r="F6" t="s">
        <v>216</v>
      </c>
      <c r="G6" t="s">
        <v>855</v>
      </c>
      <c r="H6" t="s">
        <v>184</v>
      </c>
      <c r="I6" t="s">
        <v>84</v>
      </c>
      <c r="J6" t="s">
        <v>82</v>
      </c>
      <c r="K6" t="s">
        <v>34</v>
      </c>
      <c r="O6" s="18" t="s">
        <v>20</v>
      </c>
      <c r="P6" s="18" t="s">
        <v>26</v>
      </c>
      <c r="Q6" t="s">
        <v>38</v>
      </c>
      <c r="R6" t="s">
        <v>44</v>
      </c>
      <c r="S6" t="s">
        <v>47</v>
      </c>
      <c r="T6" t="s">
        <v>51</v>
      </c>
      <c r="U6">
        <v>96</v>
      </c>
      <c r="AG6" t="s">
        <v>4</v>
      </c>
      <c r="AH6" t="s">
        <v>214</v>
      </c>
      <c r="AN6">
        <v>30</v>
      </c>
      <c r="AO6">
        <v>-0.153</v>
      </c>
      <c r="AS6" t="s">
        <v>849</v>
      </c>
      <c r="AT6" t="s">
        <v>849</v>
      </c>
      <c r="AV6" t="s">
        <v>1803</v>
      </c>
      <c r="AW6" t="s">
        <v>1807</v>
      </c>
      <c r="AX6" t="s">
        <v>1808</v>
      </c>
      <c r="AY6" t="s">
        <v>1806</v>
      </c>
      <c r="AZ6" t="s">
        <v>76</v>
      </c>
    </row>
    <row r="7" spans="1:52" x14ac:dyDescent="0.2">
      <c r="A7" t="s">
        <v>85</v>
      </c>
      <c r="B7" t="s">
        <v>86</v>
      </c>
      <c r="D7">
        <v>2001</v>
      </c>
      <c r="E7" t="s">
        <v>168</v>
      </c>
      <c r="F7" t="s">
        <v>216</v>
      </c>
      <c r="G7" t="s">
        <v>856</v>
      </c>
      <c r="H7" t="s">
        <v>185</v>
      </c>
      <c r="I7" t="s">
        <v>84</v>
      </c>
      <c r="J7" t="s">
        <v>82</v>
      </c>
      <c r="K7" t="s">
        <v>35</v>
      </c>
      <c r="L7" t="s">
        <v>11</v>
      </c>
      <c r="M7" t="s">
        <v>17</v>
      </c>
      <c r="N7">
        <v>1</v>
      </c>
      <c r="O7" s="18" t="s">
        <v>20</v>
      </c>
      <c r="P7" s="18" t="s">
        <v>26</v>
      </c>
      <c r="S7" t="s">
        <v>47</v>
      </c>
      <c r="T7" t="s">
        <v>51</v>
      </c>
      <c r="U7">
        <v>97</v>
      </c>
      <c r="W7">
        <v>18</v>
      </c>
      <c r="X7">
        <v>18</v>
      </c>
      <c r="Y7">
        <v>6</v>
      </c>
      <c r="Z7">
        <v>12</v>
      </c>
      <c r="AG7" t="s">
        <v>1790</v>
      </c>
      <c r="AH7" t="s">
        <v>213</v>
      </c>
      <c r="AS7" t="s">
        <v>849</v>
      </c>
      <c r="AT7" t="s">
        <v>849</v>
      </c>
      <c r="AV7" t="s">
        <v>1803</v>
      </c>
      <c r="AW7" t="s">
        <v>1807</v>
      </c>
      <c r="AX7" t="s">
        <v>1808</v>
      </c>
      <c r="AY7" t="s">
        <v>1806</v>
      </c>
      <c r="AZ7" t="s">
        <v>76</v>
      </c>
    </row>
    <row r="8" spans="1:52" x14ac:dyDescent="0.2">
      <c r="A8" t="s">
        <v>85</v>
      </c>
      <c r="B8" t="s">
        <v>86</v>
      </c>
      <c r="D8">
        <v>2001</v>
      </c>
      <c r="E8" t="s">
        <v>168</v>
      </c>
      <c r="F8" t="s">
        <v>216</v>
      </c>
      <c r="G8" t="s">
        <v>856</v>
      </c>
      <c r="H8" t="s">
        <v>186</v>
      </c>
      <c r="I8" t="s">
        <v>84</v>
      </c>
      <c r="J8" t="s">
        <v>82</v>
      </c>
      <c r="K8" t="s">
        <v>34</v>
      </c>
      <c r="O8" s="18" t="s">
        <v>20</v>
      </c>
      <c r="P8" s="18" t="s">
        <v>26</v>
      </c>
      <c r="Q8" t="s">
        <v>38</v>
      </c>
      <c r="R8" t="s">
        <v>44</v>
      </c>
      <c r="S8" t="s">
        <v>47</v>
      </c>
      <c r="T8" t="s">
        <v>51</v>
      </c>
      <c r="U8">
        <v>97</v>
      </c>
      <c r="AG8" t="s">
        <v>4</v>
      </c>
      <c r="AH8" t="s">
        <v>214</v>
      </c>
      <c r="AN8">
        <v>17</v>
      </c>
      <c r="AO8">
        <v>0.53200000000000003</v>
      </c>
      <c r="AS8" t="s">
        <v>849</v>
      </c>
      <c r="AT8" t="s">
        <v>849</v>
      </c>
      <c r="AV8" t="s">
        <v>1803</v>
      </c>
      <c r="AW8" t="s">
        <v>1807</v>
      </c>
      <c r="AX8" t="s">
        <v>1808</v>
      </c>
      <c r="AY8" t="s">
        <v>1806</v>
      </c>
      <c r="AZ8" t="s">
        <v>76</v>
      </c>
    </row>
    <row r="9" spans="1:52" x14ac:dyDescent="0.2">
      <c r="A9" t="s">
        <v>85</v>
      </c>
      <c r="B9" t="s">
        <v>86</v>
      </c>
      <c r="D9">
        <v>2001</v>
      </c>
      <c r="E9" t="s">
        <v>168</v>
      </c>
      <c r="F9" t="s">
        <v>216</v>
      </c>
      <c r="G9" t="s">
        <v>856</v>
      </c>
      <c r="H9" t="s">
        <v>105</v>
      </c>
      <c r="I9" t="s">
        <v>84</v>
      </c>
      <c r="J9" t="s">
        <v>82</v>
      </c>
      <c r="K9" t="s">
        <v>34</v>
      </c>
      <c r="O9" s="18" t="s">
        <v>20</v>
      </c>
      <c r="P9" s="18" t="s">
        <v>26</v>
      </c>
      <c r="Q9" t="s">
        <v>38</v>
      </c>
      <c r="R9" t="s">
        <v>44</v>
      </c>
      <c r="S9" t="s">
        <v>47</v>
      </c>
      <c r="T9" t="s">
        <v>51</v>
      </c>
      <c r="U9">
        <v>97</v>
      </c>
      <c r="AG9" t="s">
        <v>4</v>
      </c>
      <c r="AH9" t="s">
        <v>214</v>
      </c>
      <c r="AN9">
        <v>17</v>
      </c>
      <c r="AO9">
        <v>0.52</v>
      </c>
      <c r="AS9" t="s">
        <v>849</v>
      </c>
      <c r="AT9" t="s">
        <v>849</v>
      </c>
      <c r="AV9" t="s">
        <v>1803</v>
      </c>
      <c r="AW9" t="s">
        <v>1807</v>
      </c>
      <c r="AX9" t="s">
        <v>1808</v>
      </c>
      <c r="AY9" t="s">
        <v>1806</v>
      </c>
      <c r="AZ9" t="s">
        <v>76</v>
      </c>
    </row>
    <row r="10" spans="1:52" x14ac:dyDescent="0.2">
      <c r="A10" t="s">
        <v>90</v>
      </c>
      <c r="B10" t="s">
        <v>91</v>
      </c>
      <c r="D10">
        <v>1998</v>
      </c>
      <c r="E10" t="s">
        <v>169</v>
      </c>
      <c r="F10" t="s">
        <v>218</v>
      </c>
      <c r="G10" t="s">
        <v>857</v>
      </c>
      <c r="H10" t="s">
        <v>107</v>
      </c>
      <c r="I10" t="s">
        <v>1755</v>
      </c>
      <c r="J10" t="s">
        <v>29</v>
      </c>
      <c r="K10" t="s">
        <v>34</v>
      </c>
      <c r="O10" s="18" t="s">
        <v>76</v>
      </c>
      <c r="P10" s="18" t="s">
        <v>27</v>
      </c>
      <c r="Q10" t="s">
        <v>38</v>
      </c>
      <c r="R10" t="s">
        <v>45</v>
      </c>
      <c r="S10" t="s">
        <v>47</v>
      </c>
      <c r="T10" t="s">
        <v>51</v>
      </c>
      <c r="U10">
        <v>106</v>
      </c>
      <c r="W10">
        <v>113</v>
      </c>
      <c r="X10">
        <v>54</v>
      </c>
      <c r="AA10">
        <v>11.6</v>
      </c>
      <c r="AB10">
        <v>0.99</v>
      </c>
      <c r="AC10">
        <v>7.3</v>
      </c>
      <c r="AD10">
        <v>1.33</v>
      </c>
      <c r="AE10" t="s">
        <v>71</v>
      </c>
      <c r="AF10" t="s">
        <v>62</v>
      </c>
      <c r="AG10" t="str">
        <f>IF(AE10="mean", "mean", "")</f>
        <v>mean</v>
      </c>
      <c r="AH10" t="s">
        <v>213</v>
      </c>
      <c r="AS10" t="s">
        <v>222</v>
      </c>
      <c r="AT10" t="s">
        <v>849</v>
      </c>
      <c r="AV10" t="s">
        <v>1803</v>
      </c>
      <c r="AW10" t="s">
        <v>1807</v>
      </c>
      <c r="AX10" t="s">
        <v>1808</v>
      </c>
      <c r="AY10" t="s">
        <v>1814</v>
      </c>
      <c r="AZ10" t="s">
        <v>76</v>
      </c>
    </row>
    <row r="11" spans="1:52" x14ac:dyDescent="0.2">
      <c r="A11" t="s">
        <v>90</v>
      </c>
      <c r="B11" t="s">
        <v>91</v>
      </c>
      <c r="D11">
        <v>1998</v>
      </c>
      <c r="E11" t="s">
        <v>169</v>
      </c>
      <c r="F11" t="s">
        <v>218</v>
      </c>
      <c r="G11" t="s">
        <v>857</v>
      </c>
      <c r="H11" t="s">
        <v>108</v>
      </c>
      <c r="I11" t="s">
        <v>1755</v>
      </c>
      <c r="J11" t="s">
        <v>29</v>
      </c>
      <c r="K11" t="s">
        <v>34</v>
      </c>
      <c r="O11" s="18" t="s">
        <v>76</v>
      </c>
      <c r="P11" s="18" t="s">
        <v>27</v>
      </c>
      <c r="Q11" t="s">
        <v>38</v>
      </c>
      <c r="R11" t="s">
        <v>45</v>
      </c>
      <c r="S11" t="s">
        <v>47</v>
      </c>
      <c r="T11" t="s">
        <v>51</v>
      </c>
      <c r="U11">
        <v>106</v>
      </c>
      <c r="W11">
        <v>95</v>
      </c>
      <c r="X11">
        <v>72</v>
      </c>
      <c r="Y11">
        <v>49</v>
      </c>
      <c r="Z11">
        <v>19</v>
      </c>
      <c r="AG11" t="s">
        <v>1790</v>
      </c>
      <c r="AH11" t="s">
        <v>213</v>
      </c>
      <c r="AS11" t="s">
        <v>222</v>
      </c>
      <c r="AT11" t="s">
        <v>849</v>
      </c>
      <c r="AV11" t="s">
        <v>1803</v>
      </c>
      <c r="AW11" t="s">
        <v>1807</v>
      </c>
      <c r="AX11" t="s">
        <v>1808</v>
      </c>
      <c r="AY11" t="s">
        <v>1814</v>
      </c>
      <c r="AZ11" t="s">
        <v>76</v>
      </c>
    </row>
    <row r="12" spans="1:52" x14ac:dyDescent="0.2">
      <c r="A12" t="s">
        <v>90</v>
      </c>
      <c r="B12" t="s">
        <v>91</v>
      </c>
      <c r="D12">
        <v>1998</v>
      </c>
      <c r="E12" t="s">
        <v>169</v>
      </c>
      <c r="F12" t="s">
        <v>219</v>
      </c>
      <c r="G12" t="s">
        <v>858</v>
      </c>
      <c r="H12" t="s">
        <v>109</v>
      </c>
      <c r="I12" t="s">
        <v>1755</v>
      </c>
      <c r="J12" t="s">
        <v>29</v>
      </c>
      <c r="K12" t="s">
        <v>34</v>
      </c>
      <c r="O12" s="18" t="s">
        <v>76</v>
      </c>
      <c r="P12" s="18" t="s">
        <v>27</v>
      </c>
      <c r="Q12" t="s">
        <v>38</v>
      </c>
      <c r="R12" t="s">
        <v>45</v>
      </c>
      <c r="S12" t="s">
        <v>47</v>
      </c>
      <c r="T12" t="s">
        <v>51</v>
      </c>
      <c r="U12">
        <v>106</v>
      </c>
      <c r="W12">
        <v>88</v>
      </c>
      <c r="X12">
        <v>62</v>
      </c>
      <c r="Y12">
        <v>40</v>
      </c>
      <c r="Z12">
        <v>24</v>
      </c>
      <c r="AG12" t="s">
        <v>1790</v>
      </c>
      <c r="AH12" t="s">
        <v>213</v>
      </c>
      <c r="AS12" t="s">
        <v>222</v>
      </c>
      <c r="AT12" t="s">
        <v>849</v>
      </c>
      <c r="AV12" t="s">
        <v>1803</v>
      </c>
      <c r="AW12" t="s">
        <v>1807</v>
      </c>
      <c r="AX12" t="s">
        <v>1808</v>
      </c>
      <c r="AY12" t="s">
        <v>1814</v>
      </c>
      <c r="AZ12" t="s">
        <v>76</v>
      </c>
    </row>
    <row r="13" spans="1:52" x14ac:dyDescent="0.2">
      <c r="A13" t="s">
        <v>90</v>
      </c>
      <c r="B13" t="s">
        <v>91</v>
      </c>
      <c r="D13">
        <v>1998</v>
      </c>
      <c r="E13" t="s">
        <v>169</v>
      </c>
      <c r="F13" t="s">
        <v>219</v>
      </c>
      <c r="G13" t="s">
        <v>859</v>
      </c>
      <c r="H13" t="s">
        <v>110</v>
      </c>
      <c r="I13" t="s">
        <v>1755</v>
      </c>
      <c r="J13" t="s">
        <v>29</v>
      </c>
      <c r="K13" t="s">
        <v>34</v>
      </c>
      <c r="O13" s="18" t="s">
        <v>76</v>
      </c>
      <c r="P13" s="18" t="s">
        <v>27</v>
      </c>
      <c r="Q13" t="s">
        <v>38</v>
      </c>
      <c r="R13" t="s">
        <v>45</v>
      </c>
      <c r="S13" t="s">
        <v>47</v>
      </c>
      <c r="T13" t="s">
        <v>51</v>
      </c>
      <c r="U13">
        <v>106</v>
      </c>
      <c r="AG13" t="s">
        <v>4</v>
      </c>
      <c r="AH13" t="s">
        <v>214</v>
      </c>
      <c r="AN13">
        <v>124</v>
      </c>
      <c r="AO13">
        <v>0.12</v>
      </c>
      <c r="AS13" t="s">
        <v>222</v>
      </c>
      <c r="AT13" t="s">
        <v>849</v>
      </c>
      <c r="AV13" t="s">
        <v>1803</v>
      </c>
      <c r="AW13" t="s">
        <v>1807</v>
      </c>
      <c r="AX13" t="s">
        <v>1808</v>
      </c>
      <c r="AY13" t="s">
        <v>1814</v>
      </c>
      <c r="AZ13" t="s">
        <v>76</v>
      </c>
    </row>
    <row r="14" spans="1:52" x14ac:dyDescent="0.2">
      <c r="A14" t="s">
        <v>90</v>
      </c>
      <c r="B14" t="s">
        <v>91</v>
      </c>
      <c r="D14">
        <v>1998</v>
      </c>
      <c r="E14" t="s">
        <v>169</v>
      </c>
      <c r="F14" t="s">
        <v>220</v>
      </c>
      <c r="G14" t="s">
        <v>860</v>
      </c>
      <c r="H14" t="s">
        <v>111</v>
      </c>
      <c r="I14" t="s">
        <v>1755</v>
      </c>
      <c r="J14" t="s">
        <v>29</v>
      </c>
      <c r="K14" t="s">
        <v>34</v>
      </c>
      <c r="O14" s="18" t="s">
        <v>76</v>
      </c>
      <c r="P14" s="18" t="s">
        <v>27</v>
      </c>
      <c r="Q14" t="s">
        <v>38</v>
      </c>
      <c r="R14" t="s">
        <v>45</v>
      </c>
      <c r="S14" t="s">
        <v>47</v>
      </c>
      <c r="T14" t="s">
        <v>50</v>
      </c>
      <c r="U14">
        <v>107</v>
      </c>
      <c r="V14" t="s">
        <v>92</v>
      </c>
      <c r="W14">
        <v>466</v>
      </c>
      <c r="X14">
        <v>26</v>
      </c>
      <c r="AA14">
        <v>0.9</v>
      </c>
      <c r="AB14">
        <v>0.04</v>
      </c>
      <c r="AC14">
        <v>0.73</v>
      </c>
      <c r="AD14">
        <v>0.2</v>
      </c>
      <c r="AE14" t="s">
        <v>71</v>
      </c>
      <c r="AF14" t="s">
        <v>62</v>
      </c>
      <c r="AG14" t="str">
        <f>IF(AE14="mean", "mean", "")</f>
        <v>mean</v>
      </c>
      <c r="AH14" t="s">
        <v>213</v>
      </c>
      <c r="AS14" t="s">
        <v>222</v>
      </c>
      <c r="AT14" t="s">
        <v>849</v>
      </c>
      <c r="AV14" t="s">
        <v>1803</v>
      </c>
      <c r="AW14" t="s">
        <v>1807</v>
      </c>
      <c r="AX14" t="s">
        <v>1808</v>
      </c>
      <c r="AY14" t="s">
        <v>1814</v>
      </c>
      <c r="AZ14" t="s">
        <v>76</v>
      </c>
    </row>
    <row r="15" spans="1:52" x14ac:dyDescent="0.2">
      <c r="A15" t="s">
        <v>90</v>
      </c>
      <c r="B15" t="s">
        <v>91</v>
      </c>
      <c r="D15">
        <v>1998</v>
      </c>
      <c r="E15" t="s">
        <v>169</v>
      </c>
      <c r="F15" t="s">
        <v>220</v>
      </c>
      <c r="G15" t="s">
        <v>860</v>
      </c>
      <c r="H15" t="s">
        <v>112</v>
      </c>
      <c r="I15" t="s">
        <v>1755</v>
      </c>
      <c r="J15" t="s">
        <v>29</v>
      </c>
      <c r="K15" t="s">
        <v>34</v>
      </c>
      <c r="O15" s="18" t="s">
        <v>76</v>
      </c>
      <c r="P15" s="18" t="s">
        <v>27</v>
      </c>
      <c r="Q15" t="s">
        <v>38</v>
      </c>
      <c r="R15" t="s">
        <v>45</v>
      </c>
      <c r="S15" t="s">
        <v>47</v>
      </c>
      <c r="T15" t="s">
        <v>50</v>
      </c>
      <c r="U15">
        <v>107</v>
      </c>
      <c r="V15" t="s">
        <v>92</v>
      </c>
      <c r="W15">
        <v>466</v>
      </c>
      <c r="X15">
        <v>45</v>
      </c>
      <c r="AA15">
        <v>0.9</v>
      </c>
      <c r="AB15">
        <v>0.04</v>
      </c>
      <c r="AC15">
        <v>1.1100000000000001</v>
      </c>
      <c r="AD15">
        <v>0.17</v>
      </c>
      <c r="AE15" t="s">
        <v>71</v>
      </c>
      <c r="AF15" t="s">
        <v>62</v>
      </c>
      <c r="AG15" t="str">
        <f>IF(AE15="mean", "mean", "")</f>
        <v>mean</v>
      </c>
      <c r="AH15" t="s">
        <v>213</v>
      </c>
      <c r="AS15" t="s">
        <v>222</v>
      </c>
      <c r="AT15" t="s">
        <v>849</v>
      </c>
      <c r="AV15" t="s">
        <v>1803</v>
      </c>
      <c r="AW15" t="s">
        <v>1807</v>
      </c>
      <c r="AX15" t="s">
        <v>1808</v>
      </c>
      <c r="AY15" t="s">
        <v>1814</v>
      </c>
      <c r="AZ15" t="s">
        <v>76</v>
      </c>
    </row>
    <row r="16" spans="1:52" x14ac:dyDescent="0.2">
      <c r="A16" t="s">
        <v>90</v>
      </c>
      <c r="B16" t="s">
        <v>91</v>
      </c>
      <c r="D16">
        <v>1998</v>
      </c>
      <c r="E16" t="s">
        <v>169</v>
      </c>
      <c r="F16" t="s">
        <v>221</v>
      </c>
      <c r="G16" t="s">
        <v>861</v>
      </c>
      <c r="H16" t="s">
        <v>113</v>
      </c>
      <c r="I16" t="s">
        <v>1755</v>
      </c>
      <c r="J16" t="s">
        <v>29</v>
      </c>
      <c r="K16" t="s">
        <v>34</v>
      </c>
      <c r="O16" s="18" t="s">
        <v>76</v>
      </c>
      <c r="P16" s="18" t="s">
        <v>27</v>
      </c>
      <c r="Q16" t="s">
        <v>38</v>
      </c>
      <c r="R16" t="s">
        <v>45</v>
      </c>
      <c r="S16" t="s">
        <v>47</v>
      </c>
      <c r="T16" t="s">
        <v>50</v>
      </c>
      <c r="U16">
        <v>107</v>
      </c>
      <c r="V16" t="s">
        <v>92</v>
      </c>
      <c r="W16">
        <v>88</v>
      </c>
      <c r="X16">
        <v>62</v>
      </c>
      <c r="AA16">
        <v>0.42</v>
      </c>
      <c r="AB16">
        <v>7.0000000000000007E-2</v>
      </c>
      <c r="AC16">
        <v>0.52</v>
      </c>
      <c r="AD16">
        <v>0.06</v>
      </c>
      <c r="AE16" t="s">
        <v>71</v>
      </c>
      <c r="AF16" t="s">
        <v>62</v>
      </c>
      <c r="AG16" t="str">
        <f>IF(AE16="mean", "mean", "")</f>
        <v>mean</v>
      </c>
      <c r="AH16" t="s">
        <v>213</v>
      </c>
      <c r="AS16" t="s">
        <v>222</v>
      </c>
      <c r="AT16" t="s">
        <v>849</v>
      </c>
      <c r="AV16" t="s">
        <v>1803</v>
      </c>
      <c r="AW16" t="s">
        <v>1807</v>
      </c>
      <c r="AX16" t="s">
        <v>1808</v>
      </c>
      <c r="AY16" t="s">
        <v>1814</v>
      </c>
      <c r="AZ16" t="s">
        <v>76</v>
      </c>
    </row>
    <row r="17" spans="1:52" x14ac:dyDescent="0.2">
      <c r="A17" t="s">
        <v>139</v>
      </c>
      <c r="B17" t="s">
        <v>140</v>
      </c>
      <c r="C17" t="s">
        <v>141</v>
      </c>
      <c r="D17">
        <v>2001</v>
      </c>
      <c r="E17" t="s">
        <v>170</v>
      </c>
      <c r="F17" t="s">
        <v>276</v>
      </c>
      <c r="G17" t="s">
        <v>862</v>
      </c>
      <c r="H17" t="s">
        <v>114</v>
      </c>
      <c r="I17" t="s">
        <v>142</v>
      </c>
      <c r="J17" t="s">
        <v>134</v>
      </c>
      <c r="K17" t="s">
        <v>34</v>
      </c>
      <c r="O17" s="18" t="s">
        <v>20</v>
      </c>
      <c r="P17" s="18" t="s">
        <v>27</v>
      </c>
      <c r="Q17" t="s">
        <v>38</v>
      </c>
      <c r="R17" t="s">
        <v>44</v>
      </c>
      <c r="S17" t="s">
        <v>47</v>
      </c>
      <c r="T17" t="s">
        <v>49</v>
      </c>
      <c r="U17">
        <v>299</v>
      </c>
      <c r="V17" t="s">
        <v>143</v>
      </c>
      <c r="W17">
        <v>5076</v>
      </c>
      <c r="X17">
        <v>848</v>
      </c>
      <c r="Y17">
        <v>1365</v>
      </c>
      <c r="Z17">
        <v>96.57</v>
      </c>
      <c r="AG17" t="s">
        <v>1790</v>
      </c>
      <c r="AH17" t="s">
        <v>213</v>
      </c>
      <c r="AS17" t="s">
        <v>222</v>
      </c>
      <c r="AT17" t="s">
        <v>849</v>
      </c>
      <c r="AV17" t="s">
        <v>1803</v>
      </c>
      <c r="AW17" t="s">
        <v>1807</v>
      </c>
      <c r="AX17" t="s">
        <v>1808</v>
      </c>
      <c r="AY17" t="s">
        <v>1818</v>
      </c>
      <c r="AZ17" t="s">
        <v>76</v>
      </c>
    </row>
    <row r="18" spans="1:52" x14ac:dyDescent="0.2">
      <c r="A18" t="s">
        <v>139</v>
      </c>
      <c r="B18" t="s">
        <v>140</v>
      </c>
      <c r="C18" t="s">
        <v>141</v>
      </c>
      <c r="D18">
        <v>2001</v>
      </c>
      <c r="E18" t="s">
        <v>170</v>
      </c>
      <c r="F18" t="s">
        <v>277</v>
      </c>
      <c r="G18" t="s">
        <v>863</v>
      </c>
      <c r="H18" t="s">
        <v>115</v>
      </c>
      <c r="I18" t="s">
        <v>142</v>
      </c>
      <c r="J18" t="s">
        <v>134</v>
      </c>
      <c r="K18" t="s">
        <v>34</v>
      </c>
      <c r="O18" s="18" t="s">
        <v>20</v>
      </c>
      <c r="P18" s="18" t="s">
        <v>27</v>
      </c>
      <c r="Q18" t="s">
        <v>38</v>
      </c>
      <c r="R18" t="s">
        <v>45</v>
      </c>
      <c r="S18" t="s">
        <v>47</v>
      </c>
      <c r="T18" t="s">
        <v>51</v>
      </c>
      <c r="U18">
        <v>300</v>
      </c>
      <c r="W18">
        <v>299</v>
      </c>
      <c r="X18">
        <v>299</v>
      </c>
      <c r="Y18">
        <v>256</v>
      </c>
      <c r="Z18">
        <v>43</v>
      </c>
      <c r="AG18" t="s">
        <v>1790</v>
      </c>
      <c r="AH18" t="s">
        <v>213</v>
      </c>
      <c r="AS18" t="s">
        <v>222</v>
      </c>
      <c r="AT18" t="s">
        <v>849</v>
      </c>
      <c r="AV18" t="s">
        <v>1803</v>
      </c>
      <c r="AW18" t="s">
        <v>1807</v>
      </c>
      <c r="AX18" t="s">
        <v>1808</v>
      </c>
      <c r="AY18" t="s">
        <v>1818</v>
      </c>
      <c r="AZ18" t="s">
        <v>76</v>
      </c>
    </row>
    <row r="19" spans="1:52" x14ac:dyDescent="0.2">
      <c r="A19" t="s">
        <v>139</v>
      </c>
      <c r="B19" t="s">
        <v>140</v>
      </c>
      <c r="C19" t="s">
        <v>141</v>
      </c>
      <c r="D19">
        <v>2001</v>
      </c>
      <c r="E19" t="s">
        <v>170</v>
      </c>
      <c r="F19" t="s">
        <v>277</v>
      </c>
      <c r="G19" t="s">
        <v>863</v>
      </c>
      <c r="H19" t="s">
        <v>116</v>
      </c>
      <c r="I19" t="s">
        <v>142</v>
      </c>
      <c r="J19" t="s">
        <v>134</v>
      </c>
      <c r="K19" t="s">
        <v>34</v>
      </c>
      <c r="O19" s="18" t="s">
        <v>20</v>
      </c>
      <c r="P19" s="18" t="s">
        <v>27</v>
      </c>
      <c r="Q19" t="s">
        <v>38</v>
      </c>
      <c r="R19" t="s">
        <v>44</v>
      </c>
      <c r="S19" t="s">
        <v>47</v>
      </c>
      <c r="T19" t="s">
        <v>51</v>
      </c>
      <c r="U19">
        <v>300</v>
      </c>
      <c r="W19">
        <v>100</v>
      </c>
      <c r="X19">
        <v>100</v>
      </c>
      <c r="Y19">
        <v>68</v>
      </c>
      <c r="Z19">
        <v>32</v>
      </c>
      <c r="AG19" t="s">
        <v>1790</v>
      </c>
      <c r="AH19" t="s">
        <v>213</v>
      </c>
      <c r="AS19" t="s">
        <v>222</v>
      </c>
      <c r="AT19" t="s">
        <v>849</v>
      </c>
      <c r="AV19" t="s">
        <v>1803</v>
      </c>
      <c r="AW19" t="s">
        <v>1807</v>
      </c>
      <c r="AX19" t="s">
        <v>1808</v>
      </c>
      <c r="AY19" t="s">
        <v>1818</v>
      </c>
      <c r="AZ19" t="s">
        <v>76</v>
      </c>
    </row>
    <row r="20" spans="1:52" x14ac:dyDescent="0.2">
      <c r="A20" t="s">
        <v>139</v>
      </c>
      <c r="B20" t="s">
        <v>140</v>
      </c>
      <c r="C20" t="s">
        <v>141</v>
      </c>
      <c r="D20">
        <v>2001</v>
      </c>
      <c r="E20" t="s">
        <v>170</v>
      </c>
      <c r="F20" t="s">
        <v>277</v>
      </c>
      <c r="G20" t="s">
        <v>864</v>
      </c>
      <c r="H20" t="s">
        <v>117</v>
      </c>
      <c r="I20" t="s">
        <v>142</v>
      </c>
      <c r="J20" t="s">
        <v>134</v>
      </c>
      <c r="K20" t="s">
        <v>34</v>
      </c>
      <c r="O20" s="18" t="s">
        <v>20</v>
      </c>
      <c r="P20" s="18" t="s">
        <v>27</v>
      </c>
      <c r="Q20" t="s">
        <v>38</v>
      </c>
      <c r="R20" t="s">
        <v>44</v>
      </c>
      <c r="S20" t="s">
        <v>47</v>
      </c>
      <c r="T20" t="s">
        <v>144</v>
      </c>
      <c r="U20">
        <v>300</v>
      </c>
      <c r="V20" t="s">
        <v>93</v>
      </c>
      <c r="W20">
        <v>179</v>
      </c>
      <c r="X20">
        <v>267</v>
      </c>
      <c r="Y20">
        <v>137</v>
      </c>
      <c r="Z20">
        <v>151</v>
      </c>
      <c r="AG20" t="s">
        <v>1790</v>
      </c>
      <c r="AH20" t="s">
        <v>213</v>
      </c>
      <c r="AS20" t="s">
        <v>222</v>
      </c>
      <c r="AT20" t="s">
        <v>849</v>
      </c>
      <c r="AV20" t="s">
        <v>1803</v>
      </c>
      <c r="AW20" t="s">
        <v>1807</v>
      </c>
      <c r="AX20" t="s">
        <v>1808</v>
      </c>
      <c r="AY20" t="s">
        <v>1818</v>
      </c>
      <c r="AZ20" t="s">
        <v>76</v>
      </c>
    </row>
    <row r="21" spans="1:52" x14ac:dyDescent="0.2">
      <c r="A21" t="s">
        <v>139</v>
      </c>
      <c r="B21" t="s">
        <v>140</v>
      </c>
      <c r="C21" t="s">
        <v>141</v>
      </c>
      <c r="D21">
        <v>2001</v>
      </c>
      <c r="E21" t="s">
        <v>170</v>
      </c>
      <c r="F21" t="s">
        <v>277</v>
      </c>
      <c r="G21" t="s">
        <v>865</v>
      </c>
      <c r="H21" t="s">
        <v>118</v>
      </c>
      <c r="I21" t="s">
        <v>142</v>
      </c>
      <c r="J21" t="s">
        <v>134</v>
      </c>
      <c r="K21" t="s">
        <v>34</v>
      </c>
      <c r="O21" s="18" t="s">
        <v>20</v>
      </c>
      <c r="P21" s="18" t="s">
        <v>27</v>
      </c>
      <c r="Q21" t="s">
        <v>38</v>
      </c>
      <c r="R21" t="s">
        <v>44</v>
      </c>
      <c r="S21" t="s">
        <v>47</v>
      </c>
      <c r="T21" t="s">
        <v>50</v>
      </c>
      <c r="U21">
        <v>300</v>
      </c>
      <c r="V21" t="s">
        <v>145</v>
      </c>
      <c r="W21">
        <v>50</v>
      </c>
      <c r="X21">
        <v>50</v>
      </c>
      <c r="Y21">
        <v>41</v>
      </c>
      <c r="Z21">
        <v>10</v>
      </c>
      <c r="AG21" t="s">
        <v>1790</v>
      </c>
      <c r="AH21" t="s">
        <v>213</v>
      </c>
      <c r="AS21" t="s">
        <v>222</v>
      </c>
      <c r="AT21" t="s">
        <v>849</v>
      </c>
      <c r="AV21" t="s">
        <v>1803</v>
      </c>
      <c r="AW21" t="s">
        <v>1807</v>
      </c>
      <c r="AX21" t="s">
        <v>1808</v>
      </c>
      <c r="AY21" t="s">
        <v>1818</v>
      </c>
      <c r="AZ21" t="s">
        <v>76</v>
      </c>
    </row>
    <row r="22" spans="1:52" x14ac:dyDescent="0.2">
      <c r="A22" t="s">
        <v>139</v>
      </c>
      <c r="B22" t="s">
        <v>140</v>
      </c>
      <c r="C22" t="s">
        <v>141</v>
      </c>
      <c r="D22">
        <v>2001</v>
      </c>
      <c r="E22" t="s">
        <v>170</v>
      </c>
      <c r="F22" t="s">
        <v>277</v>
      </c>
      <c r="G22" t="s">
        <v>865</v>
      </c>
      <c r="H22" t="s">
        <v>119</v>
      </c>
      <c r="I22" t="s">
        <v>142</v>
      </c>
      <c r="J22" t="s">
        <v>134</v>
      </c>
      <c r="K22" t="s">
        <v>34</v>
      </c>
      <c r="O22" s="18" t="s">
        <v>20</v>
      </c>
      <c r="P22" s="18" t="s">
        <v>27</v>
      </c>
      <c r="Q22" t="s">
        <v>38</v>
      </c>
      <c r="R22" t="s">
        <v>44</v>
      </c>
      <c r="S22" t="s">
        <v>47</v>
      </c>
      <c r="T22" t="s">
        <v>50</v>
      </c>
      <c r="U22">
        <v>300</v>
      </c>
      <c r="V22" t="s">
        <v>145</v>
      </c>
      <c r="W22">
        <v>50</v>
      </c>
      <c r="X22">
        <v>50</v>
      </c>
      <c r="Y22">
        <v>40</v>
      </c>
      <c r="Z22">
        <v>5</v>
      </c>
      <c r="AG22" t="s">
        <v>1790</v>
      </c>
      <c r="AH22" t="s">
        <v>213</v>
      </c>
      <c r="AS22" t="s">
        <v>222</v>
      </c>
      <c r="AT22" t="s">
        <v>849</v>
      </c>
      <c r="AV22" t="s">
        <v>1803</v>
      </c>
      <c r="AW22" t="s">
        <v>1807</v>
      </c>
      <c r="AX22" t="s">
        <v>1808</v>
      </c>
      <c r="AY22" t="s">
        <v>1818</v>
      </c>
      <c r="AZ22" t="s">
        <v>76</v>
      </c>
    </row>
    <row r="23" spans="1:52" x14ac:dyDescent="0.2">
      <c r="A23" t="s">
        <v>139</v>
      </c>
      <c r="B23" t="s">
        <v>140</v>
      </c>
      <c r="C23" t="s">
        <v>141</v>
      </c>
      <c r="D23">
        <v>2001</v>
      </c>
      <c r="E23" t="s">
        <v>170</v>
      </c>
      <c r="F23" t="s">
        <v>277</v>
      </c>
      <c r="G23" t="s">
        <v>865</v>
      </c>
      <c r="H23" t="s">
        <v>120</v>
      </c>
      <c r="I23" t="s">
        <v>142</v>
      </c>
      <c r="J23" t="s">
        <v>134</v>
      </c>
      <c r="K23" t="s">
        <v>34</v>
      </c>
      <c r="O23" s="18" t="s">
        <v>20</v>
      </c>
      <c r="P23" s="18" t="s">
        <v>27</v>
      </c>
      <c r="Q23" t="s">
        <v>38</v>
      </c>
      <c r="R23" t="s">
        <v>44</v>
      </c>
      <c r="S23" t="s">
        <v>47</v>
      </c>
      <c r="T23" t="s">
        <v>50</v>
      </c>
      <c r="U23">
        <v>300</v>
      </c>
      <c r="V23" t="s">
        <v>145</v>
      </c>
      <c r="W23">
        <v>57</v>
      </c>
      <c r="X23">
        <v>42</v>
      </c>
      <c r="Y23">
        <v>24</v>
      </c>
      <c r="Z23">
        <v>3</v>
      </c>
      <c r="AG23" t="s">
        <v>1790</v>
      </c>
      <c r="AH23" t="s">
        <v>213</v>
      </c>
      <c r="AS23" t="s">
        <v>222</v>
      </c>
      <c r="AT23" t="s">
        <v>849</v>
      </c>
      <c r="AV23" t="s">
        <v>1803</v>
      </c>
      <c r="AW23" t="s">
        <v>1807</v>
      </c>
      <c r="AX23" t="s">
        <v>1808</v>
      </c>
      <c r="AY23" t="s">
        <v>1818</v>
      </c>
      <c r="AZ23" t="s">
        <v>76</v>
      </c>
    </row>
    <row r="24" spans="1:52" x14ac:dyDescent="0.2">
      <c r="A24" t="s">
        <v>139</v>
      </c>
      <c r="B24" t="s">
        <v>140</v>
      </c>
      <c r="C24" t="s">
        <v>141</v>
      </c>
      <c r="D24">
        <v>2001</v>
      </c>
      <c r="E24" t="s">
        <v>170</v>
      </c>
      <c r="F24" t="s">
        <v>277</v>
      </c>
      <c r="G24" t="s">
        <v>865</v>
      </c>
      <c r="H24" t="s">
        <v>121</v>
      </c>
      <c r="I24" t="s">
        <v>142</v>
      </c>
      <c r="J24" t="s">
        <v>134</v>
      </c>
      <c r="K24" t="s">
        <v>34</v>
      </c>
      <c r="O24" s="18" t="s">
        <v>20</v>
      </c>
      <c r="P24" s="18" t="s">
        <v>27</v>
      </c>
      <c r="Q24" t="s">
        <v>38</v>
      </c>
      <c r="R24" t="s">
        <v>44</v>
      </c>
      <c r="S24" t="s">
        <v>47</v>
      </c>
      <c r="T24" t="s">
        <v>50</v>
      </c>
      <c r="U24">
        <v>300</v>
      </c>
      <c r="V24" t="s">
        <v>145</v>
      </c>
      <c r="W24" s="16">
        <v>55</v>
      </c>
      <c r="X24" s="16">
        <v>43</v>
      </c>
      <c r="Y24" s="16">
        <v>33</v>
      </c>
      <c r="Z24">
        <v>6</v>
      </c>
      <c r="AG24" t="s">
        <v>1790</v>
      </c>
      <c r="AH24" t="s">
        <v>213</v>
      </c>
      <c r="AS24" t="s">
        <v>222</v>
      </c>
      <c r="AT24" t="s">
        <v>849</v>
      </c>
      <c r="AV24" t="s">
        <v>1803</v>
      </c>
      <c r="AW24" t="s">
        <v>1807</v>
      </c>
      <c r="AX24" t="s">
        <v>1808</v>
      </c>
      <c r="AY24" t="s">
        <v>1818</v>
      </c>
      <c r="AZ24" t="s">
        <v>76</v>
      </c>
    </row>
    <row r="25" spans="1:52" x14ac:dyDescent="0.2">
      <c r="A25" t="s">
        <v>95</v>
      </c>
      <c r="B25" t="s">
        <v>96</v>
      </c>
      <c r="C25" t="s">
        <v>97</v>
      </c>
      <c r="D25">
        <v>2015</v>
      </c>
      <c r="E25" t="s">
        <v>171</v>
      </c>
      <c r="F25" t="s">
        <v>278</v>
      </c>
      <c r="G25" t="s">
        <v>866</v>
      </c>
      <c r="H25" t="s">
        <v>122</v>
      </c>
      <c r="I25" t="s">
        <v>1756</v>
      </c>
      <c r="J25" t="s">
        <v>82</v>
      </c>
      <c r="K25" t="s">
        <v>35</v>
      </c>
      <c r="L25" t="s">
        <v>11</v>
      </c>
      <c r="M25" t="s">
        <v>17</v>
      </c>
      <c r="N25">
        <v>1</v>
      </c>
      <c r="O25" s="18" t="s">
        <v>20</v>
      </c>
      <c r="P25" s="18" t="s">
        <v>23</v>
      </c>
      <c r="S25" t="s">
        <v>47</v>
      </c>
      <c r="T25" t="s">
        <v>49</v>
      </c>
      <c r="U25">
        <v>5</v>
      </c>
      <c r="V25" t="s">
        <v>98</v>
      </c>
      <c r="W25" s="16">
        <v>22</v>
      </c>
      <c r="X25" s="16">
        <v>21</v>
      </c>
      <c r="Y25" s="16"/>
      <c r="AA25">
        <v>48.29</v>
      </c>
      <c r="AB25">
        <v>8.2899999999999991</v>
      </c>
      <c r="AC25">
        <v>49.27</v>
      </c>
      <c r="AD25">
        <v>15.36</v>
      </c>
      <c r="AE25" t="s">
        <v>71</v>
      </c>
      <c r="AF25" t="s">
        <v>62</v>
      </c>
      <c r="AG25" t="str">
        <f t="shared" ref="AG25:AG32" si="0">IF(AE25="mean", "mean", "")</f>
        <v>mean</v>
      </c>
      <c r="AH25" t="s">
        <v>213</v>
      </c>
      <c r="AS25" t="s">
        <v>849</v>
      </c>
      <c r="AT25" t="s">
        <v>849</v>
      </c>
      <c r="AV25" t="s">
        <v>1803</v>
      </c>
      <c r="AW25" t="s">
        <v>1815</v>
      </c>
      <c r="AX25" t="s">
        <v>1822</v>
      </c>
      <c r="AY25" t="s">
        <v>1806</v>
      </c>
      <c r="AZ25" t="s">
        <v>76</v>
      </c>
    </row>
    <row r="26" spans="1:52" x14ac:dyDescent="0.2">
      <c r="A26" t="s">
        <v>95</v>
      </c>
      <c r="B26" t="s">
        <v>96</v>
      </c>
      <c r="C26" t="s">
        <v>97</v>
      </c>
      <c r="D26">
        <v>2015</v>
      </c>
      <c r="E26" t="s">
        <v>171</v>
      </c>
      <c r="F26" t="s">
        <v>278</v>
      </c>
      <c r="G26" t="s">
        <v>866</v>
      </c>
      <c r="H26" t="s">
        <v>123</v>
      </c>
      <c r="I26" t="s">
        <v>1756</v>
      </c>
      <c r="J26" t="s">
        <v>82</v>
      </c>
      <c r="K26" t="s">
        <v>35</v>
      </c>
      <c r="L26" t="s">
        <v>11</v>
      </c>
      <c r="M26" t="s">
        <v>17</v>
      </c>
      <c r="N26">
        <v>1</v>
      </c>
      <c r="O26" s="18" t="s">
        <v>20</v>
      </c>
      <c r="P26" s="18" t="s">
        <v>23</v>
      </c>
      <c r="S26" t="s">
        <v>47</v>
      </c>
      <c r="T26" t="s">
        <v>49</v>
      </c>
      <c r="U26">
        <v>5</v>
      </c>
      <c r="V26" t="s">
        <v>98</v>
      </c>
      <c r="W26" s="16">
        <v>22</v>
      </c>
      <c r="X26" s="16">
        <v>21</v>
      </c>
      <c r="Y26" s="16"/>
      <c r="AA26">
        <v>72.41</v>
      </c>
      <c r="AB26">
        <v>10.49</v>
      </c>
      <c r="AC26">
        <v>32.93</v>
      </c>
      <c r="AD26">
        <v>7.56</v>
      </c>
      <c r="AE26" t="s">
        <v>71</v>
      </c>
      <c r="AF26" t="s">
        <v>62</v>
      </c>
      <c r="AG26" t="str">
        <f t="shared" si="0"/>
        <v>mean</v>
      </c>
      <c r="AH26" t="s">
        <v>213</v>
      </c>
      <c r="AS26" t="s">
        <v>849</v>
      </c>
      <c r="AT26" t="s">
        <v>849</v>
      </c>
      <c r="AV26" t="s">
        <v>1803</v>
      </c>
      <c r="AW26" t="s">
        <v>1815</v>
      </c>
      <c r="AX26" t="s">
        <v>1822</v>
      </c>
      <c r="AY26" t="s">
        <v>1806</v>
      </c>
      <c r="AZ26" t="s">
        <v>76</v>
      </c>
    </row>
    <row r="27" spans="1:52" x14ac:dyDescent="0.2">
      <c r="A27" t="s">
        <v>95</v>
      </c>
      <c r="B27" t="s">
        <v>96</v>
      </c>
      <c r="C27" t="s">
        <v>97</v>
      </c>
      <c r="D27">
        <v>2015</v>
      </c>
      <c r="E27" t="s">
        <v>171</v>
      </c>
      <c r="F27" t="s">
        <v>278</v>
      </c>
      <c r="G27" t="s">
        <v>866</v>
      </c>
      <c r="H27" t="s">
        <v>124</v>
      </c>
      <c r="I27" t="s">
        <v>1756</v>
      </c>
      <c r="J27" t="s">
        <v>82</v>
      </c>
      <c r="K27" t="s">
        <v>35</v>
      </c>
      <c r="L27" t="s">
        <v>11</v>
      </c>
      <c r="M27" t="s">
        <v>17</v>
      </c>
      <c r="N27">
        <v>1</v>
      </c>
      <c r="O27" s="18" t="s">
        <v>20</v>
      </c>
      <c r="P27" s="18" t="s">
        <v>23</v>
      </c>
      <c r="S27" t="s">
        <v>47</v>
      </c>
      <c r="T27" t="s">
        <v>49</v>
      </c>
      <c r="U27">
        <v>5</v>
      </c>
      <c r="V27" t="s">
        <v>104</v>
      </c>
      <c r="W27" s="16">
        <v>22</v>
      </c>
      <c r="X27" s="16">
        <v>21</v>
      </c>
      <c r="Y27" s="16"/>
      <c r="AA27">
        <v>1.19</v>
      </c>
      <c r="AB27">
        <v>0.32300000000000001</v>
      </c>
      <c r="AC27">
        <v>1.702</v>
      </c>
      <c r="AD27">
        <v>0.57699999999999996</v>
      </c>
      <c r="AE27" t="s">
        <v>71</v>
      </c>
      <c r="AF27" t="s">
        <v>62</v>
      </c>
      <c r="AG27" t="str">
        <f t="shared" si="0"/>
        <v>mean</v>
      </c>
      <c r="AH27" t="s">
        <v>213</v>
      </c>
      <c r="AS27" t="s">
        <v>849</v>
      </c>
      <c r="AT27" t="s">
        <v>849</v>
      </c>
      <c r="AV27" t="s">
        <v>1803</v>
      </c>
      <c r="AW27" t="s">
        <v>1815</v>
      </c>
      <c r="AX27" t="s">
        <v>1822</v>
      </c>
      <c r="AY27" t="s">
        <v>1806</v>
      </c>
      <c r="AZ27" t="s">
        <v>76</v>
      </c>
    </row>
    <row r="28" spans="1:52" x14ac:dyDescent="0.2">
      <c r="A28" t="s">
        <v>95</v>
      </c>
      <c r="B28" t="s">
        <v>96</v>
      </c>
      <c r="C28" t="s">
        <v>97</v>
      </c>
      <c r="D28">
        <v>2015</v>
      </c>
      <c r="E28" t="s">
        <v>171</v>
      </c>
      <c r="F28" t="s">
        <v>278</v>
      </c>
      <c r="G28" t="s">
        <v>866</v>
      </c>
      <c r="H28" t="s">
        <v>125</v>
      </c>
      <c r="I28" t="s">
        <v>1756</v>
      </c>
      <c r="J28" t="s">
        <v>82</v>
      </c>
      <c r="K28" t="s">
        <v>35</v>
      </c>
      <c r="L28" t="s">
        <v>11</v>
      </c>
      <c r="M28" t="s">
        <v>17</v>
      </c>
      <c r="N28">
        <v>1</v>
      </c>
      <c r="O28" s="18" t="s">
        <v>20</v>
      </c>
      <c r="P28" s="18" t="s">
        <v>23</v>
      </c>
      <c r="S28" t="s">
        <v>47</v>
      </c>
      <c r="T28" t="s">
        <v>49</v>
      </c>
      <c r="U28">
        <v>6</v>
      </c>
      <c r="V28" t="s">
        <v>99</v>
      </c>
      <c r="W28" s="16">
        <v>20</v>
      </c>
      <c r="X28" s="16">
        <v>20</v>
      </c>
      <c r="Y28" s="16"/>
      <c r="AA28">
        <v>2.25</v>
      </c>
      <c r="AB28">
        <v>0.55000000000000004</v>
      </c>
      <c r="AC28">
        <v>1.88</v>
      </c>
      <c r="AD28">
        <v>0.47</v>
      </c>
      <c r="AE28" t="s">
        <v>71</v>
      </c>
      <c r="AF28" t="s">
        <v>62</v>
      </c>
      <c r="AG28" t="str">
        <f t="shared" si="0"/>
        <v>mean</v>
      </c>
      <c r="AH28" t="s">
        <v>213</v>
      </c>
      <c r="AS28" t="s">
        <v>849</v>
      </c>
      <c r="AT28" t="s">
        <v>849</v>
      </c>
      <c r="AV28" t="s">
        <v>1803</v>
      </c>
      <c r="AW28" t="s">
        <v>1815</v>
      </c>
      <c r="AX28" t="s">
        <v>1822</v>
      </c>
      <c r="AY28" t="s">
        <v>1806</v>
      </c>
      <c r="AZ28" t="s">
        <v>76</v>
      </c>
    </row>
    <row r="29" spans="1:52" x14ac:dyDescent="0.2">
      <c r="A29" t="s">
        <v>95</v>
      </c>
      <c r="B29" t="s">
        <v>96</v>
      </c>
      <c r="C29" t="s">
        <v>97</v>
      </c>
      <c r="D29">
        <v>2015</v>
      </c>
      <c r="E29" t="s">
        <v>171</v>
      </c>
      <c r="F29" t="s">
        <v>279</v>
      </c>
      <c r="G29" t="s">
        <v>867</v>
      </c>
      <c r="H29" t="s">
        <v>126</v>
      </c>
      <c r="I29" t="s">
        <v>1756</v>
      </c>
      <c r="J29" t="s">
        <v>82</v>
      </c>
      <c r="K29" t="s">
        <v>35</v>
      </c>
      <c r="L29" t="s">
        <v>11</v>
      </c>
      <c r="M29" t="s">
        <v>17</v>
      </c>
      <c r="N29">
        <v>1</v>
      </c>
      <c r="O29" s="18" t="s">
        <v>20</v>
      </c>
      <c r="P29" s="18" t="s">
        <v>23</v>
      </c>
      <c r="S29" t="s">
        <v>47</v>
      </c>
      <c r="T29" t="s">
        <v>52</v>
      </c>
      <c r="W29" s="16">
        <v>22</v>
      </c>
      <c r="X29" s="16">
        <v>21</v>
      </c>
      <c r="Y29" s="16"/>
      <c r="AA29">
        <v>161.3598484848485</v>
      </c>
      <c r="AB29">
        <v>57.635033221759315</v>
      </c>
      <c r="AC29">
        <v>130.01428571428573</v>
      </c>
      <c r="AD29">
        <v>56.798541717810338</v>
      </c>
      <c r="AE29" t="s">
        <v>71</v>
      </c>
      <c r="AF29" t="s">
        <v>61</v>
      </c>
      <c r="AG29" t="str">
        <f t="shared" si="0"/>
        <v>mean</v>
      </c>
      <c r="AH29" t="s">
        <v>213</v>
      </c>
      <c r="AS29" t="s">
        <v>849</v>
      </c>
      <c r="AT29" t="s">
        <v>849</v>
      </c>
      <c r="AV29" t="s">
        <v>1803</v>
      </c>
      <c r="AW29" t="s">
        <v>1815</v>
      </c>
      <c r="AX29" t="s">
        <v>1822</v>
      </c>
      <c r="AY29" t="s">
        <v>1806</v>
      </c>
      <c r="AZ29" t="s">
        <v>76</v>
      </c>
    </row>
    <row r="30" spans="1:52" x14ac:dyDescent="0.2">
      <c r="A30" t="s">
        <v>146</v>
      </c>
      <c r="B30" t="s">
        <v>147</v>
      </c>
      <c r="C30" t="s">
        <v>148</v>
      </c>
      <c r="D30">
        <v>2019</v>
      </c>
      <c r="E30" t="s">
        <v>172</v>
      </c>
      <c r="F30" t="s">
        <v>280</v>
      </c>
      <c r="G30" t="s">
        <v>868</v>
      </c>
      <c r="H30" t="s">
        <v>127</v>
      </c>
      <c r="I30" t="s">
        <v>1090</v>
      </c>
      <c r="J30" t="s">
        <v>82</v>
      </c>
      <c r="K30" t="s">
        <v>35</v>
      </c>
      <c r="L30" t="s">
        <v>11</v>
      </c>
      <c r="M30" t="s">
        <v>14</v>
      </c>
      <c r="N30">
        <v>1</v>
      </c>
      <c r="O30" s="18" t="s">
        <v>20</v>
      </c>
      <c r="P30" s="18" t="s">
        <v>23</v>
      </c>
      <c r="S30" t="s">
        <v>48</v>
      </c>
      <c r="T30" t="s">
        <v>51</v>
      </c>
      <c r="U30">
        <v>59</v>
      </c>
      <c r="W30" s="16">
        <v>44</v>
      </c>
      <c r="X30" s="16">
        <v>44</v>
      </c>
      <c r="Y30" s="16"/>
      <c r="AA30">
        <v>202.37</v>
      </c>
      <c r="AB30">
        <v>18.88</v>
      </c>
      <c r="AC30">
        <v>132.57</v>
      </c>
      <c r="AD30">
        <v>16.899999999999999</v>
      </c>
      <c r="AE30" t="s">
        <v>71</v>
      </c>
      <c r="AF30" t="s">
        <v>62</v>
      </c>
      <c r="AG30" t="str">
        <f t="shared" si="0"/>
        <v>mean</v>
      </c>
      <c r="AH30" t="s">
        <v>213</v>
      </c>
      <c r="AS30" t="s">
        <v>849</v>
      </c>
      <c r="AT30" t="s">
        <v>849</v>
      </c>
      <c r="AV30" t="s">
        <v>1803</v>
      </c>
      <c r="AW30" t="s">
        <v>1807</v>
      </c>
      <c r="AX30" t="s">
        <v>1808</v>
      </c>
      <c r="AY30" t="s">
        <v>1811</v>
      </c>
      <c r="AZ30" t="s">
        <v>76</v>
      </c>
    </row>
    <row r="31" spans="1:52" x14ac:dyDescent="0.2">
      <c r="A31" t="s">
        <v>146</v>
      </c>
      <c r="B31" t="s">
        <v>147</v>
      </c>
      <c r="C31" t="s">
        <v>148</v>
      </c>
      <c r="D31">
        <v>2019</v>
      </c>
      <c r="E31" t="s">
        <v>172</v>
      </c>
      <c r="F31" t="s">
        <v>280</v>
      </c>
      <c r="G31" t="s">
        <v>869</v>
      </c>
      <c r="H31" t="s">
        <v>128</v>
      </c>
      <c r="I31" t="s">
        <v>1090</v>
      </c>
      <c r="J31" t="s">
        <v>82</v>
      </c>
      <c r="K31" t="s">
        <v>35</v>
      </c>
      <c r="L31" t="s">
        <v>11</v>
      </c>
      <c r="M31" t="s">
        <v>14</v>
      </c>
      <c r="N31">
        <v>1</v>
      </c>
      <c r="O31" s="18" t="s">
        <v>20</v>
      </c>
      <c r="P31" s="18" t="s">
        <v>23</v>
      </c>
      <c r="S31" t="s">
        <v>48</v>
      </c>
      <c r="T31" t="s">
        <v>51</v>
      </c>
      <c r="U31">
        <v>59</v>
      </c>
      <c r="W31" s="16">
        <v>44</v>
      </c>
      <c r="X31" s="16">
        <v>44</v>
      </c>
      <c r="Y31" s="16"/>
      <c r="AA31">
        <v>204.89</v>
      </c>
      <c r="AB31">
        <v>16.57</v>
      </c>
      <c r="AC31">
        <v>172.42</v>
      </c>
      <c r="AD31">
        <v>13.51</v>
      </c>
      <c r="AE31" t="s">
        <v>71</v>
      </c>
      <c r="AF31" t="s">
        <v>62</v>
      </c>
      <c r="AG31" t="str">
        <f t="shared" si="0"/>
        <v>mean</v>
      </c>
      <c r="AH31" t="s">
        <v>213</v>
      </c>
      <c r="AS31" t="s">
        <v>849</v>
      </c>
      <c r="AT31" t="s">
        <v>849</v>
      </c>
      <c r="AV31" t="s">
        <v>1803</v>
      </c>
      <c r="AW31" t="s">
        <v>1807</v>
      </c>
      <c r="AX31" t="s">
        <v>1808</v>
      </c>
      <c r="AY31" t="s">
        <v>1811</v>
      </c>
      <c r="AZ31" t="s">
        <v>76</v>
      </c>
    </row>
    <row r="32" spans="1:52" x14ac:dyDescent="0.2">
      <c r="A32" t="s">
        <v>149</v>
      </c>
      <c r="B32" t="s">
        <v>150</v>
      </c>
      <c r="D32">
        <v>2006</v>
      </c>
      <c r="E32" t="s">
        <v>173</v>
      </c>
      <c r="F32" t="s">
        <v>2295</v>
      </c>
      <c r="G32" t="s">
        <v>870</v>
      </c>
      <c r="H32" t="s">
        <v>129</v>
      </c>
      <c r="I32" t="s">
        <v>151</v>
      </c>
      <c r="J32" t="s">
        <v>29</v>
      </c>
      <c r="K32" t="s">
        <v>34</v>
      </c>
      <c r="O32" s="18" t="s">
        <v>20</v>
      </c>
      <c r="P32" s="18" t="s">
        <v>26</v>
      </c>
      <c r="Q32" t="s">
        <v>38</v>
      </c>
      <c r="R32" t="s">
        <v>43</v>
      </c>
      <c r="S32" t="s">
        <v>47</v>
      </c>
      <c r="T32" t="s">
        <v>51</v>
      </c>
      <c r="U32">
        <v>195</v>
      </c>
      <c r="W32" s="16">
        <v>7</v>
      </c>
      <c r="X32" s="16">
        <v>7</v>
      </c>
      <c r="Y32" s="16"/>
      <c r="AA32">
        <v>0.47</v>
      </c>
      <c r="AB32">
        <v>0.23</v>
      </c>
      <c r="AC32">
        <v>0.88</v>
      </c>
      <c r="AD32">
        <v>0.28999999999999998</v>
      </c>
      <c r="AE32" t="s">
        <v>71</v>
      </c>
      <c r="AF32" t="s">
        <v>62</v>
      </c>
      <c r="AG32" t="str">
        <f t="shared" si="0"/>
        <v>mean</v>
      </c>
      <c r="AH32" t="s">
        <v>213</v>
      </c>
      <c r="AS32" t="s">
        <v>849</v>
      </c>
      <c r="AT32" t="s">
        <v>849</v>
      </c>
      <c r="AV32" t="s">
        <v>1803</v>
      </c>
      <c r="AW32" t="s">
        <v>1815</v>
      </c>
      <c r="AX32" t="s">
        <v>1808</v>
      </c>
      <c r="AY32" t="s">
        <v>1814</v>
      </c>
      <c r="AZ32" t="s">
        <v>76</v>
      </c>
    </row>
    <row r="33" spans="1:52" x14ac:dyDescent="0.2">
      <c r="A33" t="s">
        <v>132</v>
      </c>
      <c r="B33" t="s">
        <v>133</v>
      </c>
      <c r="C33" t="s">
        <v>135</v>
      </c>
      <c r="D33">
        <v>2002</v>
      </c>
      <c r="E33" t="s">
        <v>174</v>
      </c>
      <c r="F33" t="s">
        <v>281</v>
      </c>
      <c r="G33" t="s">
        <v>871</v>
      </c>
      <c r="H33" t="s">
        <v>130</v>
      </c>
      <c r="I33" t="s">
        <v>1757</v>
      </c>
      <c r="J33" t="s">
        <v>29</v>
      </c>
      <c r="K33" t="s">
        <v>34</v>
      </c>
      <c r="O33" s="18" t="s">
        <v>20</v>
      </c>
      <c r="P33" s="18" t="s">
        <v>25</v>
      </c>
      <c r="Q33" t="s">
        <v>38</v>
      </c>
      <c r="R33" t="s">
        <v>45</v>
      </c>
      <c r="S33" t="s">
        <v>47</v>
      </c>
      <c r="T33" t="s">
        <v>51</v>
      </c>
      <c r="U33">
        <v>763</v>
      </c>
      <c r="W33" s="16"/>
      <c r="X33" s="16"/>
      <c r="Y33" s="16"/>
      <c r="AG33" t="s">
        <v>4</v>
      </c>
      <c r="AH33" t="s">
        <v>214</v>
      </c>
      <c r="AN33">
        <v>135</v>
      </c>
      <c r="AO33">
        <v>-0.63</v>
      </c>
      <c r="AS33" t="s">
        <v>222</v>
      </c>
      <c r="AT33" t="s">
        <v>849</v>
      </c>
      <c r="AV33" t="s">
        <v>1803</v>
      </c>
      <c r="AW33" t="s">
        <v>1804</v>
      </c>
      <c r="AX33" t="s">
        <v>1808</v>
      </c>
      <c r="AY33" t="s">
        <v>1814</v>
      </c>
      <c r="AZ33" t="s">
        <v>76</v>
      </c>
    </row>
    <row r="34" spans="1:52" x14ac:dyDescent="0.2">
      <c r="A34" t="s">
        <v>152</v>
      </c>
      <c r="B34" t="s">
        <v>153</v>
      </c>
      <c r="C34" t="s">
        <v>852</v>
      </c>
      <c r="D34">
        <v>2001</v>
      </c>
      <c r="E34" t="s">
        <v>103</v>
      </c>
      <c r="F34" t="s">
        <v>282</v>
      </c>
      <c r="G34" t="s">
        <v>872</v>
      </c>
      <c r="H34" t="s">
        <v>131</v>
      </c>
      <c r="I34" t="s">
        <v>1758</v>
      </c>
      <c r="J34" t="s">
        <v>134</v>
      </c>
      <c r="K34" t="s">
        <v>34</v>
      </c>
      <c r="O34" s="18" t="s">
        <v>20</v>
      </c>
      <c r="P34" s="18" t="s">
        <v>27</v>
      </c>
      <c r="Q34" t="s">
        <v>38</v>
      </c>
      <c r="R34" t="s">
        <v>45</v>
      </c>
      <c r="S34" t="s">
        <v>47</v>
      </c>
      <c r="T34" t="s">
        <v>51</v>
      </c>
      <c r="U34">
        <v>1480</v>
      </c>
      <c r="W34" s="16">
        <v>100</v>
      </c>
      <c r="X34" s="16">
        <v>100</v>
      </c>
      <c r="Y34" s="16"/>
      <c r="AA34">
        <v>3.68</v>
      </c>
      <c r="AB34">
        <v>2.12</v>
      </c>
      <c r="AC34">
        <v>4.0599999999999996</v>
      </c>
      <c r="AD34">
        <v>2.2000000000000002</v>
      </c>
      <c r="AE34" t="s">
        <v>71</v>
      </c>
      <c r="AF34" t="s">
        <v>62</v>
      </c>
      <c r="AG34" t="str">
        <f t="shared" ref="AG34:AG44" si="1">IF(AE34="mean", "mean", "")</f>
        <v>mean</v>
      </c>
      <c r="AH34" t="s">
        <v>213</v>
      </c>
      <c r="AS34" t="s">
        <v>222</v>
      </c>
      <c r="AT34" t="s">
        <v>849</v>
      </c>
      <c r="AV34" t="s">
        <v>1803</v>
      </c>
      <c r="AW34" t="s">
        <v>1807</v>
      </c>
      <c r="AX34" t="s">
        <v>1808</v>
      </c>
      <c r="AY34" t="s">
        <v>1818</v>
      </c>
      <c r="AZ34" t="s">
        <v>76</v>
      </c>
    </row>
    <row r="35" spans="1:52" x14ac:dyDescent="0.2">
      <c r="A35" t="s">
        <v>152</v>
      </c>
      <c r="B35" t="s">
        <v>153</v>
      </c>
      <c r="C35" t="s">
        <v>154</v>
      </c>
      <c r="D35">
        <v>2001</v>
      </c>
      <c r="E35" t="s">
        <v>103</v>
      </c>
      <c r="F35" t="s">
        <v>282</v>
      </c>
      <c r="G35" t="s">
        <v>872</v>
      </c>
      <c r="H35" t="s">
        <v>136</v>
      </c>
      <c r="I35" t="s">
        <v>1758</v>
      </c>
      <c r="J35" t="s">
        <v>134</v>
      </c>
      <c r="K35" t="s">
        <v>34</v>
      </c>
      <c r="O35" s="18" t="s">
        <v>20</v>
      </c>
      <c r="P35" s="18" t="s">
        <v>27</v>
      </c>
      <c r="Q35" t="s">
        <v>38</v>
      </c>
      <c r="R35" t="s">
        <v>44</v>
      </c>
      <c r="S35" t="s">
        <v>47</v>
      </c>
      <c r="T35" t="s">
        <v>51</v>
      </c>
      <c r="U35">
        <v>1480</v>
      </c>
      <c r="W35" s="16">
        <v>64</v>
      </c>
      <c r="X35" s="16">
        <v>54</v>
      </c>
      <c r="Y35" s="16"/>
      <c r="AA35">
        <v>1.94</v>
      </c>
      <c r="AB35">
        <v>1.65</v>
      </c>
      <c r="AC35">
        <v>1.54</v>
      </c>
      <c r="AD35">
        <v>0.86</v>
      </c>
      <c r="AE35" t="s">
        <v>71</v>
      </c>
      <c r="AF35" t="s">
        <v>62</v>
      </c>
      <c r="AG35" t="str">
        <f t="shared" si="1"/>
        <v>mean</v>
      </c>
      <c r="AH35" t="s">
        <v>213</v>
      </c>
      <c r="AS35" t="s">
        <v>222</v>
      </c>
      <c r="AT35" t="s">
        <v>849</v>
      </c>
      <c r="AV35" t="s">
        <v>1803</v>
      </c>
      <c r="AW35" t="s">
        <v>1807</v>
      </c>
      <c r="AX35" t="s">
        <v>1808</v>
      </c>
      <c r="AY35" t="s">
        <v>1818</v>
      </c>
      <c r="AZ35" t="s">
        <v>76</v>
      </c>
    </row>
    <row r="36" spans="1:52" x14ac:dyDescent="0.2">
      <c r="A36" t="s">
        <v>152</v>
      </c>
      <c r="B36" t="s">
        <v>153</v>
      </c>
      <c r="C36" t="s">
        <v>154</v>
      </c>
      <c r="D36">
        <v>2001</v>
      </c>
      <c r="E36" t="s">
        <v>103</v>
      </c>
      <c r="F36" t="s">
        <v>282</v>
      </c>
      <c r="G36" t="s">
        <v>872</v>
      </c>
      <c r="H36" t="s">
        <v>137</v>
      </c>
      <c r="I36" t="s">
        <v>1758</v>
      </c>
      <c r="J36" t="s">
        <v>134</v>
      </c>
      <c r="K36" t="s">
        <v>34</v>
      </c>
      <c r="O36" s="18" t="s">
        <v>20</v>
      </c>
      <c r="P36" s="18" t="s">
        <v>27</v>
      </c>
      <c r="Q36" t="s">
        <v>38</v>
      </c>
      <c r="R36" t="s">
        <v>45</v>
      </c>
      <c r="S36" t="s">
        <v>47</v>
      </c>
      <c r="T36" t="s">
        <v>51</v>
      </c>
      <c r="U36">
        <v>1481</v>
      </c>
      <c r="W36" s="16">
        <v>100</v>
      </c>
      <c r="X36" s="16">
        <v>100</v>
      </c>
      <c r="Y36" s="16"/>
      <c r="AA36">
        <v>1.24</v>
      </c>
      <c r="AB36">
        <v>1.61</v>
      </c>
      <c r="AC36">
        <v>0.83</v>
      </c>
      <c r="AD36">
        <v>0.99</v>
      </c>
      <c r="AE36" t="s">
        <v>71</v>
      </c>
      <c r="AF36" t="s">
        <v>62</v>
      </c>
      <c r="AG36" t="str">
        <f t="shared" si="1"/>
        <v>mean</v>
      </c>
      <c r="AH36" t="s">
        <v>213</v>
      </c>
      <c r="AS36" t="s">
        <v>222</v>
      </c>
      <c r="AT36" t="s">
        <v>849</v>
      </c>
      <c r="AV36" t="s">
        <v>1803</v>
      </c>
      <c r="AW36" t="s">
        <v>1807</v>
      </c>
      <c r="AX36" t="s">
        <v>1808</v>
      </c>
      <c r="AY36" t="s">
        <v>1818</v>
      </c>
      <c r="AZ36" t="s">
        <v>76</v>
      </c>
    </row>
    <row r="37" spans="1:52" x14ac:dyDescent="0.2">
      <c r="A37" t="s">
        <v>155</v>
      </c>
      <c r="B37" t="s">
        <v>156</v>
      </c>
      <c r="C37" t="s">
        <v>157</v>
      </c>
      <c r="D37">
        <v>2006</v>
      </c>
      <c r="E37" t="s">
        <v>175</v>
      </c>
      <c r="F37" t="s">
        <v>283</v>
      </c>
      <c r="G37" t="s">
        <v>873</v>
      </c>
      <c r="H37" t="s">
        <v>138</v>
      </c>
      <c r="I37" t="s">
        <v>433</v>
      </c>
      <c r="J37" t="s">
        <v>31</v>
      </c>
      <c r="K37" t="s">
        <v>35</v>
      </c>
      <c r="L37" t="s">
        <v>11</v>
      </c>
      <c r="M37" t="s">
        <v>18</v>
      </c>
      <c r="N37">
        <v>0</v>
      </c>
      <c r="O37" s="18" t="s">
        <v>20</v>
      </c>
      <c r="P37" s="18" t="s">
        <v>24</v>
      </c>
      <c r="S37" t="s">
        <v>48</v>
      </c>
      <c r="T37" t="s">
        <v>50</v>
      </c>
      <c r="U37">
        <v>233</v>
      </c>
      <c r="V37" t="s">
        <v>89</v>
      </c>
      <c r="W37" s="16">
        <v>14</v>
      </c>
      <c r="X37" s="16">
        <v>14</v>
      </c>
      <c r="Y37" s="16"/>
      <c r="AA37">
        <v>0.27</v>
      </c>
      <c r="AB37">
        <v>0.02</v>
      </c>
      <c r="AC37">
        <v>0.31</v>
      </c>
      <c r="AD37">
        <v>0.02</v>
      </c>
      <c r="AE37" t="s">
        <v>71</v>
      </c>
      <c r="AF37" t="s">
        <v>62</v>
      </c>
      <c r="AG37" t="str">
        <f t="shared" si="1"/>
        <v>mean</v>
      </c>
      <c r="AH37" t="s">
        <v>213</v>
      </c>
      <c r="AS37" t="s">
        <v>849</v>
      </c>
      <c r="AT37" t="s">
        <v>222</v>
      </c>
      <c r="AV37" t="s">
        <v>1803</v>
      </c>
      <c r="AW37" t="s">
        <v>1804</v>
      </c>
      <c r="AX37" t="s">
        <v>1805</v>
      </c>
      <c r="AY37" t="s">
        <v>1806</v>
      </c>
      <c r="AZ37" t="s">
        <v>76</v>
      </c>
    </row>
    <row r="38" spans="1:52" x14ac:dyDescent="0.2">
      <c r="A38" t="s">
        <v>155</v>
      </c>
      <c r="B38" t="s">
        <v>156</v>
      </c>
      <c r="C38" t="s">
        <v>157</v>
      </c>
      <c r="D38">
        <v>2006</v>
      </c>
      <c r="E38" t="s">
        <v>175</v>
      </c>
      <c r="F38" t="s">
        <v>283</v>
      </c>
      <c r="G38" t="s">
        <v>873</v>
      </c>
      <c r="H38" t="s">
        <v>187</v>
      </c>
      <c r="I38" t="s">
        <v>433</v>
      </c>
      <c r="J38" t="s">
        <v>31</v>
      </c>
      <c r="K38" t="s">
        <v>35</v>
      </c>
      <c r="L38" t="s">
        <v>11</v>
      </c>
      <c r="M38" t="s">
        <v>18</v>
      </c>
      <c r="N38">
        <v>0</v>
      </c>
      <c r="O38" s="18" t="s">
        <v>20</v>
      </c>
      <c r="P38" s="18" t="s">
        <v>24</v>
      </c>
      <c r="S38" t="s">
        <v>48</v>
      </c>
      <c r="T38" t="s">
        <v>50</v>
      </c>
      <c r="U38">
        <v>233</v>
      </c>
      <c r="V38" t="s">
        <v>89</v>
      </c>
      <c r="W38" s="16">
        <v>14</v>
      </c>
      <c r="X38" s="16">
        <v>14</v>
      </c>
      <c r="Y38" s="16"/>
      <c r="AA38">
        <v>1.6</v>
      </c>
      <c r="AB38">
        <v>0.26</v>
      </c>
      <c r="AC38">
        <v>2.6</v>
      </c>
      <c r="AD38">
        <v>0.26</v>
      </c>
      <c r="AE38" t="s">
        <v>71</v>
      </c>
      <c r="AF38" t="s">
        <v>62</v>
      </c>
      <c r="AG38" t="str">
        <f t="shared" si="1"/>
        <v>mean</v>
      </c>
      <c r="AH38" t="s">
        <v>213</v>
      </c>
      <c r="AS38" t="s">
        <v>849</v>
      </c>
      <c r="AT38" t="s">
        <v>222</v>
      </c>
      <c r="AV38" t="s">
        <v>1803</v>
      </c>
      <c r="AW38" t="s">
        <v>1804</v>
      </c>
      <c r="AX38" t="s">
        <v>1805</v>
      </c>
      <c r="AY38" t="s">
        <v>1806</v>
      </c>
      <c r="AZ38" t="s">
        <v>76</v>
      </c>
    </row>
    <row r="39" spans="1:52" x14ac:dyDescent="0.2">
      <c r="A39" t="s">
        <v>155</v>
      </c>
      <c r="B39" t="s">
        <v>156</v>
      </c>
      <c r="C39" t="s">
        <v>157</v>
      </c>
      <c r="D39">
        <v>2006</v>
      </c>
      <c r="E39" t="s">
        <v>175</v>
      </c>
      <c r="F39" t="s">
        <v>283</v>
      </c>
      <c r="G39" t="s">
        <v>873</v>
      </c>
      <c r="H39" t="s">
        <v>188</v>
      </c>
      <c r="I39" t="s">
        <v>433</v>
      </c>
      <c r="J39" t="s">
        <v>31</v>
      </c>
      <c r="K39" t="s">
        <v>35</v>
      </c>
      <c r="L39" t="s">
        <v>11</v>
      </c>
      <c r="M39" t="s">
        <v>18</v>
      </c>
      <c r="N39">
        <v>0</v>
      </c>
      <c r="O39" s="18" t="s">
        <v>20</v>
      </c>
      <c r="P39" s="18" t="s">
        <v>24</v>
      </c>
      <c r="S39" t="s">
        <v>48</v>
      </c>
      <c r="T39" t="s">
        <v>50</v>
      </c>
      <c r="U39">
        <v>233</v>
      </c>
      <c r="V39" t="s">
        <v>89</v>
      </c>
      <c r="W39" s="16">
        <v>14</v>
      </c>
      <c r="X39" s="16">
        <v>14</v>
      </c>
      <c r="Y39" s="16"/>
      <c r="AA39">
        <v>82.3</v>
      </c>
      <c r="AB39">
        <v>3.1</v>
      </c>
      <c r="AC39">
        <v>87.7</v>
      </c>
      <c r="AD39">
        <v>3.1</v>
      </c>
      <c r="AE39" t="s">
        <v>71</v>
      </c>
      <c r="AF39" t="s">
        <v>62</v>
      </c>
      <c r="AG39" t="str">
        <f t="shared" si="1"/>
        <v>mean</v>
      </c>
      <c r="AH39" t="s">
        <v>213</v>
      </c>
      <c r="AS39" t="s">
        <v>849</v>
      </c>
      <c r="AT39" t="s">
        <v>849</v>
      </c>
      <c r="AV39" t="s">
        <v>1803</v>
      </c>
      <c r="AW39" t="s">
        <v>1804</v>
      </c>
      <c r="AX39" t="s">
        <v>1805</v>
      </c>
      <c r="AY39" t="s">
        <v>1806</v>
      </c>
      <c r="AZ39" t="s">
        <v>76</v>
      </c>
    </row>
    <row r="40" spans="1:52" x14ac:dyDescent="0.2">
      <c r="A40" t="s">
        <v>155</v>
      </c>
      <c r="B40" t="s">
        <v>156</v>
      </c>
      <c r="C40" t="s">
        <v>157</v>
      </c>
      <c r="D40">
        <v>2006</v>
      </c>
      <c r="E40" t="s">
        <v>175</v>
      </c>
      <c r="F40" t="s">
        <v>283</v>
      </c>
      <c r="G40" t="s">
        <v>873</v>
      </c>
      <c r="H40" t="s">
        <v>189</v>
      </c>
      <c r="I40" t="s">
        <v>433</v>
      </c>
      <c r="J40" t="s">
        <v>31</v>
      </c>
      <c r="K40" t="s">
        <v>35</v>
      </c>
      <c r="L40" t="s">
        <v>11</v>
      </c>
      <c r="M40" t="s">
        <v>18</v>
      </c>
      <c r="N40">
        <v>0</v>
      </c>
      <c r="O40" s="18" t="s">
        <v>20</v>
      </c>
      <c r="P40" s="18" t="s">
        <v>24</v>
      </c>
      <c r="S40" t="s">
        <v>48</v>
      </c>
      <c r="T40" t="s">
        <v>50</v>
      </c>
      <c r="U40">
        <v>233</v>
      </c>
      <c r="V40" t="s">
        <v>89</v>
      </c>
      <c r="W40" s="16">
        <v>14</v>
      </c>
      <c r="X40" s="16">
        <v>14</v>
      </c>
      <c r="Y40" s="16"/>
      <c r="AA40">
        <v>9.6</v>
      </c>
      <c r="AB40">
        <v>0.4</v>
      </c>
      <c r="AC40">
        <v>8.6</v>
      </c>
      <c r="AD40">
        <v>0.4</v>
      </c>
      <c r="AE40" t="s">
        <v>71</v>
      </c>
      <c r="AF40" t="s">
        <v>62</v>
      </c>
      <c r="AG40" t="str">
        <f t="shared" si="1"/>
        <v>mean</v>
      </c>
      <c r="AH40" t="s">
        <v>213</v>
      </c>
      <c r="AS40" t="s">
        <v>849</v>
      </c>
      <c r="AT40" t="s">
        <v>849</v>
      </c>
      <c r="AV40" t="s">
        <v>1803</v>
      </c>
      <c r="AW40" t="s">
        <v>1804</v>
      </c>
      <c r="AX40" t="s">
        <v>1805</v>
      </c>
      <c r="AY40" t="s">
        <v>1806</v>
      </c>
      <c r="AZ40" t="s">
        <v>76</v>
      </c>
    </row>
    <row r="41" spans="1:52" x14ac:dyDescent="0.2">
      <c r="A41" t="s">
        <v>155</v>
      </c>
      <c r="B41" t="s">
        <v>156</v>
      </c>
      <c r="C41" t="s">
        <v>157</v>
      </c>
      <c r="D41">
        <v>2006</v>
      </c>
      <c r="E41" t="s">
        <v>175</v>
      </c>
      <c r="F41" t="s">
        <v>283</v>
      </c>
      <c r="G41" t="s">
        <v>873</v>
      </c>
      <c r="H41" t="s">
        <v>190</v>
      </c>
      <c r="I41" t="s">
        <v>433</v>
      </c>
      <c r="J41" t="s">
        <v>31</v>
      </c>
      <c r="K41" t="s">
        <v>35</v>
      </c>
      <c r="L41" t="s">
        <v>11</v>
      </c>
      <c r="M41" t="s">
        <v>18</v>
      </c>
      <c r="N41">
        <v>0</v>
      </c>
      <c r="O41" s="18" t="s">
        <v>20</v>
      </c>
      <c r="P41" s="18" t="s">
        <v>24</v>
      </c>
      <c r="S41" t="s">
        <v>48</v>
      </c>
      <c r="T41" t="s">
        <v>50</v>
      </c>
      <c r="U41">
        <v>233</v>
      </c>
      <c r="V41" t="s">
        <v>89</v>
      </c>
      <c r="W41" s="16">
        <v>14</v>
      </c>
      <c r="X41" s="16">
        <v>14</v>
      </c>
      <c r="Y41" s="16"/>
      <c r="AA41">
        <v>4316</v>
      </c>
      <c r="AB41">
        <v>71</v>
      </c>
      <c r="AC41">
        <v>4237</v>
      </c>
      <c r="AD41">
        <v>71</v>
      </c>
      <c r="AE41" t="s">
        <v>71</v>
      </c>
      <c r="AF41" t="s">
        <v>62</v>
      </c>
      <c r="AG41" t="str">
        <f t="shared" si="1"/>
        <v>mean</v>
      </c>
      <c r="AH41" t="s">
        <v>213</v>
      </c>
      <c r="AS41" t="s">
        <v>849</v>
      </c>
      <c r="AT41" t="s">
        <v>849</v>
      </c>
      <c r="AV41" t="s">
        <v>1803</v>
      </c>
      <c r="AW41" t="s">
        <v>1804</v>
      </c>
      <c r="AX41" t="s">
        <v>1805</v>
      </c>
      <c r="AY41" t="s">
        <v>1806</v>
      </c>
      <c r="AZ41" t="s">
        <v>76</v>
      </c>
    </row>
    <row r="42" spans="1:52" x14ac:dyDescent="0.2">
      <c r="A42" t="s">
        <v>155</v>
      </c>
      <c r="B42" t="s">
        <v>156</v>
      </c>
      <c r="C42" t="s">
        <v>157</v>
      </c>
      <c r="D42">
        <v>2006</v>
      </c>
      <c r="E42" t="s">
        <v>175</v>
      </c>
      <c r="F42" t="s">
        <v>283</v>
      </c>
      <c r="G42" t="s">
        <v>873</v>
      </c>
      <c r="H42" t="s">
        <v>191</v>
      </c>
      <c r="I42" t="s">
        <v>433</v>
      </c>
      <c r="J42" t="s">
        <v>31</v>
      </c>
      <c r="K42" t="s">
        <v>35</v>
      </c>
      <c r="L42" t="s">
        <v>11</v>
      </c>
      <c r="M42" t="s">
        <v>18</v>
      </c>
      <c r="N42">
        <v>0</v>
      </c>
      <c r="O42" s="18" t="s">
        <v>20</v>
      </c>
      <c r="P42" s="18" t="s">
        <v>27</v>
      </c>
      <c r="S42" t="s">
        <v>48</v>
      </c>
      <c r="T42" t="s">
        <v>50</v>
      </c>
      <c r="U42">
        <v>234</v>
      </c>
      <c r="V42" t="s">
        <v>88</v>
      </c>
      <c r="W42" s="16">
        <v>47</v>
      </c>
      <c r="X42" s="16">
        <v>47</v>
      </c>
      <c r="Y42" s="16"/>
      <c r="AA42">
        <v>0.43</v>
      </c>
      <c r="AB42">
        <v>0.05</v>
      </c>
      <c r="AC42">
        <v>0.36</v>
      </c>
      <c r="AD42">
        <v>0.05</v>
      </c>
      <c r="AE42" t="s">
        <v>71</v>
      </c>
      <c r="AF42" t="s">
        <v>62</v>
      </c>
      <c r="AG42" t="str">
        <f t="shared" si="1"/>
        <v>mean</v>
      </c>
      <c r="AH42" t="s">
        <v>213</v>
      </c>
      <c r="AS42" t="s">
        <v>849</v>
      </c>
      <c r="AT42" t="s">
        <v>849</v>
      </c>
      <c r="AV42" t="s">
        <v>1803</v>
      </c>
      <c r="AW42" t="s">
        <v>1804</v>
      </c>
      <c r="AX42" t="s">
        <v>1805</v>
      </c>
      <c r="AY42" t="s">
        <v>1806</v>
      </c>
      <c r="AZ42" t="s">
        <v>76</v>
      </c>
    </row>
    <row r="43" spans="1:52" x14ac:dyDescent="0.2">
      <c r="A43" t="s">
        <v>155</v>
      </c>
      <c r="B43" t="s">
        <v>156</v>
      </c>
      <c r="C43" t="s">
        <v>157</v>
      </c>
      <c r="D43">
        <v>2006</v>
      </c>
      <c r="E43" t="s">
        <v>175</v>
      </c>
      <c r="F43" t="s">
        <v>283</v>
      </c>
      <c r="G43" t="s">
        <v>873</v>
      </c>
      <c r="H43" t="s">
        <v>192</v>
      </c>
      <c r="I43" t="s">
        <v>433</v>
      </c>
      <c r="J43" t="s">
        <v>31</v>
      </c>
      <c r="K43" t="s">
        <v>35</v>
      </c>
      <c r="L43" t="s">
        <v>11</v>
      </c>
      <c r="M43" t="s">
        <v>18</v>
      </c>
      <c r="N43">
        <v>0</v>
      </c>
      <c r="O43" s="18" t="s">
        <v>20</v>
      </c>
      <c r="P43" s="18" t="s">
        <v>1824</v>
      </c>
      <c r="S43" t="s">
        <v>48</v>
      </c>
      <c r="T43" t="s">
        <v>50</v>
      </c>
      <c r="U43">
        <v>234</v>
      </c>
      <c r="V43" t="s">
        <v>88</v>
      </c>
      <c r="W43" s="16">
        <v>31</v>
      </c>
      <c r="X43" s="16">
        <v>31</v>
      </c>
      <c r="Y43" s="16"/>
      <c r="AA43">
        <v>43.6</v>
      </c>
      <c r="AB43">
        <v>2.6</v>
      </c>
      <c r="AC43">
        <v>45.23</v>
      </c>
      <c r="AD43">
        <v>2.9</v>
      </c>
      <c r="AE43" t="s">
        <v>71</v>
      </c>
      <c r="AF43" t="s">
        <v>62</v>
      </c>
      <c r="AG43" t="str">
        <f t="shared" si="1"/>
        <v>mean</v>
      </c>
      <c r="AH43" t="s">
        <v>213</v>
      </c>
      <c r="AS43" t="s">
        <v>849</v>
      </c>
      <c r="AT43" t="s">
        <v>222</v>
      </c>
      <c r="AV43" t="s">
        <v>1803</v>
      </c>
      <c r="AW43" t="s">
        <v>1804</v>
      </c>
      <c r="AX43" t="s">
        <v>1805</v>
      </c>
      <c r="AY43" t="s">
        <v>1806</v>
      </c>
      <c r="AZ43" t="s">
        <v>76</v>
      </c>
    </row>
    <row r="44" spans="1:52" x14ac:dyDescent="0.2">
      <c r="A44" t="s">
        <v>155</v>
      </c>
      <c r="B44" t="s">
        <v>156</v>
      </c>
      <c r="C44" t="s">
        <v>157</v>
      </c>
      <c r="D44">
        <v>2006</v>
      </c>
      <c r="E44" t="s">
        <v>175</v>
      </c>
      <c r="F44" t="s">
        <v>283</v>
      </c>
      <c r="G44" t="s">
        <v>873</v>
      </c>
      <c r="H44" t="s">
        <v>193</v>
      </c>
      <c r="I44" t="s">
        <v>433</v>
      </c>
      <c r="J44" t="s">
        <v>31</v>
      </c>
      <c r="K44" t="s">
        <v>35</v>
      </c>
      <c r="L44" t="s">
        <v>11</v>
      </c>
      <c r="M44" t="s">
        <v>18</v>
      </c>
      <c r="N44">
        <v>0</v>
      </c>
      <c r="O44" s="18" t="s">
        <v>21</v>
      </c>
      <c r="P44" s="18" t="s">
        <v>75</v>
      </c>
      <c r="S44" t="s">
        <v>48</v>
      </c>
      <c r="T44" t="s">
        <v>50</v>
      </c>
      <c r="U44">
        <v>234</v>
      </c>
      <c r="V44" t="s">
        <v>88</v>
      </c>
      <c r="W44" s="16">
        <v>25</v>
      </c>
      <c r="X44" s="16">
        <v>25</v>
      </c>
      <c r="Y44" s="16"/>
      <c r="AA44">
        <v>13.8</v>
      </c>
      <c r="AB44">
        <v>0.2</v>
      </c>
      <c r="AC44">
        <v>9.1999999999999993</v>
      </c>
      <c r="AD44">
        <v>0.2</v>
      </c>
      <c r="AE44" t="s">
        <v>71</v>
      </c>
      <c r="AF44" t="s">
        <v>62</v>
      </c>
      <c r="AG44" t="str">
        <f t="shared" si="1"/>
        <v>mean</v>
      </c>
      <c r="AH44" t="s">
        <v>213</v>
      </c>
      <c r="AS44" t="s">
        <v>849</v>
      </c>
      <c r="AT44" t="s">
        <v>849</v>
      </c>
      <c r="AV44" t="s">
        <v>1803</v>
      </c>
      <c r="AW44" t="s">
        <v>1804</v>
      </c>
      <c r="AX44" t="s">
        <v>1805</v>
      </c>
      <c r="AY44" t="s">
        <v>1806</v>
      </c>
      <c r="AZ44" t="s">
        <v>76</v>
      </c>
    </row>
    <row r="45" spans="1:52" x14ac:dyDescent="0.2">
      <c r="A45" t="s">
        <v>100</v>
      </c>
      <c r="B45" t="s">
        <v>101</v>
      </c>
      <c r="C45" t="s">
        <v>106</v>
      </c>
      <c r="D45">
        <v>1991</v>
      </c>
      <c r="E45" t="s">
        <v>176</v>
      </c>
      <c r="F45" t="s">
        <v>284</v>
      </c>
      <c r="G45" t="s">
        <v>874</v>
      </c>
      <c r="H45" t="s">
        <v>194</v>
      </c>
      <c r="I45" t="s">
        <v>102</v>
      </c>
      <c r="J45" t="s">
        <v>29</v>
      </c>
      <c r="K45" t="s">
        <v>34</v>
      </c>
      <c r="O45" s="18" t="s">
        <v>20</v>
      </c>
      <c r="P45" s="18" t="s">
        <v>27</v>
      </c>
      <c r="Q45" t="s">
        <v>38</v>
      </c>
      <c r="R45" t="s">
        <v>45</v>
      </c>
      <c r="S45" t="s">
        <v>47</v>
      </c>
      <c r="T45" t="s">
        <v>50</v>
      </c>
      <c r="U45">
        <v>339</v>
      </c>
      <c r="V45" t="s">
        <v>92</v>
      </c>
      <c r="W45" s="16">
        <v>23</v>
      </c>
      <c r="X45" s="16">
        <v>16</v>
      </c>
      <c r="Y45" s="16"/>
      <c r="AA45">
        <v>5</v>
      </c>
      <c r="AB45">
        <v>6</v>
      </c>
      <c r="AC45">
        <v>1.5</v>
      </c>
      <c r="AD45">
        <v>5</v>
      </c>
      <c r="AE45" t="s">
        <v>72</v>
      </c>
      <c r="AF45" t="s">
        <v>63</v>
      </c>
      <c r="AG45" t="s">
        <v>72</v>
      </c>
      <c r="AH45" t="s">
        <v>213</v>
      </c>
      <c r="AS45" t="s">
        <v>222</v>
      </c>
      <c r="AT45" t="s">
        <v>849</v>
      </c>
      <c r="AV45" t="s">
        <v>1803</v>
      </c>
      <c r="AW45" t="s">
        <v>1807</v>
      </c>
      <c r="AX45" t="s">
        <v>1808</v>
      </c>
      <c r="AY45" t="s">
        <v>1814</v>
      </c>
      <c r="AZ45" t="s">
        <v>76</v>
      </c>
    </row>
    <row r="46" spans="1:52" x14ac:dyDescent="0.2">
      <c r="A46" t="s">
        <v>100</v>
      </c>
      <c r="B46" t="s">
        <v>101</v>
      </c>
      <c r="C46" t="s">
        <v>106</v>
      </c>
      <c r="D46">
        <v>1991</v>
      </c>
      <c r="E46" t="s">
        <v>176</v>
      </c>
      <c r="F46" t="s">
        <v>284</v>
      </c>
      <c r="G46" t="s">
        <v>874</v>
      </c>
      <c r="H46" t="s">
        <v>195</v>
      </c>
      <c r="I46" t="s">
        <v>102</v>
      </c>
      <c r="J46" t="s">
        <v>29</v>
      </c>
      <c r="K46" t="s">
        <v>34</v>
      </c>
      <c r="O46" s="18" t="s">
        <v>20</v>
      </c>
      <c r="P46" s="18" t="s">
        <v>27</v>
      </c>
      <c r="Q46" t="s">
        <v>38</v>
      </c>
      <c r="R46" t="s">
        <v>45</v>
      </c>
      <c r="S46" t="s">
        <v>47</v>
      </c>
      <c r="T46" t="s">
        <v>50</v>
      </c>
      <c r="U46">
        <v>339</v>
      </c>
      <c r="V46" t="s">
        <v>92</v>
      </c>
      <c r="W46" s="16">
        <v>19</v>
      </c>
      <c r="X46" s="16">
        <v>15</v>
      </c>
      <c r="Y46" s="16"/>
      <c r="AA46">
        <v>4</v>
      </c>
      <c r="AB46">
        <v>6</v>
      </c>
      <c r="AC46">
        <v>1</v>
      </c>
      <c r="AD46">
        <v>4.5</v>
      </c>
      <c r="AE46" t="s">
        <v>72</v>
      </c>
      <c r="AF46" t="s">
        <v>63</v>
      </c>
      <c r="AG46" t="s">
        <v>72</v>
      </c>
      <c r="AH46" t="s">
        <v>213</v>
      </c>
      <c r="AS46" t="s">
        <v>222</v>
      </c>
      <c r="AT46" t="s">
        <v>849</v>
      </c>
      <c r="AV46" t="s">
        <v>1803</v>
      </c>
      <c r="AW46" t="s">
        <v>1807</v>
      </c>
      <c r="AX46" t="s">
        <v>1808</v>
      </c>
      <c r="AY46" t="s">
        <v>1814</v>
      </c>
      <c r="AZ46" t="s">
        <v>76</v>
      </c>
    </row>
    <row r="47" spans="1:52" x14ac:dyDescent="0.2">
      <c r="A47" t="s">
        <v>100</v>
      </c>
      <c r="B47" t="s">
        <v>101</v>
      </c>
      <c r="C47" t="s">
        <v>106</v>
      </c>
      <c r="D47">
        <v>1991</v>
      </c>
      <c r="E47" t="s">
        <v>176</v>
      </c>
      <c r="F47" t="s">
        <v>285</v>
      </c>
      <c r="G47" t="s">
        <v>875</v>
      </c>
      <c r="H47" t="s">
        <v>196</v>
      </c>
      <c r="I47" t="s">
        <v>102</v>
      </c>
      <c r="J47" t="s">
        <v>29</v>
      </c>
      <c r="K47" t="s">
        <v>34</v>
      </c>
      <c r="O47" s="18" t="s">
        <v>20</v>
      </c>
      <c r="P47" s="18" t="s">
        <v>27</v>
      </c>
      <c r="Q47" t="s">
        <v>38</v>
      </c>
      <c r="R47" t="s">
        <v>45</v>
      </c>
      <c r="S47" t="s">
        <v>47</v>
      </c>
      <c r="T47" t="s">
        <v>50</v>
      </c>
      <c r="U47">
        <v>339</v>
      </c>
      <c r="V47" t="s">
        <v>92</v>
      </c>
      <c r="W47" s="16">
        <v>19</v>
      </c>
      <c r="X47" s="16">
        <v>13</v>
      </c>
      <c r="Y47" s="16"/>
      <c r="AA47">
        <v>7.5</v>
      </c>
      <c r="AB47">
        <v>9</v>
      </c>
      <c r="AC47">
        <v>7</v>
      </c>
      <c r="AD47">
        <v>3.5</v>
      </c>
      <c r="AE47" t="s">
        <v>72</v>
      </c>
      <c r="AF47" t="s">
        <v>63</v>
      </c>
      <c r="AG47" t="s">
        <v>72</v>
      </c>
      <c r="AH47" t="s">
        <v>213</v>
      </c>
      <c r="AS47" t="s">
        <v>222</v>
      </c>
      <c r="AT47" t="s">
        <v>849</v>
      </c>
      <c r="AV47" t="s">
        <v>1803</v>
      </c>
      <c r="AW47" t="s">
        <v>1807</v>
      </c>
      <c r="AX47" t="s">
        <v>1808</v>
      </c>
      <c r="AY47" t="s">
        <v>1814</v>
      </c>
      <c r="AZ47" t="s">
        <v>76</v>
      </c>
    </row>
    <row r="48" spans="1:52" x14ac:dyDescent="0.2">
      <c r="A48" t="s">
        <v>100</v>
      </c>
      <c r="B48" t="s">
        <v>101</v>
      </c>
      <c r="C48" t="s">
        <v>106</v>
      </c>
      <c r="D48">
        <v>1991</v>
      </c>
      <c r="E48" t="s">
        <v>176</v>
      </c>
      <c r="F48" t="s">
        <v>286</v>
      </c>
      <c r="G48" t="s">
        <v>876</v>
      </c>
      <c r="H48" t="s">
        <v>197</v>
      </c>
      <c r="I48" t="s">
        <v>102</v>
      </c>
      <c r="J48" t="s">
        <v>29</v>
      </c>
      <c r="K48" t="s">
        <v>34</v>
      </c>
      <c r="O48" s="18" t="s">
        <v>20</v>
      </c>
      <c r="P48" s="18" t="s">
        <v>27</v>
      </c>
      <c r="Q48" t="s">
        <v>38</v>
      </c>
      <c r="R48" t="s">
        <v>45</v>
      </c>
      <c r="S48" t="s">
        <v>47</v>
      </c>
      <c r="T48" t="s">
        <v>50</v>
      </c>
      <c r="U48">
        <v>339</v>
      </c>
      <c r="V48" t="s">
        <v>92</v>
      </c>
      <c r="W48" s="16">
        <v>30</v>
      </c>
      <c r="X48" s="16">
        <v>21</v>
      </c>
      <c r="Y48" s="16"/>
      <c r="AA48">
        <v>7</v>
      </c>
      <c r="AB48">
        <v>6</v>
      </c>
      <c r="AC48">
        <v>2</v>
      </c>
      <c r="AD48">
        <v>5</v>
      </c>
      <c r="AE48" t="s">
        <v>72</v>
      </c>
      <c r="AF48" t="s">
        <v>63</v>
      </c>
      <c r="AG48" t="s">
        <v>72</v>
      </c>
      <c r="AH48" t="s">
        <v>213</v>
      </c>
      <c r="AS48" t="s">
        <v>222</v>
      </c>
      <c r="AT48" t="s">
        <v>849</v>
      </c>
      <c r="AV48" t="s">
        <v>1803</v>
      </c>
      <c r="AW48" t="s">
        <v>1807</v>
      </c>
      <c r="AX48" t="s">
        <v>1808</v>
      </c>
      <c r="AY48" t="s">
        <v>1814</v>
      </c>
      <c r="AZ48" t="s">
        <v>76</v>
      </c>
    </row>
    <row r="49" spans="1:52" x14ac:dyDescent="0.2">
      <c r="A49" t="s">
        <v>100</v>
      </c>
      <c r="B49" t="s">
        <v>101</v>
      </c>
      <c r="C49" t="s">
        <v>106</v>
      </c>
      <c r="D49">
        <v>1991</v>
      </c>
      <c r="E49" t="s">
        <v>176</v>
      </c>
      <c r="F49" t="s">
        <v>287</v>
      </c>
      <c r="G49" t="s">
        <v>877</v>
      </c>
      <c r="H49" t="s">
        <v>198</v>
      </c>
      <c r="I49" t="s">
        <v>102</v>
      </c>
      <c r="J49" t="s">
        <v>29</v>
      </c>
      <c r="K49" t="s">
        <v>34</v>
      </c>
      <c r="O49" s="18" t="s">
        <v>20</v>
      </c>
      <c r="P49" s="18" t="s">
        <v>27</v>
      </c>
      <c r="Q49" t="s">
        <v>38</v>
      </c>
      <c r="R49" t="s">
        <v>45</v>
      </c>
      <c r="S49" t="s">
        <v>47</v>
      </c>
      <c r="T49" t="s">
        <v>50</v>
      </c>
      <c r="U49">
        <v>339</v>
      </c>
      <c r="V49" t="s">
        <v>92</v>
      </c>
      <c r="W49" s="16">
        <v>16</v>
      </c>
      <c r="X49" s="16">
        <v>17</v>
      </c>
      <c r="Y49" s="16"/>
      <c r="AA49">
        <v>8</v>
      </c>
      <c r="AB49">
        <v>5</v>
      </c>
      <c r="AC49">
        <v>6</v>
      </c>
      <c r="AD49">
        <v>8</v>
      </c>
      <c r="AE49" t="s">
        <v>72</v>
      </c>
      <c r="AF49" t="s">
        <v>63</v>
      </c>
      <c r="AG49" t="s">
        <v>72</v>
      </c>
      <c r="AH49" t="s">
        <v>213</v>
      </c>
      <c r="AS49" t="s">
        <v>222</v>
      </c>
      <c r="AT49" t="s">
        <v>849</v>
      </c>
      <c r="AV49" t="s">
        <v>1803</v>
      </c>
      <c r="AW49" t="s">
        <v>1807</v>
      </c>
      <c r="AX49" t="s">
        <v>1808</v>
      </c>
      <c r="AY49" t="s">
        <v>1814</v>
      </c>
      <c r="AZ49" t="s">
        <v>76</v>
      </c>
    </row>
    <row r="50" spans="1:52" x14ac:dyDescent="0.2">
      <c r="A50" t="s">
        <v>100</v>
      </c>
      <c r="B50" t="s">
        <v>101</v>
      </c>
      <c r="C50" t="s">
        <v>106</v>
      </c>
      <c r="D50">
        <v>1991</v>
      </c>
      <c r="E50" t="s">
        <v>176</v>
      </c>
      <c r="F50" t="s">
        <v>288</v>
      </c>
      <c r="G50" t="s">
        <v>878</v>
      </c>
      <c r="H50" t="s">
        <v>199</v>
      </c>
      <c r="I50" t="s">
        <v>102</v>
      </c>
      <c r="J50" t="s">
        <v>29</v>
      </c>
      <c r="K50" t="s">
        <v>34</v>
      </c>
      <c r="O50" s="18" t="s">
        <v>20</v>
      </c>
      <c r="P50" s="18" t="s">
        <v>27</v>
      </c>
      <c r="Q50" t="s">
        <v>38</v>
      </c>
      <c r="R50" t="s">
        <v>45</v>
      </c>
      <c r="S50" t="s">
        <v>47</v>
      </c>
      <c r="T50" t="s">
        <v>50</v>
      </c>
      <c r="U50">
        <v>339</v>
      </c>
      <c r="V50" t="s">
        <v>92</v>
      </c>
      <c r="W50" s="16">
        <v>14</v>
      </c>
      <c r="X50" s="16">
        <v>16</v>
      </c>
      <c r="Y50" s="16"/>
      <c r="AA50">
        <v>7</v>
      </c>
      <c r="AB50">
        <v>13</v>
      </c>
      <c r="AC50">
        <v>6.5</v>
      </c>
      <c r="AD50">
        <v>8.5</v>
      </c>
      <c r="AE50" t="s">
        <v>72</v>
      </c>
      <c r="AF50" t="s">
        <v>63</v>
      </c>
      <c r="AG50" t="s">
        <v>72</v>
      </c>
      <c r="AH50" t="s">
        <v>213</v>
      </c>
      <c r="AS50" t="s">
        <v>222</v>
      </c>
      <c r="AT50" t="s">
        <v>849</v>
      </c>
      <c r="AV50" t="s">
        <v>1803</v>
      </c>
      <c r="AW50" t="s">
        <v>1807</v>
      </c>
      <c r="AX50" t="s">
        <v>1808</v>
      </c>
      <c r="AY50" t="s">
        <v>1814</v>
      </c>
      <c r="AZ50" t="s">
        <v>76</v>
      </c>
    </row>
    <row r="51" spans="1:52" x14ac:dyDescent="0.2">
      <c r="A51" t="s">
        <v>100</v>
      </c>
      <c r="B51" t="s">
        <v>101</v>
      </c>
      <c r="C51" t="s">
        <v>106</v>
      </c>
      <c r="D51">
        <v>1991</v>
      </c>
      <c r="E51" t="s">
        <v>176</v>
      </c>
      <c r="F51" t="s">
        <v>289</v>
      </c>
      <c r="G51" t="s">
        <v>879</v>
      </c>
      <c r="H51" t="s">
        <v>200</v>
      </c>
      <c r="I51" t="s">
        <v>102</v>
      </c>
      <c r="J51" t="s">
        <v>29</v>
      </c>
      <c r="K51" t="s">
        <v>34</v>
      </c>
      <c r="O51" s="18" t="s">
        <v>20</v>
      </c>
      <c r="P51" s="18" t="s">
        <v>27</v>
      </c>
      <c r="Q51" t="s">
        <v>38</v>
      </c>
      <c r="R51" t="s">
        <v>45</v>
      </c>
      <c r="S51" t="s">
        <v>47</v>
      </c>
      <c r="T51" t="s">
        <v>50</v>
      </c>
      <c r="U51">
        <v>339</v>
      </c>
      <c r="V51" t="s">
        <v>92</v>
      </c>
      <c r="W51" s="16">
        <v>47</v>
      </c>
      <c r="X51" s="16">
        <v>52</v>
      </c>
      <c r="Y51" s="16"/>
      <c r="AA51">
        <v>11</v>
      </c>
      <c r="AB51">
        <v>7.5</v>
      </c>
      <c r="AC51">
        <v>8</v>
      </c>
      <c r="AD51">
        <v>9.5</v>
      </c>
      <c r="AE51" t="s">
        <v>72</v>
      </c>
      <c r="AF51" t="s">
        <v>63</v>
      </c>
      <c r="AG51" t="s">
        <v>72</v>
      </c>
      <c r="AH51" t="s">
        <v>213</v>
      </c>
      <c r="AS51" t="s">
        <v>222</v>
      </c>
      <c r="AT51" t="s">
        <v>849</v>
      </c>
      <c r="AV51" t="s">
        <v>1803</v>
      </c>
      <c r="AW51" t="s">
        <v>1807</v>
      </c>
      <c r="AX51" t="s">
        <v>1808</v>
      </c>
      <c r="AY51" t="s">
        <v>1814</v>
      </c>
      <c r="AZ51" t="s">
        <v>76</v>
      </c>
    </row>
    <row r="52" spans="1:52" x14ac:dyDescent="0.2">
      <c r="A52" t="s">
        <v>158</v>
      </c>
      <c r="B52" t="s">
        <v>160</v>
      </c>
      <c r="C52" t="s">
        <v>159</v>
      </c>
      <c r="D52">
        <v>2011</v>
      </c>
      <c r="E52" t="s">
        <v>177</v>
      </c>
      <c r="F52" t="s">
        <v>290</v>
      </c>
      <c r="G52" t="s">
        <v>880</v>
      </c>
      <c r="H52" t="s">
        <v>201</v>
      </c>
      <c r="I52" t="s">
        <v>142</v>
      </c>
      <c r="J52" t="s">
        <v>134</v>
      </c>
      <c r="K52" t="s">
        <v>34</v>
      </c>
      <c r="O52" s="18" t="s">
        <v>20</v>
      </c>
      <c r="P52" s="18" t="s">
        <v>27</v>
      </c>
      <c r="Q52" t="s">
        <v>38</v>
      </c>
      <c r="R52" t="s">
        <v>44</v>
      </c>
      <c r="S52" t="s">
        <v>47</v>
      </c>
      <c r="T52" t="s">
        <v>223</v>
      </c>
      <c r="U52" t="s">
        <v>161</v>
      </c>
      <c r="W52" s="16">
        <v>39</v>
      </c>
      <c r="X52" s="16">
        <v>33</v>
      </c>
      <c r="Y52" s="16">
        <v>16</v>
      </c>
      <c r="Z52">
        <v>14</v>
      </c>
      <c r="AG52" t="s">
        <v>1790</v>
      </c>
      <c r="AH52" t="s">
        <v>213</v>
      </c>
      <c r="AS52" t="s">
        <v>849</v>
      </c>
      <c r="AT52" t="s">
        <v>849</v>
      </c>
      <c r="AV52" t="s">
        <v>1803</v>
      </c>
      <c r="AW52" t="s">
        <v>1807</v>
      </c>
      <c r="AX52" t="s">
        <v>1808</v>
      </c>
      <c r="AY52" t="s">
        <v>1818</v>
      </c>
      <c r="AZ52" t="s">
        <v>76</v>
      </c>
    </row>
    <row r="53" spans="1:52" x14ac:dyDescent="0.2">
      <c r="A53" t="s">
        <v>158</v>
      </c>
      <c r="B53" t="s">
        <v>160</v>
      </c>
      <c r="C53" t="s">
        <v>159</v>
      </c>
      <c r="D53">
        <v>2011</v>
      </c>
      <c r="E53" t="s">
        <v>177</v>
      </c>
      <c r="F53" t="s">
        <v>290</v>
      </c>
      <c r="G53" t="s">
        <v>880</v>
      </c>
      <c r="H53" t="s">
        <v>202</v>
      </c>
      <c r="I53" t="s">
        <v>142</v>
      </c>
      <c r="J53" t="s">
        <v>134</v>
      </c>
      <c r="K53" t="s">
        <v>34</v>
      </c>
      <c r="O53" s="18" t="s">
        <v>21</v>
      </c>
      <c r="P53" s="18" t="s">
        <v>78</v>
      </c>
      <c r="Q53" t="s">
        <v>38</v>
      </c>
      <c r="R53" t="s">
        <v>44</v>
      </c>
      <c r="S53" t="s">
        <v>47</v>
      </c>
      <c r="T53" t="s">
        <v>224</v>
      </c>
      <c r="U53">
        <v>1432</v>
      </c>
      <c r="W53" s="16">
        <v>37</v>
      </c>
      <c r="X53" s="16">
        <v>27</v>
      </c>
      <c r="Y53" s="16"/>
      <c r="AA53">
        <v>20.74</v>
      </c>
      <c r="AB53">
        <v>1.23</v>
      </c>
      <c r="AC53">
        <v>17.77</v>
      </c>
      <c r="AD53">
        <v>2.1</v>
      </c>
      <c r="AE53" t="s">
        <v>71</v>
      </c>
      <c r="AF53" t="s">
        <v>62</v>
      </c>
      <c r="AG53" t="str">
        <f>IF(AE53="mean", "mean", "")</f>
        <v>mean</v>
      </c>
      <c r="AH53" t="s">
        <v>213</v>
      </c>
      <c r="AS53" t="s">
        <v>849</v>
      </c>
      <c r="AT53" t="s">
        <v>849</v>
      </c>
      <c r="AV53" t="s">
        <v>1803</v>
      </c>
      <c r="AW53" t="s">
        <v>1807</v>
      </c>
      <c r="AX53" t="s">
        <v>1808</v>
      </c>
      <c r="AY53" t="s">
        <v>1818</v>
      </c>
      <c r="AZ53" t="s">
        <v>76</v>
      </c>
    </row>
    <row r="54" spans="1:52" x14ac:dyDescent="0.2">
      <c r="A54" t="s">
        <v>158</v>
      </c>
      <c r="B54" t="s">
        <v>160</v>
      </c>
      <c r="C54" t="s">
        <v>159</v>
      </c>
      <c r="D54">
        <v>2011</v>
      </c>
      <c r="E54" t="s">
        <v>177</v>
      </c>
      <c r="F54" t="s">
        <v>290</v>
      </c>
      <c r="G54" t="s">
        <v>881</v>
      </c>
      <c r="H54" t="s">
        <v>203</v>
      </c>
      <c r="I54" t="s">
        <v>142</v>
      </c>
      <c r="J54" t="s">
        <v>134</v>
      </c>
      <c r="K54" t="s">
        <v>34</v>
      </c>
      <c r="O54" s="18" t="s">
        <v>20</v>
      </c>
      <c r="P54" s="18" t="s">
        <v>27</v>
      </c>
      <c r="Q54" t="s">
        <v>38</v>
      </c>
      <c r="R54" t="s">
        <v>44</v>
      </c>
      <c r="S54" t="s">
        <v>47</v>
      </c>
      <c r="T54" t="s">
        <v>50</v>
      </c>
      <c r="U54">
        <v>1432</v>
      </c>
      <c r="V54" t="s">
        <v>89</v>
      </c>
      <c r="W54" s="16">
        <v>23</v>
      </c>
      <c r="X54" s="16">
        <v>23</v>
      </c>
      <c r="Y54" s="16">
        <v>21</v>
      </c>
      <c r="Z54">
        <v>2</v>
      </c>
      <c r="AG54" t="s">
        <v>1790</v>
      </c>
      <c r="AH54" t="s">
        <v>213</v>
      </c>
      <c r="AS54" t="s">
        <v>849</v>
      </c>
      <c r="AT54" t="s">
        <v>849</v>
      </c>
      <c r="AV54" t="s">
        <v>1803</v>
      </c>
      <c r="AW54" t="s">
        <v>1807</v>
      </c>
      <c r="AX54" t="s">
        <v>1808</v>
      </c>
      <c r="AY54" t="s">
        <v>1818</v>
      </c>
      <c r="AZ54" t="s">
        <v>76</v>
      </c>
    </row>
    <row r="55" spans="1:52" x14ac:dyDescent="0.2">
      <c r="A55" t="s">
        <v>162</v>
      </c>
      <c r="B55" t="s">
        <v>163</v>
      </c>
      <c r="D55">
        <v>1988</v>
      </c>
      <c r="E55" t="s">
        <v>178</v>
      </c>
      <c r="F55" t="s">
        <v>291</v>
      </c>
      <c r="G55" t="s">
        <v>882</v>
      </c>
      <c r="H55" t="s">
        <v>204</v>
      </c>
      <c r="I55" t="s">
        <v>164</v>
      </c>
      <c r="J55" t="s">
        <v>83</v>
      </c>
      <c r="K55" t="s">
        <v>34</v>
      </c>
      <c r="O55" s="18" t="s">
        <v>20</v>
      </c>
      <c r="P55" s="18" t="s">
        <v>27</v>
      </c>
      <c r="Q55" t="s">
        <v>38</v>
      </c>
      <c r="R55" t="s">
        <v>44</v>
      </c>
      <c r="S55" t="s">
        <v>47</v>
      </c>
      <c r="T55" t="s">
        <v>50</v>
      </c>
      <c r="U55">
        <v>776</v>
      </c>
      <c r="V55" t="s">
        <v>92</v>
      </c>
      <c r="W55" s="16">
        <v>94</v>
      </c>
      <c r="X55" s="16">
        <v>24</v>
      </c>
      <c r="Y55" s="16">
        <v>65</v>
      </c>
      <c r="Z55">
        <v>12</v>
      </c>
      <c r="AG55" t="s">
        <v>1790</v>
      </c>
      <c r="AH55" t="s">
        <v>213</v>
      </c>
      <c r="AS55" t="s">
        <v>222</v>
      </c>
      <c r="AT55" t="s">
        <v>849</v>
      </c>
      <c r="AV55" t="s">
        <v>1803</v>
      </c>
      <c r="AW55" t="s">
        <v>1815</v>
      </c>
      <c r="AX55" t="s">
        <v>1816</v>
      </c>
      <c r="AY55" t="s">
        <v>1806</v>
      </c>
      <c r="AZ55" t="s">
        <v>76</v>
      </c>
    </row>
    <row r="56" spans="1:52" x14ac:dyDescent="0.2">
      <c r="A56" t="s">
        <v>162</v>
      </c>
      <c r="B56" t="s">
        <v>163</v>
      </c>
      <c r="D56">
        <v>1988</v>
      </c>
      <c r="E56" t="s">
        <v>178</v>
      </c>
      <c r="F56" t="s">
        <v>291</v>
      </c>
      <c r="G56" t="s">
        <v>882</v>
      </c>
      <c r="H56" t="s">
        <v>205</v>
      </c>
      <c r="I56" t="s">
        <v>164</v>
      </c>
      <c r="J56" t="s">
        <v>83</v>
      </c>
      <c r="K56" t="s">
        <v>34</v>
      </c>
      <c r="O56" s="18" t="s">
        <v>20</v>
      </c>
      <c r="P56" s="18" t="s">
        <v>27</v>
      </c>
      <c r="Q56" t="s">
        <v>38</v>
      </c>
      <c r="R56" t="s">
        <v>44</v>
      </c>
      <c r="S56" t="s">
        <v>47</v>
      </c>
      <c r="T56" t="s">
        <v>50</v>
      </c>
      <c r="U56">
        <v>776</v>
      </c>
      <c r="V56" t="s">
        <v>92</v>
      </c>
      <c r="W56" s="16">
        <v>88</v>
      </c>
      <c r="X56" s="16">
        <v>32</v>
      </c>
      <c r="Y56" s="16">
        <v>47</v>
      </c>
      <c r="Z56">
        <v>13</v>
      </c>
      <c r="AG56" t="s">
        <v>1790</v>
      </c>
      <c r="AH56" t="s">
        <v>213</v>
      </c>
      <c r="AS56" t="s">
        <v>222</v>
      </c>
      <c r="AT56" t="s">
        <v>849</v>
      </c>
      <c r="AV56" t="s">
        <v>1803</v>
      </c>
      <c r="AW56" t="s">
        <v>1815</v>
      </c>
      <c r="AX56" t="s">
        <v>1816</v>
      </c>
      <c r="AY56" t="s">
        <v>1806</v>
      </c>
      <c r="AZ56" t="s">
        <v>76</v>
      </c>
    </row>
    <row r="57" spans="1:52" x14ac:dyDescent="0.2">
      <c r="A57" t="s">
        <v>162</v>
      </c>
      <c r="B57" t="s">
        <v>163</v>
      </c>
      <c r="D57">
        <v>1988</v>
      </c>
      <c r="E57" t="s">
        <v>178</v>
      </c>
      <c r="F57" t="s">
        <v>291</v>
      </c>
      <c r="G57" t="s">
        <v>882</v>
      </c>
      <c r="H57" t="s">
        <v>206</v>
      </c>
      <c r="I57" t="s">
        <v>164</v>
      </c>
      <c r="J57" t="s">
        <v>83</v>
      </c>
      <c r="K57" t="s">
        <v>34</v>
      </c>
      <c r="O57" s="18" t="s">
        <v>20</v>
      </c>
      <c r="P57" s="18" t="s">
        <v>27</v>
      </c>
      <c r="Q57" t="s">
        <v>38</v>
      </c>
      <c r="R57" t="s">
        <v>44</v>
      </c>
      <c r="S57" t="s">
        <v>47</v>
      </c>
      <c r="T57" t="s">
        <v>50</v>
      </c>
      <c r="U57">
        <v>776</v>
      </c>
      <c r="V57" t="s">
        <v>92</v>
      </c>
      <c r="W57" s="16">
        <v>68</v>
      </c>
      <c r="X57" s="16">
        <v>28</v>
      </c>
      <c r="Y57" s="16">
        <v>36</v>
      </c>
      <c r="Z57">
        <v>13</v>
      </c>
      <c r="AG57" t="s">
        <v>1790</v>
      </c>
      <c r="AH57" t="s">
        <v>213</v>
      </c>
      <c r="AS57" t="s">
        <v>222</v>
      </c>
      <c r="AT57" t="s">
        <v>849</v>
      </c>
      <c r="AV57" t="s">
        <v>1803</v>
      </c>
      <c r="AW57" t="s">
        <v>1815</v>
      </c>
      <c r="AX57" t="s">
        <v>1816</v>
      </c>
      <c r="AY57" t="s">
        <v>1806</v>
      </c>
      <c r="AZ57" t="s">
        <v>76</v>
      </c>
    </row>
    <row r="58" spans="1:52" x14ac:dyDescent="0.2">
      <c r="A58" t="s">
        <v>162</v>
      </c>
      <c r="B58" t="s">
        <v>163</v>
      </c>
      <c r="D58">
        <v>1988</v>
      </c>
      <c r="E58" t="s">
        <v>178</v>
      </c>
      <c r="F58" t="s">
        <v>291</v>
      </c>
      <c r="G58" t="s">
        <v>882</v>
      </c>
      <c r="H58" t="s">
        <v>207</v>
      </c>
      <c r="I58" t="s">
        <v>164</v>
      </c>
      <c r="J58" t="s">
        <v>83</v>
      </c>
      <c r="K58" t="s">
        <v>34</v>
      </c>
      <c r="O58" s="18" t="s">
        <v>20</v>
      </c>
      <c r="P58" s="18" t="s">
        <v>27</v>
      </c>
      <c r="Q58" t="s">
        <v>38</v>
      </c>
      <c r="R58" t="s">
        <v>44</v>
      </c>
      <c r="S58" t="s">
        <v>47</v>
      </c>
      <c r="T58" t="s">
        <v>50</v>
      </c>
      <c r="U58">
        <v>776</v>
      </c>
      <c r="V58" t="s">
        <v>92</v>
      </c>
      <c r="W58" s="16">
        <v>61</v>
      </c>
      <c r="X58" s="16">
        <v>39</v>
      </c>
      <c r="Y58" s="16">
        <v>10</v>
      </c>
      <c r="Z58">
        <v>6</v>
      </c>
      <c r="AG58" t="s">
        <v>1790</v>
      </c>
      <c r="AH58" t="s">
        <v>213</v>
      </c>
      <c r="AS58" t="s">
        <v>222</v>
      </c>
      <c r="AT58" t="s">
        <v>849</v>
      </c>
      <c r="AV58" t="s">
        <v>1803</v>
      </c>
      <c r="AW58" t="s">
        <v>1815</v>
      </c>
      <c r="AX58" t="s">
        <v>1816</v>
      </c>
      <c r="AY58" t="s">
        <v>1806</v>
      </c>
      <c r="AZ58" t="s">
        <v>76</v>
      </c>
    </row>
    <row r="59" spans="1:52" x14ac:dyDescent="0.2">
      <c r="A59" t="s">
        <v>162</v>
      </c>
      <c r="B59" t="s">
        <v>163</v>
      </c>
      <c r="D59">
        <v>1988</v>
      </c>
      <c r="E59" t="s">
        <v>178</v>
      </c>
      <c r="F59" t="s">
        <v>291</v>
      </c>
      <c r="G59" t="s">
        <v>882</v>
      </c>
      <c r="H59" t="s">
        <v>208</v>
      </c>
      <c r="I59" t="s">
        <v>164</v>
      </c>
      <c r="J59" t="s">
        <v>83</v>
      </c>
      <c r="K59" t="s">
        <v>34</v>
      </c>
      <c r="O59" s="18" t="s">
        <v>20</v>
      </c>
      <c r="P59" s="18" t="s">
        <v>27</v>
      </c>
      <c r="Q59" t="s">
        <v>38</v>
      </c>
      <c r="R59" t="s">
        <v>44</v>
      </c>
      <c r="S59" t="s">
        <v>47</v>
      </c>
      <c r="T59" t="s">
        <v>50</v>
      </c>
      <c r="U59">
        <v>776</v>
      </c>
      <c r="V59" t="s">
        <v>92</v>
      </c>
      <c r="W59" s="16">
        <v>50</v>
      </c>
      <c r="X59" s="16">
        <v>40</v>
      </c>
      <c r="Y59" s="16">
        <v>32</v>
      </c>
      <c r="Z59">
        <v>18</v>
      </c>
      <c r="AG59" t="s">
        <v>1790</v>
      </c>
      <c r="AH59" t="s">
        <v>213</v>
      </c>
      <c r="AS59" t="s">
        <v>222</v>
      </c>
      <c r="AT59" t="s">
        <v>849</v>
      </c>
      <c r="AV59" t="s">
        <v>1803</v>
      </c>
      <c r="AW59" t="s">
        <v>1815</v>
      </c>
      <c r="AX59" t="s">
        <v>1816</v>
      </c>
      <c r="AY59" t="s">
        <v>1806</v>
      </c>
      <c r="AZ59" t="s">
        <v>76</v>
      </c>
    </row>
    <row r="60" spans="1:52" x14ac:dyDescent="0.2">
      <c r="A60" t="s">
        <v>162</v>
      </c>
      <c r="B60" t="s">
        <v>163</v>
      </c>
      <c r="D60">
        <v>1988</v>
      </c>
      <c r="E60" t="s">
        <v>178</v>
      </c>
      <c r="F60" t="s">
        <v>291</v>
      </c>
      <c r="G60" t="s">
        <v>882</v>
      </c>
      <c r="H60" t="s">
        <v>209</v>
      </c>
      <c r="I60" t="s">
        <v>164</v>
      </c>
      <c r="J60" t="s">
        <v>83</v>
      </c>
      <c r="K60" t="s">
        <v>34</v>
      </c>
      <c r="O60" s="18" t="s">
        <v>20</v>
      </c>
      <c r="P60" s="18" t="s">
        <v>27</v>
      </c>
      <c r="Q60" t="s">
        <v>38</v>
      </c>
      <c r="R60" t="s">
        <v>44</v>
      </c>
      <c r="S60" t="s">
        <v>47</v>
      </c>
      <c r="T60" t="s">
        <v>50</v>
      </c>
      <c r="U60">
        <v>776</v>
      </c>
      <c r="V60" t="s">
        <v>92</v>
      </c>
      <c r="W60" s="16">
        <v>40</v>
      </c>
      <c r="X60" s="16">
        <v>56</v>
      </c>
      <c r="Y60" s="16">
        <v>14</v>
      </c>
      <c r="Z60">
        <v>12</v>
      </c>
      <c r="AG60" t="s">
        <v>1790</v>
      </c>
      <c r="AH60" t="s">
        <v>213</v>
      </c>
      <c r="AS60" t="s">
        <v>222</v>
      </c>
      <c r="AT60" t="s">
        <v>849</v>
      </c>
      <c r="AV60" t="s">
        <v>1803</v>
      </c>
      <c r="AW60" t="s">
        <v>1815</v>
      </c>
      <c r="AX60" t="s">
        <v>1816</v>
      </c>
      <c r="AY60" t="s">
        <v>1806</v>
      </c>
      <c r="AZ60" t="s">
        <v>76</v>
      </c>
    </row>
    <row r="61" spans="1:52" x14ac:dyDescent="0.2">
      <c r="A61" t="s">
        <v>162</v>
      </c>
      <c r="B61" t="s">
        <v>163</v>
      </c>
      <c r="D61">
        <v>1988</v>
      </c>
      <c r="E61" t="s">
        <v>178</v>
      </c>
      <c r="F61" t="s">
        <v>291</v>
      </c>
      <c r="G61" t="s">
        <v>883</v>
      </c>
      <c r="H61" t="s">
        <v>210</v>
      </c>
      <c r="I61" t="s">
        <v>164</v>
      </c>
      <c r="J61" t="s">
        <v>83</v>
      </c>
      <c r="K61" t="s">
        <v>34</v>
      </c>
      <c r="O61" s="18" t="s">
        <v>76</v>
      </c>
      <c r="P61" s="18" t="s">
        <v>646</v>
      </c>
      <c r="Q61" t="s">
        <v>38</v>
      </c>
      <c r="R61" t="s">
        <v>44</v>
      </c>
      <c r="S61" t="s">
        <v>47</v>
      </c>
      <c r="T61" t="s">
        <v>50</v>
      </c>
      <c r="U61">
        <v>777</v>
      </c>
      <c r="V61" t="s">
        <v>89</v>
      </c>
      <c r="W61" s="16">
        <v>204</v>
      </c>
      <c r="X61" s="16">
        <v>74</v>
      </c>
      <c r="Y61" s="16">
        <v>181</v>
      </c>
      <c r="Z61">
        <v>55</v>
      </c>
      <c r="AG61" t="s">
        <v>1790</v>
      </c>
      <c r="AH61" t="s">
        <v>213</v>
      </c>
      <c r="AS61" t="s">
        <v>222</v>
      </c>
      <c r="AT61" t="s">
        <v>849</v>
      </c>
      <c r="AV61" t="s">
        <v>1803</v>
      </c>
      <c r="AW61" t="s">
        <v>1815</v>
      </c>
      <c r="AX61" t="s">
        <v>1816</v>
      </c>
      <c r="AY61" t="s">
        <v>1806</v>
      </c>
      <c r="AZ61" t="s">
        <v>76</v>
      </c>
    </row>
    <row r="62" spans="1:52" x14ac:dyDescent="0.2">
      <c r="A62" t="s">
        <v>165</v>
      </c>
      <c r="B62" t="s">
        <v>166</v>
      </c>
      <c r="C62" t="s">
        <v>225</v>
      </c>
      <c r="D62">
        <v>2017</v>
      </c>
      <c r="E62" t="s">
        <v>179</v>
      </c>
      <c r="F62" t="s">
        <v>292</v>
      </c>
      <c r="G62" t="s">
        <v>884</v>
      </c>
      <c r="H62" t="s">
        <v>211</v>
      </c>
      <c r="I62" t="s">
        <v>1759</v>
      </c>
      <c r="J62" t="s">
        <v>81</v>
      </c>
      <c r="K62" t="s">
        <v>35</v>
      </c>
      <c r="L62" t="s">
        <v>11</v>
      </c>
      <c r="M62" t="s">
        <v>14</v>
      </c>
      <c r="N62">
        <v>1</v>
      </c>
      <c r="O62" s="18" t="s">
        <v>21</v>
      </c>
      <c r="P62" s="18" t="s">
        <v>78</v>
      </c>
      <c r="S62" t="s">
        <v>47</v>
      </c>
      <c r="T62" t="s">
        <v>49</v>
      </c>
      <c r="U62">
        <v>4</v>
      </c>
      <c r="V62" t="s">
        <v>167</v>
      </c>
      <c r="W62" s="16">
        <v>4</v>
      </c>
      <c r="X62" s="16">
        <v>4</v>
      </c>
      <c r="Y62" s="16"/>
      <c r="AA62">
        <v>0.700808625336927</v>
      </c>
      <c r="AB62">
        <v>8.6253369272237104E-2</v>
      </c>
      <c r="AC62">
        <v>0.74663072776280304</v>
      </c>
      <c r="AD62">
        <v>4.4474393530997101E-2</v>
      </c>
      <c r="AE62" t="s">
        <v>71</v>
      </c>
      <c r="AF62" t="s">
        <v>61</v>
      </c>
      <c r="AG62" t="str">
        <f>IF(AE62="mean", "mean", "")</f>
        <v>mean</v>
      </c>
      <c r="AH62" t="s">
        <v>213</v>
      </c>
      <c r="AS62" t="s">
        <v>849</v>
      </c>
      <c r="AT62" t="s">
        <v>849</v>
      </c>
      <c r="AV62" t="s">
        <v>1803</v>
      </c>
      <c r="AW62" t="s">
        <v>1807</v>
      </c>
      <c r="AX62" t="s">
        <v>1808</v>
      </c>
      <c r="AY62" t="s">
        <v>1806</v>
      </c>
      <c r="AZ62" t="s">
        <v>1809</v>
      </c>
    </row>
    <row r="63" spans="1:52" x14ac:dyDescent="0.2">
      <c r="A63" t="s">
        <v>165</v>
      </c>
      <c r="B63" t="s">
        <v>166</v>
      </c>
      <c r="C63" t="s">
        <v>225</v>
      </c>
      <c r="D63">
        <v>2017</v>
      </c>
      <c r="E63" t="s">
        <v>179</v>
      </c>
      <c r="F63" t="s">
        <v>292</v>
      </c>
      <c r="G63" t="s">
        <v>884</v>
      </c>
      <c r="H63" t="s">
        <v>229</v>
      </c>
      <c r="I63" t="s">
        <v>1759</v>
      </c>
      <c r="J63" t="s">
        <v>81</v>
      </c>
      <c r="K63" t="s">
        <v>35</v>
      </c>
      <c r="L63" t="s">
        <v>11</v>
      </c>
      <c r="M63" t="s">
        <v>14</v>
      </c>
      <c r="N63">
        <v>1</v>
      </c>
      <c r="O63" s="18" t="s">
        <v>21</v>
      </c>
      <c r="P63" s="18" t="s">
        <v>78</v>
      </c>
      <c r="S63" t="s">
        <v>47</v>
      </c>
      <c r="T63" t="s">
        <v>49</v>
      </c>
      <c r="U63">
        <v>4</v>
      </c>
      <c r="V63" t="s">
        <v>99</v>
      </c>
      <c r="W63" s="16">
        <v>4</v>
      </c>
      <c r="X63" s="16">
        <v>4</v>
      </c>
      <c r="Y63" s="16"/>
      <c r="AA63">
        <v>11.564766839378199</v>
      </c>
      <c r="AB63">
        <v>0.97409326424870302</v>
      </c>
      <c r="AC63">
        <v>9.0777202072538898</v>
      </c>
      <c r="AD63">
        <v>0.76683937823834203</v>
      </c>
      <c r="AE63" t="s">
        <v>71</v>
      </c>
      <c r="AF63" t="s">
        <v>61</v>
      </c>
      <c r="AG63" t="str">
        <f>IF(AE63="mean", "mean", "")</f>
        <v>mean</v>
      </c>
      <c r="AH63" t="s">
        <v>213</v>
      </c>
      <c r="AS63" t="s">
        <v>849</v>
      </c>
      <c r="AT63" t="s">
        <v>849</v>
      </c>
      <c r="AV63" t="s">
        <v>1803</v>
      </c>
      <c r="AW63" t="s">
        <v>1807</v>
      </c>
      <c r="AX63" t="s">
        <v>1808</v>
      </c>
      <c r="AY63" t="s">
        <v>1806</v>
      </c>
      <c r="AZ63" t="s">
        <v>1809</v>
      </c>
    </row>
    <row r="64" spans="1:52" x14ac:dyDescent="0.2">
      <c r="A64" t="s">
        <v>228</v>
      </c>
      <c r="B64" t="s">
        <v>226</v>
      </c>
      <c r="D64">
        <v>1990</v>
      </c>
      <c r="E64" t="s">
        <v>227</v>
      </c>
      <c r="F64" t="s">
        <v>293</v>
      </c>
      <c r="G64" t="s">
        <v>885</v>
      </c>
      <c r="H64" t="s">
        <v>233</v>
      </c>
      <c r="I64" t="s">
        <v>230</v>
      </c>
      <c r="J64" t="s">
        <v>31</v>
      </c>
      <c r="K64" t="s">
        <v>34</v>
      </c>
      <c r="O64" s="18" t="s">
        <v>21</v>
      </c>
      <c r="P64" s="18" t="s">
        <v>1042</v>
      </c>
      <c r="Q64" t="s">
        <v>38</v>
      </c>
      <c r="R64" t="s">
        <v>45</v>
      </c>
      <c r="S64" t="s">
        <v>47</v>
      </c>
      <c r="T64" t="s">
        <v>51</v>
      </c>
      <c r="U64">
        <v>405</v>
      </c>
      <c r="W64" s="16"/>
      <c r="X64" s="16"/>
      <c r="Y64" s="16"/>
      <c r="AG64" t="s">
        <v>4</v>
      </c>
      <c r="AH64" t="s">
        <v>214</v>
      </c>
      <c r="AN64">
        <v>25</v>
      </c>
      <c r="AO64">
        <v>-0.34699999999999998</v>
      </c>
      <c r="AS64" t="s">
        <v>222</v>
      </c>
      <c r="AT64" t="s">
        <v>849</v>
      </c>
      <c r="AV64" t="s">
        <v>1803</v>
      </c>
      <c r="AW64" t="s">
        <v>1815</v>
      </c>
      <c r="AX64" t="s">
        <v>1805</v>
      </c>
      <c r="AY64" t="s">
        <v>1806</v>
      </c>
      <c r="AZ64" t="s">
        <v>76</v>
      </c>
    </row>
    <row r="65" spans="1:52" x14ac:dyDescent="0.2">
      <c r="A65" t="s">
        <v>231</v>
      </c>
      <c r="B65" t="s">
        <v>226</v>
      </c>
      <c r="D65">
        <v>1993</v>
      </c>
      <c r="E65" t="s">
        <v>232</v>
      </c>
      <c r="F65" t="s">
        <v>294</v>
      </c>
      <c r="G65" t="s">
        <v>886</v>
      </c>
      <c r="H65" t="s">
        <v>237</v>
      </c>
      <c r="I65" t="s">
        <v>234</v>
      </c>
      <c r="J65" t="s">
        <v>31</v>
      </c>
      <c r="K65" t="s">
        <v>34</v>
      </c>
      <c r="O65" s="18" t="s">
        <v>76</v>
      </c>
      <c r="P65" s="18" t="s">
        <v>27</v>
      </c>
      <c r="Q65" t="s">
        <v>38</v>
      </c>
      <c r="R65" t="s">
        <v>45</v>
      </c>
      <c r="S65" t="s">
        <v>47</v>
      </c>
      <c r="T65" t="s">
        <v>51</v>
      </c>
      <c r="U65">
        <v>137</v>
      </c>
      <c r="W65" s="16"/>
      <c r="X65" s="16"/>
      <c r="Y65" s="16"/>
      <c r="AG65" t="s">
        <v>1789</v>
      </c>
      <c r="AH65" t="s">
        <v>214</v>
      </c>
      <c r="AJ65">
        <v>7.9</v>
      </c>
      <c r="AL65">
        <v>23</v>
      </c>
      <c r="AM65">
        <v>24</v>
      </c>
      <c r="AS65" t="s">
        <v>222</v>
      </c>
      <c r="AT65" t="s">
        <v>849</v>
      </c>
      <c r="AV65" t="s">
        <v>1803</v>
      </c>
      <c r="AW65" t="s">
        <v>1815</v>
      </c>
      <c r="AX65" t="s">
        <v>1805</v>
      </c>
      <c r="AY65" t="s">
        <v>1818</v>
      </c>
      <c r="AZ65" t="s">
        <v>76</v>
      </c>
    </row>
    <row r="66" spans="1:52" x14ac:dyDescent="0.2">
      <c r="A66" t="s">
        <v>235</v>
      </c>
      <c r="B66" t="s">
        <v>226</v>
      </c>
      <c r="D66">
        <v>1994</v>
      </c>
      <c r="E66" t="s">
        <v>236</v>
      </c>
      <c r="F66" t="s">
        <v>295</v>
      </c>
      <c r="G66" t="s">
        <v>887</v>
      </c>
      <c r="H66" t="s">
        <v>238</v>
      </c>
      <c r="I66" t="s">
        <v>234</v>
      </c>
      <c r="J66" t="s">
        <v>31</v>
      </c>
      <c r="K66" t="s">
        <v>34</v>
      </c>
      <c r="O66" s="18" t="s">
        <v>21</v>
      </c>
      <c r="P66" s="18" t="s">
        <v>78</v>
      </c>
      <c r="Q66" t="s">
        <v>38</v>
      </c>
      <c r="R66" t="s">
        <v>45</v>
      </c>
      <c r="S66" t="s">
        <v>47</v>
      </c>
      <c r="T66" t="s">
        <v>51</v>
      </c>
      <c r="U66">
        <v>262</v>
      </c>
      <c r="W66" s="16"/>
      <c r="X66" s="16"/>
      <c r="Y66" s="16"/>
      <c r="AG66" t="s">
        <v>4</v>
      </c>
      <c r="AH66" t="s">
        <v>214</v>
      </c>
      <c r="AN66">
        <v>65</v>
      </c>
      <c r="AO66">
        <v>-0.23599999999999999</v>
      </c>
      <c r="AS66" t="s">
        <v>222</v>
      </c>
      <c r="AT66" t="s">
        <v>849</v>
      </c>
      <c r="AV66" t="s">
        <v>1803</v>
      </c>
      <c r="AW66" t="s">
        <v>1815</v>
      </c>
      <c r="AX66" t="s">
        <v>1805</v>
      </c>
      <c r="AY66" t="s">
        <v>1818</v>
      </c>
      <c r="AZ66" t="s">
        <v>76</v>
      </c>
    </row>
    <row r="67" spans="1:52" x14ac:dyDescent="0.2">
      <c r="A67" t="s">
        <v>235</v>
      </c>
      <c r="B67" t="s">
        <v>226</v>
      </c>
      <c r="D67">
        <v>1994</v>
      </c>
      <c r="E67" t="s">
        <v>236</v>
      </c>
      <c r="F67" t="s">
        <v>295</v>
      </c>
      <c r="G67" t="s">
        <v>887</v>
      </c>
      <c r="H67" t="s">
        <v>239</v>
      </c>
      <c r="I67" t="s">
        <v>234</v>
      </c>
      <c r="J67" t="s">
        <v>31</v>
      </c>
      <c r="K67" t="s">
        <v>34</v>
      </c>
      <c r="O67" s="18" t="s">
        <v>20</v>
      </c>
      <c r="P67" s="18" t="s">
        <v>27</v>
      </c>
      <c r="Q67" t="s">
        <v>38</v>
      </c>
      <c r="R67" t="s">
        <v>45</v>
      </c>
      <c r="S67" t="s">
        <v>47</v>
      </c>
      <c r="T67" t="s">
        <v>50</v>
      </c>
      <c r="U67">
        <v>263</v>
      </c>
      <c r="V67" t="s">
        <v>92</v>
      </c>
      <c r="W67" s="16">
        <v>70</v>
      </c>
      <c r="X67" s="16">
        <v>37</v>
      </c>
      <c r="Y67" s="16"/>
      <c r="AA67">
        <v>3.5</v>
      </c>
      <c r="AB67">
        <v>0.2</v>
      </c>
      <c r="AC67">
        <v>2.9</v>
      </c>
      <c r="AD67">
        <v>0.2</v>
      </c>
      <c r="AE67" t="s">
        <v>71</v>
      </c>
      <c r="AF67" t="s">
        <v>62</v>
      </c>
      <c r="AG67" t="str">
        <f t="shared" ref="AG67:AG73" si="2">IF(AE67="mean", "mean", "")</f>
        <v>mean</v>
      </c>
      <c r="AH67" t="s">
        <v>213</v>
      </c>
      <c r="AS67" t="s">
        <v>222</v>
      </c>
      <c r="AT67" t="s">
        <v>849</v>
      </c>
      <c r="AV67" t="s">
        <v>1803</v>
      </c>
      <c r="AW67" t="s">
        <v>1815</v>
      </c>
      <c r="AX67" t="s">
        <v>1805</v>
      </c>
      <c r="AY67" t="s">
        <v>1818</v>
      </c>
      <c r="AZ67" t="s">
        <v>76</v>
      </c>
    </row>
    <row r="68" spans="1:52" x14ac:dyDescent="0.2">
      <c r="A68" t="s">
        <v>235</v>
      </c>
      <c r="B68" t="s">
        <v>226</v>
      </c>
      <c r="D68">
        <v>1994</v>
      </c>
      <c r="E68" t="s">
        <v>236</v>
      </c>
      <c r="F68" t="s">
        <v>295</v>
      </c>
      <c r="G68" t="s">
        <v>888</v>
      </c>
      <c r="H68" t="s">
        <v>240</v>
      </c>
      <c r="I68" t="s">
        <v>234</v>
      </c>
      <c r="J68" t="s">
        <v>31</v>
      </c>
      <c r="K68" t="s">
        <v>35</v>
      </c>
      <c r="L68" t="s">
        <v>11</v>
      </c>
      <c r="M68" t="s">
        <v>13</v>
      </c>
      <c r="N68">
        <v>1</v>
      </c>
      <c r="O68" s="18" t="s">
        <v>20</v>
      </c>
      <c r="P68" s="18" t="s">
        <v>24</v>
      </c>
      <c r="S68" t="s">
        <v>47</v>
      </c>
      <c r="T68" t="s">
        <v>49</v>
      </c>
      <c r="U68">
        <v>264</v>
      </c>
      <c r="W68">
        <v>23.5</v>
      </c>
      <c r="X68">
        <v>23.5</v>
      </c>
      <c r="AA68">
        <v>0.26500000000000001</v>
      </c>
      <c r="AB68">
        <v>6.6000000000000003E-2</v>
      </c>
      <c r="AC68">
        <v>0.159</v>
      </c>
      <c r="AD68">
        <v>5.7299999999999997E-2</v>
      </c>
      <c r="AE68" t="s">
        <v>71</v>
      </c>
      <c r="AF68" t="s">
        <v>62</v>
      </c>
      <c r="AG68" t="str">
        <f t="shared" si="2"/>
        <v>mean</v>
      </c>
      <c r="AH68" t="s">
        <v>213</v>
      </c>
      <c r="AL68">
        <v>45</v>
      </c>
      <c r="AS68" t="s">
        <v>849</v>
      </c>
      <c r="AT68" t="s">
        <v>849</v>
      </c>
      <c r="AV68" t="s">
        <v>1803</v>
      </c>
      <c r="AW68" t="s">
        <v>1815</v>
      </c>
      <c r="AX68" t="s">
        <v>1805</v>
      </c>
      <c r="AY68" t="s">
        <v>1818</v>
      </c>
      <c r="AZ68" t="s">
        <v>76</v>
      </c>
    </row>
    <row r="69" spans="1:52" x14ac:dyDescent="0.2">
      <c r="A69" t="s">
        <v>235</v>
      </c>
      <c r="B69" t="s">
        <v>226</v>
      </c>
      <c r="D69">
        <v>1994</v>
      </c>
      <c r="E69" t="s">
        <v>236</v>
      </c>
      <c r="F69" t="s">
        <v>295</v>
      </c>
      <c r="G69" t="s">
        <v>889</v>
      </c>
      <c r="H69" t="s">
        <v>241</v>
      </c>
      <c r="I69" t="s">
        <v>234</v>
      </c>
      <c r="J69" t="s">
        <v>31</v>
      </c>
      <c r="K69" t="s">
        <v>35</v>
      </c>
      <c r="L69" t="s">
        <v>11</v>
      </c>
      <c r="M69" t="s">
        <v>13</v>
      </c>
      <c r="N69">
        <v>1</v>
      </c>
      <c r="O69" s="18" t="s">
        <v>20</v>
      </c>
      <c r="P69" s="18" t="s">
        <v>24</v>
      </c>
      <c r="S69" t="s">
        <v>47</v>
      </c>
      <c r="T69" t="s">
        <v>50</v>
      </c>
      <c r="U69">
        <v>265</v>
      </c>
      <c r="V69" t="s">
        <v>89</v>
      </c>
      <c r="W69">
        <v>9</v>
      </c>
      <c r="X69">
        <v>10</v>
      </c>
      <c r="AA69">
        <v>53.4</v>
      </c>
      <c r="AB69">
        <v>14.9</v>
      </c>
      <c r="AC69">
        <v>50.3</v>
      </c>
      <c r="AD69">
        <v>9.6999999999999993</v>
      </c>
      <c r="AE69" t="s">
        <v>71</v>
      </c>
      <c r="AF69" t="s">
        <v>62</v>
      </c>
      <c r="AG69" t="str">
        <f t="shared" si="2"/>
        <v>mean</v>
      </c>
      <c r="AH69" t="s">
        <v>213</v>
      </c>
      <c r="AS69" t="s">
        <v>849</v>
      </c>
      <c r="AT69" t="s">
        <v>849</v>
      </c>
      <c r="AV69" t="s">
        <v>1803</v>
      </c>
      <c r="AW69" t="s">
        <v>1815</v>
      </c>
      <c r="AX69" t="s">
        <v>1805</v>
      </c>
      <c r="AY69" t="s">
        <v>1818</v>
      </c>
      <c r="AZ69" t="s">
        <v>76</v>
      </c>
    </row>
    <row r="70" spans="1:52" x14ac:dyDescent="0.2">
      <c r="A70" t="s">
        <v>235</v>
      </c>
      <c r="B70" t="s">
        <v>226</v>
      </c>
      <c r="D70">
        <v>1994</v>
      </c>
      <c r="E70" t="s">
        <v>236</v>
      </c>
      <c r="F70" t="s">
        <v>295</v>
      </c>
      <c r="G70" t="s">
        <v>889</v>
      </c>
      <c r="H70" t="s">
        <v>242</v>
      </c>
      <c r="I70" t="s">
        <v>234</v>
      </c>
      <c r="J70" t="s">
        <v>31</v>
      </c>
      <c r="K70" t="s">
        <v>35</v>
      </c>
      <c r="L70" t="s">
        <v>11</v>
      </c>
      <c r="M70" t="s">
        <v>13</v>
      </c>
      <c r="N70">
        <v>1</v>
      </c>
      <c r="O70" s="18" t="s">
        <v>20</v>
      </c>
      <c r="P70" s="18" t="s">
        <v>1824</v>
      </c>
      <c r="S70" t="s">
        <v>47</v>
      </c>
      <c r="T70" t="s">
        <v>50</v>
      </c>
      <c r="U70">
        <v>265</v>
      </c>
      <c r="V70" t="s">
        <v>89</v>
      </c>
      <c r="W70">
        <v>9</v>
      </c>
      <c r="X70">
        <v>10</v>
      </c>
      <c r="AA70">
        <v>81.7</v>
      </c>
      <c r="AB70">
        <v>11</v>
      </c>
      <c r="AC70">
        <v>35.4</v>
      </c>
      <c r="AD70">
        <v>10.5</v>
      </c>
      <c r="AE70" t="s">
        <v>71</v>
      </c>
      <c r="AF70" t="s">
        <v>62</v>
      </c>
      <c r="AG70" t="str">
        <f t="shared" si="2"/>
        <v>mean</v>
      </c>
      <c r="AH70" t="s">
        <v>213</v>
      </c>
      <c r="AS70" t="s">
        <v>849</v>
      </c>
      <c r="AT70" t="s">
        <v>849</v>
      </c>
      <c r="AV70" t="s">
        <v>1803</v>
      </c>
      <c r="AW70" t="s">
        <v>1815</v>
      </c>
      <c r="AX70" t="s">
        <v>1805</v>
      </c>
      <c r="AY70" t="s">
        <v>1818</v>
      </c>
      <c r="AZ70" t="s">
        <v>76</v>
      </c>
    </row>
    <row r="71" spans="1:52" x14ac:dyDescent="0.2">
      <c r="A71" t="s">
        <v>235</v>
      </c>
      <c r="B71" t="s">
        <v>226</v>
      </c>
      <c r="D71">
        <v>1994</v>
      </c>
      <c r="E71" t="s">
        <v>236</v>
      </c>
      <c r="F71" t="s">
        <v>295</v>
      </c>
      <c r="G71" t="s">
        <v>889</v>
      </c>
      <c r="H71" t="s">
        <v>243</v>
      </c>
      <c r="I71" t="s">
        <v>234</v>
      </c>
      <c r="J71" t="s">
        <v>31</v>
      </c>
      <c r="K71" t="s">
        <v>35</v>
      </c>
      <c r="L71" t="s">
        <v>11</v>
      </c>
      <c r="M71" t="s">
        <v>13</v>
      </c>
      <c r="N71">
        <v>1</v>
      </c>
      <c r="O71" s="18" t="s">
        <v>20</v>
      </c>
      <c r="P71" s="18" t="s">
        <v>1824</v>
      </c>
      <c r="S71" t="s">
        <v>47</v>
      </c>
      <c r="T71" t="s">
        <v>50</v>
      </c>
      <c r="U71">
        <v>265</v>
      </c>
      <c r="V71" t="s">
        <v>89</v>
      </c>
      <c r="W71">
        <v>9</v>
      </c>
      <c r="X71">
        <v>10</v>
      </c>
      <c r="AA71">
        <v>7.6</v>
      </c>
      <c r="AB71">
        <v>2.2999999999999998</v>
      </c>
      <c r="AC71">
        <v>7.2</v>
      </c>
      <c r="AD71">
        <v>2.4</v>
      </c>
      <c r="AE71" t="s">
        <v>71</v>
      </c>
      <c r="AF71" t="s">
        <v>62</v>
      </c>
      <c r="AG71" t="str">
        <f t="shared" si="2"/>
        <v>mean</v>
      </c>
      <c r="AH71" t="s">
        <v>213</v>
      </c>
      <c r="AS71" t="s">
        <v>849</v>
      </c>
      <c r="AT71" t="s">
        <v>849</v>
      </c>
      <c r="AV71" t="s">
        <v>1803</v>
      </c>
      <c r="AW71" t="s">
        <v>1815</v>
      </c>
      <c r="AX71" t="s">
        <v>1805</v>
      </c>
      <c r="AY71" t="s">
        <v>1818</v>
      </c>
      <c r="AZ71" t="s">
        <v>76</v>
      </c>
    </row>
    <row r="72" spans="1:52" x14ac:dyDescent="0.2">
      <c r="A72" t="s">
        <v>235</v>
      </c>
      <c r="B72" t="s">
        <v>226</v>
      </c>
      <c r="D72">
        <v>1994</v>
      </c>
      <c r="E72" t="s">
        <v>236</v>
      </c>
      <c r="F72" t="s">
        <v>295</v>
      </c>
      <c r="G72" t="s">
        <v>889</v>
      </c>
      <c r="H72" t="s">
        <v>244</v>
      </c>
      <c r="I72" t="s">
        <v>234</v>
      </c>
      <c r="J72" t="s">
        <v>31</v>
      </c>
      <c r="K72" t="s">
        <v>35</v>
      </c>
      <c r="L72" t="s">
        <v>11</v>
      </c>
      <c r="M72" t="s">
        <v>13</v>
      </c>
      <c r="N72">
        <v>1</v>
      </c>
      <c r="O72" s="18" t="s">
        <v>20</v>
      </c>
      <c r="P72" s="18" t="s">
        <v>1824</v>
      </c>
      <c r="S72" t="s">
        <v>47</v>
      </c>
      <c r="T72" t="s">
        <v>50</v>
      </c>
      <c r="U72">
        <v>265</v>
      </c>
      <c r="V72" t="s">
        <v>89</v>
      </c>
      <c r="W72">
        <v>9</v>
      </c>
      <c r="X72">
        <v>10</v>
      </c>
      <c r="AA72">
        <v>4</v>
      </c>
      <c r="AB72">
        <v>1.5</v>
      </c>
      <c r="AC72">
        <v>3.6</v>
      </c>
      <c r="AD72">
        <v>1.8</v>
      </c>
      <c r="AE72" t="s">
        <v>71</v>
      </c>
      <c r="AF72" t="s">
        <v>62</v>
      </c>
      <c r="AG72" t="str">
        <f t="shared" si="2"/>
        <v>mean</v>
      </c>
      <c r="AH72" t="s">
        <v>213</v>
      </c>
      <c r="AS72" t="s">
        <v>849</v>
      </c>
      <c r="AT72" t="s">
        <v>849</v>
      </c>
      <c r="AV72" t="s">
        <v>1803</v>
      </c>
      <c r="AW72" t="s">
        <v>1815</v>
      </c>
      <c r="AX72" t="s">
        <v>1805</v>
      </c>
      <c r="AY72" t="s">
        <v>1818</v>
      </c>
      <c r="AZ72" t="s">
        <v>76</v>
      </c>
    </row>
    <row r="73" spans="1:52" x14ac:dyDescent="0.2">
      <c r="A73" t="s">
        <v>235</v>
      </c>
      <c r="B73" t="s">
        <v>226</v>
      </c>
      <c r="D73">
        <v>1994</v>
      </c>
      <c r="E73" t="s">
        <v>236</v>
      </c>
      <c r="F73" t="s">
        <v>295</v>
      </c>
      <c r="G73" t="s">
        <v>889</v>
      </c>
      <c r="H73" t="s">
        <v>245</v>
      </c>
      <c r="I73" t="s">
        <v>234</v>
      </c>
      <c r="J73" t="s">
        <v>31</v>
      </c>
      <c r="K73" t="s">
        <v>35</v>
      </c>
      <c r="L73" t="s">
        <v>11</v>
      </c>
      <c r="M73" t="s">
        <v>13</v>
      </c>
      <c r="N73">
        <v>1</v>
      </c>
      <c r="O73" s="18" t="s">
        <v>20</v>
      </c>
      <c r="P73" s="18" t="s">
        <v>1824</v>
      </c>
      <c r="S73" t="s">
        <v>47</v>
      </c>
      <c r="T73" t="s">
        <v>50</v>
      </c>
      <c r="U73">
        <v>265</v>
      </c>
      <c r="V73" t="s">
        <v>89</v>
      </c>
      <c r="W73">
        <v>9</v>
      </c>
      <c r="X73">
        <v>10</v>
      </c>
      <c r="AA73">
        <v>2.8</v>
      </c>
      <c r="AB73">
        <v>1.3</v>
      </c>
      <c r="AC73">
        <v>0.7</v>
      </c>
      <c r="AD73">
        <v>0.6</v>
      </c>
      <c r="AE73" t="s">
        <v>71</v>
      </c>
      <c r="AF73" t="s">
        <v>62</v>
      </c>
      <c r="AG73" t="str">
        <f t="shared" si="2"/>
        <v>mean</v>
      </c>
      <c r="AH73" t="s">
        <v>213</v>
      </c>
      <c r="AS73" t="s">
        <v>849</v>
      </c>
      <c r="AT73" t="s">
        <v>849</v>
      </c>
      <c r="AV73" t="s">
        <v>1803</v>
      </c>
      <c r="AW73" t="s">
        <v>1815</v>
      </c>
      <c r="AX73" t="s">
        <v>1805</v>
      </c>
      <c r="AY73" t="s">
        <v>1818</v>
      </c>
      <c r="AZ73" t="s">
        <v>76</v>
      </c>
    </row>
    <row r="74" spans="1:52" x14ac:dyDescent="0.2">
      <c r="A74" t="s">
        <v>235</v>
      </c>
      <c r="B74" t="s">
        <v>226</v>
      </c>
      <c r="D74">
        <v>1994</v>
      </c>
      <c r="E74" t="s">
        <v>236</v>
      </c>
      <c r="F74" t="s">
        <v>295</v>
      </c>
      <c r="G74" t="s">
        <v>889</v>
      </c>
      <c r="H74" t="s">
        <v>246</v>
      </c>
      <c r="I74" t="s">
        <v>234</v>
      </c>
      <c r="J74" t="s">
        <v>31</v>
      </c>
      <c r="K74" t="s">
        <v>35</v>
      </c>
      <c r="L74" t="s">
        <v>11</v>
      </c>
      <c r="M74" t="s">
        <v>13</v>
      </c>
      <c r="N74">
        <v>1</v>
      </c>
      <c r="O74" s="18" t="s">
        <v>20</v>
      </c>
      <c r="P74" s="18" t="s">
        <v>1824</v>
      </c>
      <c r="S74" t="s">
        <v>47</v>
      </c>
      <c r="T74" t="s">
        <v>49</v>
      </c>
      <c r="U74">
        <v>264</v>
      </c>
      <c r="V74" t="s">
        <v>247</v>
      </c>
      <c r="W74">
        <v>9</v>
      </c>
      <c r="X74">
        <v>10</v>
      </c>
      <c r="Y74">
        <v>6</v>
      </c>
      <c r="Z74">
        <v>9</v>
      </c>
      <c r="AG74" t="s">
        <v>1790</v>
      </c>
      <c r="AH74" t="s">
        <v>213</v>
      </c>
      <c r="AS74" t="s">
        <v>849</v>
      </c>
      <c r="AT74" t="s">
        <v>222</v>
      </c>
      <c r="AV74" t="s">
        <v>1803</v>
      </c>
      <c r="AW74" t="s">
        <v>1815</v>
      </c>
      <c r="AX74" t="s">
        <v>1805</v>
      </c>
      <c r="AY74" t="s">
        <v>1818</v>
      </c>
      <c r="AZ74" t="s">
        <v>76</v>
      </c>
    </row>
    <row r="75" spans="1:52" x14ac:dyDescent="0.2">
      <c r="A75" t="s">
        <v>274</v>
      </c>
      <c r="B75" t="s">
        <v>275</v>
      </c>
      <c r="D75">
        <v>1996</v>
      </c>
      <c r="E75" t="s">
        <v>248</v>
      </c>
      <c r="F75" t="s">
        <v>296</v>
      </c>
      <c r="G75" t="s">
        <v>890</v>
      </c>
      <c r="H75" t="s">
        <v>249</v>
      </c>
      <c r="I75" t="s">
        <v>1758</v>
      </c>
      <c r="J75" t="s">
        <v>134</v>
      </c>
      <c r="K75" t="s">
        <v>34</v>
      </c>
      <c r="O75" s="18" t="s">
        <v>20</v>
      </c>
      <c r="P75" s="18" t="s">
        <v>27</v>
      </c>
      <c r="Q75" t="s">
        <v>38</v>
      </c>
      <c r="R75" t="s">
        <v>44</v>
      </c>
      <c r="S75" t="s">
        <v>47</v>
      </c>
      <c r="T75" t="s">
        <v>50</v>
      </c>
      <c r="U75">
        <v>685</v>
      </c>
      <c r="V75" t="s">
        <v>92</v>
      </c>
      <c r="W75">
        <v>94</v>
      </c>
      <c r="X75">
        <v>94</v>
      </c>
      <c r="Y75">
        <v>43</v>
      </c>
      <c r="Z75">
        <v>4</v>
      </c>
      <c r="AG75" t="s">
        <v>1790</v>
      </c>
      <c r="AH75" t="s">
        <v>213</v>
      </c>
      <c r="AS75" t="s">
        <v>849</v>
      </c>
      <c r="AT75" t="s">
        <v>849</v>
      </c>
      <c r="AV75" t="s">
        <v>1803</v>
      </c>
      <c r="AW75" t="s">
        <v>1807</v>
      </c>
      <c r="AX75" t="s">
        <v>1808</v>
      </c>
      <c r="AY75" t="s">
        <v>1818</v>
      </c>
      <c r="AZ75" t="s">
        <v>76</v>
      </c>
    </row>
    <row r="76" spans="1:52" x14ac:dyDescent="0.2">
      <c r="A76" t="s">
        <v>274</v>
      </c>
      <c r="B76" t="s">
        <v>275</v>
      </c>
      <c r="D76">
        <v>1996</v>
      </c>
      <c r="E76" t="s">
        <v>248</v>
      </c>
      <c r="F76" t="s">
        <v>297</v>
      </c>
      <c r="G76" t="s">
        <v>891</v>
      </c>
      <c r="H76" t="s">
        <v>250</v>
      </c>
      <c r="I76" t="s">
        <v>1758</v>
      </c>
      <c r="J76" t="s">
        <v>134</v>
      </c>
      <c r="K76" t="s">
        <v>34</v>
      </c>
      <c r="O76" s="18" t="s">
        <v>20</v>
      </c>
      <c r="P76" s="18" t="s">
        <v>27</v>
      </c>
      <c r="Q76" t="s">
        <v>38</v>
      </c>
      <c r="R76" t="s">
        <v>45</v>
      </c>
      <c r="S76" t="s">
        <v>47</v>
      </c>
      <c r="T76" t="s">
        <v>51</v>
      </c>
      <c r="U76">
        <v>686</v>
      </c>
      <c r="W76">
        <v>24</v>
      </c>
      <c r="X76">
        <v>23</v>
      </c>
      <c r="AA76">
        <v>5</v>
      </c>
      <c r="AB76">
        <v>5.9</v>
      </c>
      <c r="AC76">
        <v>2.4</v>
      </c>
      <c r="AD76">
        <v>6</v>
      </c>
      <c r="AE76" t="s">
        <v>71</v>
      </c>
      <c r="AF76" t="s">
        <v>61</v>
      </c>
      <c r="AG76" t="str">
        <f>IF(AE76="mean", "mean", "")</f>
        <v>mean</v>
      </c>
      <c r="AH76" t="s">
        <v>213</v>
      </c>
      <c r="AS76" t="s">
        <v>849</v>
      </c>
      <c r="AT76" t="s">
        <v>849</v>
      </c>
      <c r="AV76" t="s">
        <v>1803</v>
      </c>
      <c r="AW76" t="s">
        <v>1807</v>
      </c>
      <c r="AX76" t="s">
        <v>1808</v>
      </c>
      <c r="AY76" t="s">
        <v>1818</v>
      </c>
      <c r="AZ76" t="s">
        <v>76</v>
      </c>
    </row>
    <row r="77" spans="1:52" x14ac:dyDescent="0.2">
      <c r="A77" t="s">
        <v>274</v>
      </c>
      <c r="B77" t="s">
        <v>275</v>
      </c>
      <c r="D77">
        <v>1996</v>
      </c>
      <c r="E77" t="s">
        <v>248</v>
      </c>
      <c r="F77" t="s">
        <v>297</v>
      </c>
      <c r="G77" t="s">
        <v>891</v>
      </c>
      <c r="H77" t="s">
        <v>251</v>
      </c>
      <c r="I77" t="s">
        <v>1758</v>
      </c>
      <c r="J77" t="s">
        <v>134</v>
      </c>
      <c r="K77" t="s">
        <v>34</v>
      </c>
      <c r="O77" s="18" t="s">
        <v>20</v>
      </c>
      <c r="P77" s="18" t="s">
        <v>27</v>
      </c>
      <c r="Q77" t="s">
        <v>38</v>
      </c>
      <c r="R77" t="s">
        <v>44</v>
      </c>
      <c r="S77" t="s">
        <v>47</v>
      </c>
      <c r="T77" t="s">
        <v>51</v>
      </c>
      <c r="U77">
        <v>686</v>
      </c>
      <c r="W77">
        <v>25</v>
      </c>
      <c r="X77">
        <v>22</v>
      </c>
      <c r="AA77">
        <v>3.5</v>
      </c>
      <c r="AB77">
        <v>4.4000000000000004</v>
      </c>
      <c r="AC77">
        <v>0.8</v>
      </c>
      <c r="AD77">
        <v>1.2</v>
      </c>
      <c r="AE77" t="s">
        <v>71</v>
      </c>
      <c r="AF77" t="s">
        <v>61</v>
      </c>
      <c r="AG77" t="str">
        <f>IF(AE77="mean", "mean", "")</f>
        <v>mean</v>
      </c>
      <c r="AH77" t="s">
        <v>213</v>
      </c>
      <c r="AS77" t="s">
        <v>849</v>
      </c>
      <c r="AT77" t="s">
        <v>849</v>
      </c>
      <c r="AV77" t="s">
        <v>1803</v>
      </c>
      <c r="AW77" t="s">
        <v>1807</v>
      </c>
      <c r="AX77" t="s">
        <v>1808</v>
      </c>
      <c r="AY77" t="s">
        <v>1818</v>
      </c>
      <c r="AZ77" t="s">
        <v>76</v>
      </c>
    </row>
    <row r="78" spans="1:52" x14ac:dyDescent="0.2">
      <c r="A78" t="s">
        <v>274</v>
      </c>
      <c r="B78" t="s">
        <v>275</v>
      </c>
      <c r="D78">
        <v>1996</v>
      </c>
      <c r="E78" t="s">
        <v>248</v>
      </c>
      <c r="F78" t="s">
        <v>298</v>
      </c>
      <c r="G78" t="s">
        <v>892</v>
      </c>
      <c r="H78" t="s">
        <v>252</v>
      </c>
      <c r="I78" t="s">
        <v>1758</v>
      </c>
      <c r="J78" t="s">
        <v>134</v>
      </c>
      <c r="K78" t="s">
        <v>34</v>
      </c>
      <c r="O78" s="18" t="s">
        <v>20</v>
      </c>
      <c r="P78" s="18" t="s">
        <v>1042</v>
      </c>
      <c r="Q78" t="s">
        <v>38</v>
      </c>
      <c r="R78" t="s">
        <v>45</v>
      </c>
      <c r="S78" t="s">
        <v>47</v>
      </c>
      <c r="T78" t="s">
        <v>51</v>
      </c>
      <c r="U78">
        <v>688</v>
      </c>
      <c r="AG78" t="s">
        <v>4</v>
      </c>
      <c r="AH78" t="s">
        <v>214</v>
      </c>
      <c r="AN78">
        <v>17</v>
      </c>
      <c r="AO78">
        <v>-0.06</v>
      </c>
      <c r="AS78" t="s">
        <v>222</v>
      </c>
      <c r="AT78" t="s">
        <v>222</v>
      </c>
      <c r="AV78" t="s">
        <v>1803</v>
      </c>
      <c r="AW78" t="s">
        <v>1807</v>
      </c>
      <c r="AX78" t="s">
        <v>1808</v>
      </c>
      <c r="AY78" t="s">
        <v>1818</v>
      </c>
      <c r="AZ78" t="s">
        <v>76</v>
      </c>
    </row>
    <row r="79" spans="1:52" x14ac:dyDescent="0.2">
      <c r="A79" t="s">
        <v>299</v>
      </c>
      <c r="B79" t="s">
        <v>275</v>
      </c>
      <c r="D79">
        <v>1999</v>
      </c>
      <c r="E79" t="s">
        <v>300</v>
      </c>
      <c r="F79" t="s">
        <v>301</v>
      </c>
      <c r="G79" t="s">
        <v>893</v>
      </c>
      <c r="H79" t="s">
        <v>253</v>
      </c>
      <c r="I79" t="s">
        <v>302</v>
      </c>
      <c r="J79" t="s">
        <v>82</v>
      </c>
      <c r="K79" t="s">
        <v>34</v>
      </c>
      <c r="O79" s="18" t="s">
        <v>20</v>
      </c>
      <c r="P79" s="18" t="s">
        <v>27</v>
      </c>
      <c r="Q79" t="s">
        <v>38</v>
      </c>
      <c r="R79" t="s">
        <v>44</v>
      </c>
      <c r="S79" t="s">
        <v>47</v>
      </c>
      <c r="T79" t="s">
        <v>50</v>
      </c>
      <c r="U79">
        <v>255</v>
      </c>
      <c r="V79" t="s">
        <v>92</v>
      </c>
      <c r="W79">
        <v>100</v>
      </c>
      <c r="X79">
        <v>182</v>
      </c>
      <c r="Y79">
        <v>13</v>
      </c>
      <c r="Z79">
        <v>9</v>
      </c>
      <c r="AG79" t="s">
        <v>1790</v>
      </c>
      <c r="AH79" t="s">
        <v>213</v>
      </c>
      <c r="AS79" t="s">
        <v>222</v>
      </c>
      <c r="AT79" t="s">
        <v>849</v>
      </c>
      <c r="AV79" t="s">
        <v>1803</v>
      </c>
      <c r="AW79" t="s">
        <v>1807</v>
      </c>
      <c r="AX79" t="s">
        <v>1808</v>
      </c>
      <c r="AY79" t="s">
        <v>1806</v>
      </c>
      <c r="AZ79" t="s">
        <v>76</v>
      </c>
    </row>
    <row r="80" spans="1:52" x14ac:dyDescent="0.2">
      <c r="A80" t="s">
        <v>299</v>
      </c>
      <c r="B80" t="s">
        <v>275</v>
      </c>
      <c r="D80">
        <v>1999</v>
      </c>
      <c r="E80" t="s">
        <v>300</v>
      </c>
      <c r="F80" t="s">
        <v>301</v>
      </c>
      <c r="G80" t="s">
        <v>893</v>
      </c>
      <c r="H80" t="s">
        <v>254</v>
      </c>
      <c r="I80" t="s">
        <v>302</v>
      </c>
      <c r="J80" t="s">
        <v>82</v>
      </c>
      <c r="K80" t="s">
        <v>34</v>
      </c>
      <c r="O80" s="18" t="s">
        <v>20</v>
      </c>
      <c r="P80" s="18" t="s">
        <v>27</v>
      </c>
      <c r="Q80" t="s">
        <v>38</v>
      </c>
      <c r="R80" t="s">
        <v>45</v>
      </c>
      <c r="S80" t="s">
        <v>47</v>
      </c>
      <c r="T80" t="s">
        <v>50</v>
      </c>
      <c r="U80">
        <v>255</v>
      </c>
      <c r="V80" t="s">
        <v>92</v>
      </c>
      <c r="W80">
        <v>100</v>
      </c>
      <c r="X80">
        <v>182</v>
      </c>
      <c r="AA80">
        <v>19.600000000000001</v>
      </c>
      <c r="AB80">
        <v>13.4</v>
      </c>
      <c r="AC80">
        <v>12.9</v>
      </c>
      <c r="AD80">
        <v>9.6</v>
      </c>
      <c r="AE80" t="s">
        <v>71</v>
      </c>
      <c r="AF80" t="s">
        <v>61</v>
      </c>
      <c r="AG80" t="str">
        <f>IF(AE80="mean", "mean", "")</f>
        <v>mean</v>
      </c>
      <c r="AH80" t="s">
        <v>213</v>
      </c>
      <c r="AK80" s="7"/>
      <c r="AL80" s="7"/>
      <c r="AS80" t="s">
        <v>222</v>
      </c>
      <c r="AT80" t="s">
        <v>849</v>
      </c>
      <c r="AV80" t="s">
        <v>1803</v>
      </c>
      <c r="AW80" t="s">
        <v>1807</v>
      </c>
      <c r="AX80" t="s">
        <v>1808</v>
      </c>
      <c r="AY80" t="s">
        <v>1806</v>
      </c>
      <c r="AZ80" t="s">
        <v>76</v>
      </c>
    </row>
    <row r="81" spans="1:52" x14ac:dyDescent="0.2">
      <c r="A81" t="s">
        <v>303</v>
      </c>
      <c r="B81" t="s">
        <v>275</v>
      </c>
      <c r="D81">
        <v>1999</v>
      </c>
      <c r="E81" t="s">
        <v>304</v>
      </c>
      <c r="F81" t="s">
        <v>305</v>
      </c>
      <c r="G81" t="s">
        <v>894</v>
      </c>
      <c r="H81" t="s">
        <v>255</v>
      </c>
      <c r="I81" t="s">
        <v>302</v>
      </c>
      <c r="J81" t="s">
        <v>82</v>
      </c>
      <c r="K81" t="s">
        <v>34</v>
      </c>
      <c r="O81" s="18" t="s">
        <v>20</v>
      </c>
      <c r="P81" s="18" t="s">
        <v>27</v>
      </c>
      <c r="Q81" t="s">
        <v>38</v>
      </c>
      <c r="R81" t="s">
        <v>45</v>
      </c>
      <c r="S81" t="s">
        <v>47</v>
      </c>
      <c r="T81" t="s">
        <v>50</v>
      </c>
      <c r="U81">
        <v>387</v>
      </c>
      <c r="V81" t="s">
        <v>92</v>
      </c>
      <c r="W81">
        <v>100</v>
      </c>
      <c r="X81">
        <v>182</v>
      </c>
      <c r="AA81">
        <v>827</v>
      </c>
      <c r="AB81">
        <v>389</v>
      </c>
      <c r="AC81">
        <v>687</v>
      </c>
      <c r="AD81">
        <v>417</v>
      </c>
      <c r="AE81" t="s">
        <v>71</v>
      </c>
      <c r="AF81" t="s">
        <v>61</v>
      </c>
      <c r="AG81" t="str">
        <f>IF(AE81="mean", "mean", "")</f>
        <v>mean</v>
      </c>
      <c r="AH81" t="s">
        <v>213</v>
      </c>
      <c r="AS81" t="s">
        <v>222</v>
      </c>
      <c r="AT81" t="s">
        <v>849</v>
      </c>
      <c r="AV81" t="s">
        <v>1803</v>
      </c>
      <c r="AW81" t="s">
        <v>1807</v>
      </c>
      <c r="AX81" t="s">
        <v>1808</v>
      </c>
      <c r="AY81" t="s">
        <v>1806</v>
      </c>
      <c r="AZ81" t="s">
        <v>76</v>
      </c>
    </row>
    <row r="82" spans="1:52" x14ac:dyDescent="0.2">
      <c r="A82" t="s">
        <v>306</v>
      </c>
      <c r="B82" t="s">
        <v>275</v>
      </c>
      <c r="D82">
        <v>1995</v>
      </c>
      <c r="E82" t="s">
        <v>307</v>
      </c>
      <c r="F82" t="s">
        <v>308</v>
      </c>
      <c r="G82" t="s">
        <v>895</v>
      </c>
      <c r="H82" t="s">
        <v>256</v>
      </c>
      <c r="I82" t="s">
        <v>309</v>
      </c>
      <c r="J82" t="s">
        <v>134</v>
      </c>
      <c r="K82" t="s">
        <v>34</v>
      </c>
      <c r="O82" s="18" t="s">
        <v>20</v>
      </c>
      <c r="P82" s="18" t="s">
        <v>1824</v>
      </c>
      <c r="Q82" t="s">
        <v>38</v>
      </c>
      <c r="R82" t="s">
        <v>45</v>
      </c>
      <c r="S82" t="s">
        <v>47</v>
      </c>
      <c r="T82" t="s">
        <v>51</v>
      </c>
      <c r="U82">
        <v>1636</v>
      </c>
      <c r="AG82" t="s">
        <v>4</v>
      </c>
      <c r="AH82" t="s">
        <v>213</v>
      </c>
      <c r="AN82">
        <v>94</v>
      </c>
      <c r="AO82">
        <v>-0.01</v>
      </c>
      <c r="AS82" t="s">
        <v>222</v>
      </c>
      <c r="AT82" t="s">
        <v>849</v>
      </c>
      <c r="AV82" t="s">
        <v>1803</v>
      </c>
      <c r="AW82" t="s">
        <v>1807</v>
      </c>
      <c r="AX82" t="s">
        <v>1808</v>
      </c>
      <c r="AY82" t="s">
        <v>1818</v>
      </c>
      <c r="AZ82" t="s">
        <v>76</v>
      </c>
    </row>
    <row r="83" spans="1:52" x14ac:dyDescent="0.2">
      <c r="A83" t="s">
        <v>306</v>
      </c>
      <c r="B83" t="s">
        <v>275</v>
      </c>
      <c r="D83">
        <v>1995</v>
      </c>
      <c r="E83" t="s">
        <v>307</v>
      </c>
      <c r="F83" t="s">
        <v>308</v>
      </c>
      <c r="G83" t="s">
        <v>895</v>
      </c>
      <c r="H83" t="s">
        <v>257</v>
      </c>
      <c r="I83" t="s">
        <v>309</v>
      </c>
      <c r="J83" t="s">
        <v>134</v>
      </c>
      <c r="K83" t="s">
        <v>34</v>
      </c>
      <c r="O83" s="18" t="s">
        <v>20</v>
      </c>
      <c r="P83" s="18" t="s">
        <v>1824</v>
      </c>
      <c r="Q83" t="s">
        <v>38</v>
      </c>
      <c r="R83" t="s">
        <v>45</v>
      </c>
      <c r="S83" t="s">
        <v>47</v>
      </c>
      <c r="T83" t="s">
        <v>51</v>
      </c>
      <c r="U83">
        <v>1636</v>
      </c>
      <c r="AG83" t="s">
        <v>4</v>
      </c>
      <c r="AH83" t="s">
        <v>213</v>
      </c>
      <c r="AN83">
        <v>94</v>
      </c>
      <c r="AO83">
        <v>-0.06</v>
      </c>
      <c r="AS83" t="s">
        <v>222</v>
      </c>
      <c r="AT83" t="s">
        <v>849</v>
      </c>
      <c r="AV83" t="s">
        <v>1803</v>
      </c>
      <c r="AW83" t="s">
        <v>1807</v>
      </c>
      <c r="AX83" t="s">
        <v>1808</v>
      </c>
      <c r="AY83" t="s">
        <v>1818</v>
      </c>
      <c r="AZ83" t="s">
        <v>76</v>
      </c>
    </row>
    <row r="84" spans="1:52" x14ac:dyDescent="0.2">
      <c r="A84" t="s">
        <v>306</v>
      </c>
      <c r="B84" t="s">
        <v>275</v>
      </c>
      <c r="D84">
        <v>1995</v>
      </c>
      <c r="E84" t="s">
        <v>307</v>
      </c>
      <c r="F84" t="s">
        <v>308</v>
      </c>
      <c r="G84" t="s">
        <v>895</v>
      </c>
      <c r="H84" t="s">
        <v>258</v>
      </c>
      <c r="I84" t="s">
        <v>309</v>
      </c>
      <c r="J84" t="s">
        <v>134</v>
      </c>
      <c r="K84" t="s">
        <v>34</v>
      </c>
      <c r="O84" s="18" t="s">
        <v>20</v>
      </c>
      <c r="P84" s="18" t="s">
        <v>1824</v>
      </c>
      <c r="Q84" t="s">
        <v>38</v>
      </c>
      <c r="R84" t="s">
        <v>45</v>
      </c>
      <c r="S84" t="s">
        <v>47</v>
      </c>
      <c r="T84" t="s">
        <v>51</v>
      </c>
      <c r="U84">
        <v>1636</v>
      </c>
      <c r="AG84" t="s">
        <v>4</v>
      </c>
      <c r="AH84" t="s">
        <v>213</v>
      </c>
      <c r="AN84">
        <v>53</v>
      </c>
      <c r="AO84">
        <v>-0.01</v>
      </c>
      <c r="AS84" t="s">
        <v>222</v>
      </c>
      <c r="AT84" t="s">
        <v>849</v>
      </c>
      <c r="AV84" t="s">
        <v>1803</v>
      </c>
      <c r="AW84" t="s">
        <v>1807</v>
      </c>
      <c r="AX84" t="s">
        <v>1808</v>
      </c>
      <c r="AY84" t="s">
        <v>1818</v>
      </c>
      <c r="AZ84" t="s">
        <v>76</v>
      </c>
    </row>
    <row r="85" spans="1:52" x14ac:dyDescent="0.2">
      <c r="A85" t="s">
        <v>310</v>
      </c>
      <c r="B85" t="s">
        <v>311</v>
      </c>
      <c r="C85" t="s">
        <v>2279</v>
      </c>
      <c r="D85">
        <v>2015</v>
      </c>
      <c r="E85" t="s">
        <v>312</v>
      </c>
      <c r="F85" t="s">
        <v>313</v>
      </c>
      <c r="G85" t="s">
        <v>896</v>
      </c>
      <c r="H85" t="s">
        <v>259</v>
      </c>
      <c r="I85" t="s">
        <v>1760</v>
      </c>
      <c r="J85" t="s">
        <v>82</v>
      </c>
      <c r="K85" t="s">
        <v>34</v>
      </c>
      <c r="O85" s="18" t="s">
        <v>20</v>
      </c>
      <c r="P85" s="18" t="s">
        <v>26</v>
      </c>
      <c r="Q85" t="s">
        <v>38</v>
      </c>
      <c r="R85" t="s">
        <v>44</v>
      </c>
      <c r="S85" t="s">
        <v>47</v>
      </c>
      <c r="T85" t="s">
        <v>52</v>
      </c>
      <c r="W85">
        <v>33</v>
      </c>
      <c r="X85">
        <v>33</v>
      </c>
      <c r="Y85">
        <v>21</v>
      </c>
      <c r="Z85">
        <v>12</v>
      </c>
      <c r="AG85" t="s">
        <v>1790</v>
      </c>
      <c r="AH85" t="s">
        <v>213</v>
      </c>
      <c r="AS85" t="s">
        <v>222</v>
      </c>
      <c r="AT85" t="s">
        <v>849</v>
      </c>
      <c r="AV85" t="s">
        <v>1803</v>
      </c>
      <c r="AW85" t="s">
        <v>1815</v>
      </c>
      <c r="AX85" t="s">
        <v>1808</v>
      </c>
      <c r="AY85" t="s">
        <v>1806</v>
      </c>
      <c r="AZ85" t="s">
        <v>76</v>
      </c>
    </row>
    <row r="86" spans="1:52" x14ac:dyDescent="0.2">
      <c r="A86" t="s">
        <v>310</v>
      </c>
      <c r="B86" t="s">
        <v>311</v>
      </c>
      <c r="C86" t="s">
        <v>2279</v>
      </c>
      <c r="D86">
        <v>2015</v>
      </c>
      <c r="E86" t="s">
        <v>312</v>
      </c>
      <c r="F86" t="s">
        <v>313</v>
      </c>
      <c r="G86" t="s">
        <v>896</v>
      </c>
      <c r="H86" t="s">
        <v>260</v>
      </c>
      <c r="I86" t="s">
        <v>1760</v>
      </c>
      <c r="J86" t="s">
        <v>82</v>
      </c>
      <c r="K86" t="s">
        <v>34</v>
      </c>
      <c r="O86" s="18" t="s">
        <v>20</v>
      </c>
      <c r="P86" s="18" t="s">
        <v>26</v>
      </c>
      <c r="Q86" t="s">
        <v>38</v>
      </c>
      <c r="R86" t="s">
        <v>45</v>
      </c>
      <c r="S86" t="s">
        <v>47</v>
      </c>
      <c r="T86" t="s">
        <v>52</v>
      </c>
      <c r="AG86" t="s">
        <v>4</v>
      </c>
      <c r="AH86" t="s">
        <v>213</v>
      </c>
      <c r="AN86">
        <v>34</v>
      </c>
      <c r="AO86">
        <v>0.18</v>
      </c>
      <c r="AS86" t="s">
        <v>222</v>
      </c>
      <c r="AT86" t="s">
        <v>849</v>
      </c>
      <c r="AV86" t="s">
        <v>1803</v>
      </c>
      <c r="AW86" t="s">
        <v>1815</v>
      </c>
      <c r="AX86" t="s">
        <v>1808</v>
      </c>
      <c r="AY86" t="s">
        <v>1806</v>
      </c>
      <c r="AZ86" t="s">
        <v>76</v>
      </c>
    </row>
    <row r="87" spans="1:52" x14ac:dyDescent="0.2">
      <c r="A87" t="s">
        <v>314</v>
      </c>
      <c r="B87" t="s">
        <v>315</v>
      </c>
      <c r="C87" t="s">
        <v>2281</v>
      </c>
      <c r="D87">
        <v>2015</v>
      </c>
      <c r="E87" t="s">
        <v>316</v>
      </c>
      <c r="F87" t="s">
        <v>317</v>
      </c>
      <c r="G87" t="s">
        <v>897</v>
      </c>
      <c r="H87" t="s">
        <v>261</v>
      </c>
      <c r="I87" t="s">
        <v>1106</v>
      </c>
      <c r="J87" t="s">
        <v>31</v>
      </c>
      <c r="K87" t="s">
        <v>35</v>
      </c>
      <c r="L87" t="s">
        <v>11</v>
      </c>
      <c r="M87" t="s">
        <v>15</v>
      </c>
      <c r="N87">
        <v>1</v>
      </c>
      <c r="O87" s="18" t="s">
        <v>20</v>
      </c>
      <c r="P87" s="18" t="s">
        <v>26</v>
      </c>
      <c r="S87" t="s">
        <v>47</v>
      </c>
      <c r="T87" t="s">
        <v>49</v>
      </c>
      <c r="U87">
        <v>156</v>
      </c>
      <c r="V87" t="s">
        <v>318</v>
      </c>
      <c r="W87">
        <v>28</v>
      </c>
      <c r="X87">
        <v>28</v>
      </c>
      <c r="AA87">
        <v>2.87</v>
      </c>
      <c r="AB87">
        <v>1.1499999999999999</v>
      </c>
      <c r="AC87">
        <v>1.1000000000000001</v>
      </c>
      <c r="AD87">
        <v>1.28</v>
      </c>
      <c r="AE87" t="s">
        <v>71</v>
      </c>
      <c r="AF87" t="s">
        <v>61</v>
      </c>
      <c r="AG87" t="str">
        <f>IF(AE87="mean", "mean", "")</f>
        <v>mean</v>
      </c>
      <c r="AH87" t="s">
        <v>213</v>
      </c>
      <c r="AS87" t="s">
        <v>849</v>
      </c>
      <c r="AT87" t="s">
        <v>849</v>
      </c>
      <c r="AV87" t="s">
        <v>1803</v>
      </c>
      <c r="AW87" t="s">
        <v>1815</v>
      </c>
      <c r="AX87" t="s">
        <v>1805</v>
      </c>
      <c r="AY87" t="s">
        <v>1806</v>
      </c>
      <c r="AZ87" t="s">
        <v>76</v>
      </c>
    </row>
    <row r="88" spans="1:52" x14ac:dyDescent="0.2">
      <c r="A88" t="s">
        <v>314</v>
      </c>
      <c r="B88" t="s">
        <v>315</v>
      </c>
      <c r="C88" t="s">
        <v>2281</v>
      </c>
      <c r="D88">
        <v>2015</v>
      </c>
      <c r="E88" t="s">
        <v>316</v>
      </c>
      <c r="F88" t="s">
        <v>317</v>
      </c>
      <c r="G88" t="s">
        <v>898</v>
      </c>
      <c r="H88" t="s">
        <v>262</v>
      </c>
      <c r="I88" t="s">
        <v>1106</v>
      </c>
      <c r="J88" t="s">
        <v>31</v>
      </c>
      <c r="K88" t="s">
        <v>35</v>
      </c>
      <c r="L88" t="s">
        <v>11</v>
      </c>
      <c r="M88" t="s">
        <v>15</v>
      </c>
      <c r="N88">
        <v>1</v>
      </c>
      <c r="O88" s="18" t="s">
        <v>20</v>
      </c>
      <c r="P88" s="18" t="s">
        <v>26</v>
      </c>
      <c r="S88" t="s">
        <v>47</v>
      </c>
      <c r="T88" t="s">
        <v>51</v>
      </c>
      <c r="U88">
        <v>156</v>
      </c>
      <c r="W88">
        <v>20</v>
      </c>
      <c r="X88">
        <v>20</v>
      </c>
      <c r="Y88">
        <v>12</v>
      </c>
      <c r="Z88">
        <v>8</v>
      </c>
      <c r="AG88" t="s">
        <v>1790</v>
      </c>
      <c r="AH88" t="s">
        <v>213</v>
      </c>
      <c r="AS88" t="s">
        <v>849</v>
      </c>
      <c r="AT88" t="s">
        <v>849</v>
      </c>
      <c r="AV88" t="s">
        <v>1803</v>
      </c>
      <c r="AW88" t="s">
        <v>1815</v>
      </c>
      <c r="AX88" t="s">
        <v>1805</v>
      </c>
      <c r="AY88" t="s">
        <v>1806</v>
      </c>
      <c r="AZ88" t="s">
        <v>76</v>
      </c>
    </row>
    <row r="89" spans="1:52" x14ac:dyDescent="0.2">
      <c r="A89" t="s">
        <v>314</v>
      </c>
      <c r="B89" t="s">
        <v>315</v>
      </c>
      <c r="C89" t="s">
        <v>2281</v>
      </c>
      <c r="D89">
        <v>2015</v>
      </c>
      <c r="E89" t="s">
        <v>316</v>
      </c>
      <c r="F89" t="s">
        <v>317</v>
      </c>
      <c r="G89" t="s">
        <v>899</v>
      </c>
      <c r="H89" t="s">
        <v>263</v>
      </c>
      <c r="I89" t="s">
        <v>1106</v>
      </c>
      <c r="J89" t="s">
        <v>31</v>
      </c>
      <c r="K89" t="s">
        <v>35</v>
      </c>
      <c r="L89" t="s">
        <v>11</v>
      </c>
      <c r="M89" t="s">
        <v>15</v>
      </c>
      <c r="N89">
        <v>1</v>
      </c>
      <c r="O89" s="18" t="s">
        <v>20</v>
      </c>
      <c r="P89" s="18" t="s">
        <v>26</v>
      </c>
      <c r="S89" t="s">
        <v>47</v>
      </c>
      <c r="T89" t="s">
        <v>51</v>
      </c>
      <c r="U89">
        <v>156</v>
      </c>
      <c r="W89">
        <v>42</v>
      </c>
      <c r="X89">
        <v>42</v>
      </c>
      <c r="Y89">
        <v>28</v>
      </c>
      <c r="Z89">
        <v>14</v>
      </c>
      <c r="AG89" t="s">
        <v>1790</v>
      </c>
      <c r="AH89" t="s">
        <v>213</v>
      </c>
      <c r="AS89" t="s">
        <v>849</v>
      </c>
      <c r="AT89" t="s">
        <v>849</v>
      </c>
      <c r="AV89" t="s">
        <v>1803</v>
      </c>
      <c r="AW89" t="s">
        <v>1815</v>
      </c>
      <c r="AX89" t="s">
        <v>1805</v>
      </c>
      <c r="AY89" t="s">
        <v>1806</v>
      </c>
      <c r="AZ89" t="s">
        <v>76</v>
      </c>
    </row>
    <row r="90" spans="1:52" x14ac:dyDescent="0.2">
      <c r="A90" t="s">
        <v>314</v>
      </c>
      <c r="B90" t="s">
        <v>315</v>
      </c>
      <c r="C90" t="s">
        <v>2281</v>
      </c>
      <c r="D90">
        <v>2015</v>
      </c>
      <c r="E90" t="s">
        <v>316</v>
      </c>
      <c r="F90" t="s">
        <v>317</v>
      </c>
      <c r="G90" t="s">
        <v>900</v>
      </c>
      <c r="H90" t="s">
        <v>264</v>
      </c>
      <c r="I90" t="s">
        <v>1106</v>
      </c>
      <c r="J90" t="s">
        <v>31</v>
      </c>
      <c r="K90" t="s">
        <v>35</v>
      </c>
      <c r="L90" t="s">
        <v>11</v>
      </c>
      <c r="M90" t="s">
        <v>15</v>
      </c>
      <c r="N90">
        <v>1</v>
      </c>
      <c r="O90" s="18" t="s">
        <v>20</v>
      </c>
      <c r="P90" s="18" t="s">
        <v>26</v>
      </c>
      <c r="S90" t="s">
        <v>47</v>
      </c>
      <c r="T90" t="s">
        <v>51</v>
      </c>
      <c r="U90">
        <v>156</v>
      </c>
      <c r="W90">
        <v>32</v>
      </c>
      <c r="X90">
        <v>32</v>
      </c>
      <c r="Y90">
        <v>19</v>
      </c>
      <c r="Z90">
        <v>13</v>
      </c>
      <c r="AG90" t="s">
        <v>1790</v>
      </c>
      <c r="AH90" t="s">
        <v>213</v>
      </c>
      <c r="AS90" t="s">
        <v>849</v>
      </c>
      <c r="AT90" t="s">
        <v>849</v>
      </c>
      <c r="AV90" t="s">
        <v>1803</v>
      </c>
      <c r="AW90" t="s">
        <v>1815</v>
      </c>
      <c r="AX90" t="s">
        <v>1805</v>
      </c>
      <c r="AY90" t="s">
        <v>1806</v>
      </c>
      <c r="AZ90" t="s">
        <v>76</v>
      </c>
    </row>
    <row r="91" spans="1:52" x14ac:dyDescent="0.2">
      <c r="A91" t="s">
        <v>314</v>
      </c>
      <c r="B91" t="s">
        <v>315</v>
      </c>
      <c r="C91" t="s">
        <v>2281</v>
      </c>
      <c r="D91">
        <v>2015</v>
      </c>
      <c r="E91" t="s">
        <v>316</v>
      </c>
      <c r="F91" t="s">
        <v>317</v>
      </c>
      <c r="G91" t="s">
        <v>901</v>
      </c>
      <c r="H91" t="s">
        <v>265</v>
      </c>
      <c r="I91" t="s">
        <v>1106</v>
      </c>
      <c r="J91" t="s">
        <v>31</v>
      </c>
      <c r="K91" t="s">
        <v>35</v>
      </c>
      <c r="L91" t="s">
        <v>11</v>
      </c>
      <c r="M91" t="s">
        <v>15</v>
      </c>
      <c r="N91">
        <v>1</v>
      </c>
      <c r="O91" s="18" t="s">
        <v>20</v>
      </c>
      <c r="P91" s="18" t="s">
        <v>26</v>
      </c>
      <c r="S91" t="s">
        <v>47</v>
      </c>
      <c r="T91" t="s">
        <v>49</v>
      </c>
      <c r="U91">
        <v>157</v>
      </c>
      <c r="W91">
        <v>25</v>
      </c>
      <c r="X91">
        <v>25</v>
      </c>
      <c r="Y91">
        <v>14</v>
      </c>
      <c r="Z91">
        <v>9</v>
      </c>
      <c r="AG91" t="s">
        <v>1790</v>
      </c>
      <c r="AH91" t="s">
        <v>213</v>
      </c>
      <c r="AS91" t="s">
        <v>849</v>
      </c>
      <c r="AT91" t="s">
        <v>849</v>
      </c>
      <c r="AV91" t="s">
        <v>1803</v>
      </c>
      <c r="AW91" t="s">
        <v>1815</v>
      </c>
      <c r="AX91" t="s">
        <v>1805</v>
      </c>
      <c r="AY91" t="s">
        <v>1806</v>
      </c>
      <c r="AZ91" t="s">
        <v>76</v>
      </c>
    </row>
    <row r="92" spans="1:52" x14ac:dyDescent="0.2">
      <c r="A92" t="s">
        <v>314</v>
      </c>
      <c r="B92" t="s">
        <v>315</v>
      </c>
      <c r="C92" t="s">
        <v>2281</v>
      </c>
      <c r="D92">
        <v>2015</v>
      </c>
      <c r="E92" t="s">
        <v>316</v>
      </c>
      <c r="F92" t="s">
        <v>317</v>
      </c>
      <c r="G92" t="s">
        <v>902</v>
      </c>
      <c r="H92" t="s">
        <v>266</v>
      </c>
      <c r="I92" t="s">
        <v>1106</v>
      </c>
      <c r="J92" t="s">
        <v>31</v>
      </c>
      <c r="K92" t="s">
        <v>35</v>
      </c>
      <c r="L92" t="s">
        <v>11</v>
      </c>
      <c r="M92" t="s">
        <v>15</v>
      </c>
      <c r="N92">
        <v>1</v>
      </c>
      <c r="O92" s="18" t="s">
        <v>20</v>
      </c>
      <c r="P92" s="18" t="s">
        <v>26</v>
      </c>
      <c r="S92" t="s">
        <v>47</v>
      </c>
      <c r="T92" t="s">
        <v>51</v>
      </c>
      <c r="U92">
        <v>157</v>
      </c>
      <c r="W92">
        <v>28</v>
      </c>
      <c r="X92">
        <v>28</v>
      </c>
      <c r="Y92">
        <v>20</v>
      </c>
      <c r="Z92">
        <v>8</v>
      </c>
      <c r="AG92" t="s">
        <v>1790</v>
      </c>
      <c r="AH92" t="s">
        <v>213</v>
      </c>
      <c r="AS92" t="s">
        <v>849</v>
      </c>
      <c r="AT92" t="s">
        <v>849</v>
      </c>
      <c r="AV92" t="s">
        <v>1803</v>
      </c>
      <c r="AW92" t="s">
        <v>1815</v>
      </c>
      <c r="AX92" t="s">
        <v>1805</v>
      </c>
      <c r="AY92" t="s">
        <v>1806</v>
      </c>
      <c r="AZ92" t="s">
        <v>76</v>
      </c>
    </row>
    <row r="93" spans="1:52" x14ac:dyDescent="0.2">
      <c r="A93" t="s">
        <v>314</v>
      </c>
      <c r="B93" t="s">
        <v>315</v>
      </c>
      <c r="C93" t="s">
        <v>2281</v>
      </c>
      <c r="D93">
        <v>2015</v>
      </c>
      <c r="E93" t="s">
        <v>316</v>
      </c>
      <c r="F93" t="s">
        <v>319</v>
      </c>
      <c r="G93" t="s">
        <v>903</v>
      </c>
      <c r="H93" t="s">
        <v>267</v>
      </c>
      <c r="I93" t="s">
        <v>1106</v>
      </c>
      <c r="J93" t="s">
        <v>31</v>
      </c>
      <c r="K93" t="s">
        <v>35</v>
      </c>
      <c r="L93" t="s">
        <v>11</v>
      </c>
      <c r="M93" t="s">
        <v>15</v>
      </c>
      <c r="N93">
        <v>1</v>
      </c>
      <c r="O93" s="18" t="s">
        <v>20</v>
      </c>
      <c r="P93" s="18" t="s">
        <v>1042</v>
      </c>
      <c r="S93" t="s">
        <v>47</v>
      </c>
      <c r="T93" t="s">
        <v>49</v>
      </c>
      <c r="U93">
        <v>157</v>
      </c>
      <c r="W93">
        <v>51</v>
      </c>
      <c r="X93">
        <v>51</v>
      </c>
      <c r="Y93">
        <v>45</v>
      </c>
      <c r="Z93">
        <v>36</v>
      </c>
      <c r="AG93" t="s">
        <v>1790</v>
      </c>
      <c r="AH93" t="s">
        <v>213</v>
      </c>
      <c r="AS93" t="s">
        <v>849</v>
      </c>
      <c r="AT93" t="s">
        <v>849</v>
      </c>
      <c r="AV93" t="s">
        <v>1803</v>
      </c>
      <c r="AW93" t="s">
        <v>1815</v>
      </c>
      <c r="AX93" t="s">
        <v>1805</v>
      </c>
      <c r="AY93" t="s">
        <v>1806</v>
      </c>
      <c r="AZ93" t="s">
        <v>76</v>
      </c>
    </row>
    <row r="94" spans="1:52" x14ac:dyDescent="0.2">
      <c r="A94" t="s">
        <v>320</v>
      </c>
      <c r="B94" t="s">
        <v>2275</v>
      </c>
      <c r="D94">
        <v>2005</v>
      </c>
      <c r="E94" t="s">
        <v>321</v>
      </c>
      <c r="F94" t="s">
        <v>322</v>
      </c>
      <c r="G94" t="s">
        <v>904</v>
      </c>
      <c r="H94" t="s">
        <v>268</v>
      </c>
      <c r="I94" t="s">
        <v>1761</v>
      </c>
      <c r="J94" t="s">
        <v>33</v>
      </c>
      <c r="K94" t="s">
        <v>34</v>
      </c>
      <c r="O94" s="18" t="s">
        <v>20</v>
      </c>
      <c r="P94" s="18" t="s">
        <v>24</v>
      </c>
      <c r="Q94" t="s">
        <v>37</v>
      </c>
      <c r="R94" t="s">
        <v>40</v>
      </c>
      <c r="S94" t="s">
        <v>47</v>
      </c>
      <c r="T94" t="s">
        <v>49</v>
      </c>
      <c r="U94">
        <v>988</v>
      </c>
      <c r="V94" t="s">
        <v>318</v>
      </c>
      <c r="W94">
        <v>37</v>
      </c>
      <c r="X94">
        <v>35</v>
      </c>
      <c r="AA94">
        <v>0.16774193548387101</v>
      </c>
      <c r="AB94">
        <v>7.4126855207935202E-2</v>
      </c>
      <c r="AC94">
        <v>9.3189964157706098E-2</v>
      </c>
      <c r="AD94">
        <v>6.3613761108597802E-2</v>
      </c>
      <c r="AE94" t="s">
        <v>71</v>
      </c>
      <c r="AF94" t="s">
        <v>61</v>
      </c>
      <c r="AG94" t="s">
        <v>71</v>
      </c>
      <c r="AH94" t="s">
        <v>213</v>
      </c>
      <c r="AS94" t="s">
        <v>849</v>
      </c>
      <c r="AT94" t="s">
        <v>849</v>
      </c>
      <c r="AV94" t="s">
        <v>1812</v>
      </c>
      <c r="AW94" t="s">
        <v>1815</v>
      </c>
      <c r="AX94" t="s">
        <v>1805</v>
      </c>
      <c r="AZ94" t="s">
        <v>1820</v>
      </c>
    </row>
    <row r="95" spans="1:52" x14ac:dyDescent="0.2">
      <c r="A95" t="s">
        <v>320</v>
      </c>
      <c r="B95" t="s">
        <v>2275</v>
      </c>
      <c r="D95">
        <v>2005</v>
      </c>
      <c r="E95" t="s">
        <v>321</v>
      </c>
      <c r="F95" t="s">
        <v>322</v>
      </c>
      <c r="G95" t="s">
        <v>905</v>
      </c>
      <c r="H95" t="s">
        <v>269</v>
      </c>
      <c r="I95" t="s">
        <v>1761</v>
      </c>
      <c r="J95" t="s">
        <v>33</v>
      </c>
      <c r="K95" t="s">
        <v>34</v>
      </c>
      <c r="O95" s="18" t="s">
        <v>20</v>
      </c>
      <c r="P95" s="18" t="s">
        <v>24</v>
      </c>
      <c r="Q95" t="s">
        <v>38</v>
      </c>
      <c r="R95" t="s">
        <v>43</v>
      </c>
      <c r="S95" t="s">
        <v>47</v>
      </c>
      <c r="T95" t="s">
        <v>49</v>
      </c>
      <c r="U95">
        <v>989</v>
      </c>
      <c r="V95" t="s">
        <v>323</v>
      </c>
      <c r="W95">
        <v>37</v>
      </c>
      <c r="X95">
        <v>39</v>
      </c>
      <c r="AA95">
        <v>114.366197183099</v>
      </c>
      <c r="AB95">
        <v>140.50324717871899</v>
      </c>
      <c r="AC95">
        <v>45.633802816901401</v>
      </c>
      <c r="AD95">
        <v>179.43374530609501</v>
      </c>
      <c r="AE95" t="s">
        <v>71</v>
      </c>
      <c r="AF95" t="s">
        <v>61</v>
      </c>
      <c r="AG95" t="s">
        <v>71</v>
      </c>
      <c r="AH95" t="s">
        <v>213</v>
      </c>
      <c r="AS95" t="s">
        <v>849</v>
      </c>
      <c r="AT95" t="s">
        <v>849</v>
      </c>
      <c r="AV95" t="s">
        <v>1812</v>
      </c>
      <c r="AW95" t="s">
        <v>1815</v>
      </c>
      <c r="AX95" t="s">
        <v>1805</v>
      </c>
      <c r="AZ95" t="s">
        <v>1820</v>
      </c>
    </row>
    <row r="96" spans="1:52" x14ac:dyDescent="0.2">
      <c r="A96" t="s">
        <v>324</v>
      </c>
      <c r="B96" t="s">
        <v>327</v>
      </c>
      <c r="D96">
        <v>2010</v>
      </c>
      <c r="E96" t="s">
        <v>325</v>
      </c>
      <c r="F96" t="s">
        <v>326</v>
      </c>
      <c r="G96" t="s">
        <v>906</v>
      </c>
      <c r="H96" t="s">
        <v>270</v>
      </c>
      <c r="I96" t="s">
        <v>1762</v>
      </c>
      <c r="J96" t="s">
        <v>82</v>
      </c>
      <c r="K96" t="s">
        <v>34</v>
      </c>
      <c r="O96" s="18" t="s">
        <v>20</v>
      </c>
      <c r="P96" s="18" t="s">
        <v>27</v>
      </c>
      <c r="Q96" t="s">
        <v>38</v>
      </c>
      <c r="R96" t="s">
        <v>43</v>
      </c>
      <c r="S96" t="s">
        <v>47</v>
      </c>
      <c r="T96" t="s">
        <v>51</v>
      </c>
      <c r="U96">
        <v>11</v>
      </c>
      <c r="W96">
        <v>20</v>
      </c>
      <c r="X96">
        <v>20</v>
      </c>
      <c r="AA96">
        <v>92.2</v>
      </c>
      <c r="AB96">
        <v>14.1</v>
      </c>
      <c r="AC96">
        <v>115.8</v>
      </c>
      <c r="AD96">
        <v>13.8</v>
      </c>
      <c r="AE96" t="s">
        <v>71</v>
      </c>
      <c r="AF96" t="s">
        <v>62</v>
      </c>
      <c r="AG96" t="s">
        <v>71</v>
      </c>
      <c r="AH96" t="s">
        <v>213</v>
      </c>
      <c r="AS96" t="s">
        <v>849</v>
      </c>
      <c r="AT96" t="s">
        <v>849</v>
      </c>
      <c r="AV96" t="s">
        <v>1803</v>
      </c>
      <c r="AW96" t="s">
        <v>1807</v>
      </c>
      <c r="AX96" t="s">
        <v>1808</v>
      </c>
      <c r="AY96" t="s">
        <v>1811</v>
      </c>
      <c r="AZ96" t="s">
        <v>76</v>
      </c>
    </row>
    <row r="97" spans="1:52" x14ac:dyDescent="0.2">
      <c r="A97" t="s">
        <v>328</v>
      </c>
      <c r="B97" t="s">
        <v>329</v>
      </c>
      <c r="C97" t="s">
        <v>330</v>
      </c>
      <c r="D97">
        <v>2018</v>
      </c>
      <c r="E97" t="s">
        <v>331</v>
      </c>
      <c r="F97" t="s">
        <v>332</v>
      </c>
      <c r="G97" t="s">
        <v>907</v>
      </c>
      <c r="H97" t="s">
        <v>271</v>
      </c>
      <c r="I97" t="s">
        <v>1114</v>
      </c>
      <c r="J97" t="s">
        <v>31</v>
      </c>
      <c r="K97" t="s">
        <v>34</v>
      </c>
      <c r="O97" s="18" t="s">
        <v>21</v>
      </c>
      <c r="P97" s="18" t="s">
        <v>78</v>
      </c>
      <c r="Q97" t="s">
        <v>38</v>
      </c>
      <c r="R97" t="s">
        <v>43</v>
      </c>
      <c r="S97" t="s">
        <v>47</v>
      </c>
      <c r="T97" t="s">
        <v>51</v>
      </c>
      <c r="U97">
        <v>295</v>
      </c>
      <c r="AG97" t="s">
        <v>4</v>
      </c>
      <c r="AH97" t="s">
        <v>214</v>
      </c>
      <c r="AN97">
        <v>15</v>
      </c>
      <c r="AO97">
        <v>-0.51</v>
      </c>
      <c r="AS97" t="s">
        <v>849</v>
      </c>
      <c r="AT97" t="s">
        <v>849</v>
      </c>
      <c r="AV97" t="s">
        <v>1810</v>
      </c>
      <c r="AW97" t="s">
        <v>1815</v>
      </c>
      <c r="AX97" t="s">
        <v>1805</v>
      </c>
      <c r="AY97" t="s">
        <v>1811</v>
      </c>
      <c r="AZ97" t="s">
        <v>76</v>
      </c>
    </row>
    <row r="98" spans="1:52" x14ac:dyDescent="0.2">
      <c r="A98" t="s">
        <v>328</v>
      </c>
      <c r="B98" t="s">
        <v>329</v>
      </c>
      <c r="C98" t="s">
        <v>330</v>
      </c>
      <c r="D98">
        <v>2018</v>
      </c>
      <c r="E98" t="s">
        <v>331</v>
      </c>
      <c r="F98" t="s">
        <v>333</v>
      </c>
      <c r="G98" t="s">
        <v>908</v>
      </c>
      <c r="H98" t="s">
        <v>272</v>
      </c>
      <c r="I98" t="s">
        <v>1114</v>
      </c>
      <c r="J98" t="s">
        <v>31</v>
      </c>
      <c r="K98" t="s">
        <v>34</v>
      </c>
      <c r="O98" s="18" t="s">
        <v>21</v>
      </c>
      <c r="P98" s="18" t="s">
        <v>78</v>
      </c>
      <c r="Q98" t="s">
        <v>38</v>
      </c>
      <c r="R98" t="s">
        <v>43</v>
      </c>
      <c r="S98" t="s">
        <v>47</v>
      </c>
      <c r="T98" t="s">
        <v>51</v>
      </c>
      <c r="U98">
        <v>295</v>
      </c>
      <c r="AG98" t="s">
        <v>4</v>
      </c>
      <c r="AH98" t="s">
        <v>214</v>
      </c>
      <c r="AN98">
        <v>23</v>
      </c>
      <c r="AO98">
        <v>-0.18</v>
      </c>
      <c r="AS98" t="s">
        <v>849</v>
      </c>
      <c r="AT98" t="s">
        <v>849</v>
      </c>
      <c r="AV98" t="s">
        <v>1810</v>
      </c>
      <c r="AW98" t="s">
        <v>1815</v>
      </c>
      <c r="AX98" t="s">
        <v>1805</v>
      </c>
      <c r="AY98" t="s">
        <v>1811</v>
      </c>
      <c r="AZ98" t="s">
        <v>76</v>
      </c>
    </row>
    <row r="99" spans="1:52" x14ac:dyDescent="0.2">
      <c r="A99" t="s">
        <v>328</v>
      </c>
      <c r="B99" t="s">
        <v>329</v>
      </c>
      <c r="C99" t="s">
        <v>330</v>
      </c>
      <c r="D99">
        <v>2018</v>
      </c>
      <c r="E99" t="s">
        <v>331</v>
      </c>
      <c r="F99" t="s">
        <v>334</v>
      </c>
      <c r="G99" t="s">
        <v>909</v>
      </c>
      <c r="H99" t="s">
        <v>273</v>
      </c>
      <c r="I99" t="s">
        <v>1114</v>
      </c>
      <c r="J99" t="s">
        <v>31</v>
      </c>
      <c r="K99" t="s">
        <v>34</v>
      </c>
      <c r="O99" s="18" t="s">
        <v>21</v>
      </c>
      <c r="P99" s="18" t="s">
        <v>78</v>
      </c>
      <c r="Q99" t="s">
        <v>38</v>
      </c>
      <c r="R99" t="s">
        <v>43</v>
      </c>
      <c r="S99" t="s">
        <v>47</v>
      </c>
      <c r="T99" t="s">
        <v>51</v>
      </c>
      <c r="U99">
        <v>295</v>
      </c>
      <c r="AG99" t="s">
        <v>4</v>
      </c>
      <c r="AH99" t="s">
        <v>214</v>
      </c>
      <c r="AN99">
        <v>15</v>
      </c>
      <c r="AO99">
        <v>0.02</v>
      </c>
      <c r="AS99" t="s">
        <v>849</v>
      </c>
      <c r="AT99" t="s">
        <v>849</v>
      </c>
      <c r="AV99" t="s">
        <v>1810</v>
      </c>
      <c r="AW99" t="s">
        <v>1815</v>
      </c>
      <c r="AX99" t="s">
        <v>1805</v>
      </c>
      <c r="AY99" t="s">
        <v>1811</v>
      </c>
      <c r="AZ99" t="s">
        <v>76</v>
      </c>
    </row>
    <row r="100" spans="1:52" x14ac:dyDescent="0.2">
      <c r="A100" t="s">
        <v>328</v>
      </c>
      <c r="B100" t="s">
        <v>329</v>
      </c>
      <c r="C100" t="s">
        <v>330</v>
      </c>
      <c r="D100">
        <v>2018</v>
      </c>
      <c r="E100" t="s">
        <v>331</v>
      </c>
      <c r="F100" t="s">
        <v>335</v>
      </c>
      <c r="G100" t="s">
        <v>910</v>
      </c>
      <c r="H100" t="s">
        <v>340</v>
      </c>
      <c r="I100" t="s">
        <v>1114</v>
      </c>
      <c r="J100" t="s">
        <v>31</v>
      </c>
      <c r="K100" t="s">
        <v>34</v>
      </c>
      <c r="O100" s="18" t="s">
        <v>21</v>
      </c>
      <c r="P100" s="18" t="s">
        <v>78</v>
      </c>
      <c r="Q100" t="s">
        <v>38</v>
      </c>
      <c r="R100" t="s">
        <v>43</v>
      </c>
      <c r="S100" t="s">
        <v>47</v>
      </c>
      <c r="T100" t="s">
        <v>51</v>
      </c>
      <c r="U100">
        <v>295</v>
      </c>
      <c r="AG100" t="s">
        <v>4</v>
      </c>
      <c r="AH100" t="s">
        <v>214</v>
      </c>
      <c r="AN100">
        <v>15</v>
      </c>
      <c r="AO100">
        <v>-0.44</v>
      </c>
      <c r="AS100" t="s">
        <v>849</v>
      </c>
      <c r="AT100" t="s">
        <v>849</v>
      </c>
      <c r="AV100" t="s">
        <v>1810</v>
      </c>
      <c r="AW100" t="s">
        <v>1815</v>
      </c>
      <c r="AX100" t="s">
        <v>1805</v>
      </c>
      <c r="AY100" t="s">
        <v>1811</v>
      </c>
      <c r="AZ100" t="s">
        <v>76</v>
      </c>
    </row>
    <row r="101" spans="1:52" x14ac:dyDescent="0.2">
      <c r="A101" t="s">
        <v>328</v>
      </c>
      <c r="B101" t="s">
        <v>329</v>
      </c>
      <c r="C101" t="s">
        <v>330</v>
      </c>
      <c r="D101">
        <v>2018</v>
      </c>
      <c r="E101" t="s">
        <v>331</v>
      </c>
      <c r="F101" t="s">
        <v>336</v>
      </c>
      <c r="G101" t="s">
        <v>911</v>
      </c>
      <c r="H101" t="s">
        <v>341</v>
      </c>
      <c r="I101" t="s">
        <v>1114</v>
      </c>
      <c r="J101" t="s">
        <v>31</v>
      </c>
      <c r="K101" t="s">
        <v>34</v>
      </c>
      <c r="O101" s="18" t="s">
        <v>21</v>
      </c>
      <c r="P101" s="18" t="s">
        <v>78</v>
      </c>
      <c r="Q101" t="s">
        <v>38</v>
      </c>
      <c r="R101" t="s">
        <v>43</v>
      </c>
      <c r="S101" t="s">
        <v>47</v>
      </c>
      <c r="T101" t="s">
        <v>51</v>
      </c>
      <c r="U101">
        <v>295</v>
      </c>
      <c r="AG101" t="s">
        <v>4</v>
      </c>
      <c r="AH101" t="s">
        <v>214</v>
      </c>
      <c r="AN101">
        <v>18</v>
      </c>
      <c r="AO101">
        <v>0.04</v>
      </c>
      <c r="AS101" t="s">
        <v>849</v>
      </c>
      <c r="AT101" t="s">
        <v>849</v>
      </c>
      <c r="AV101" t="s">
        <v>1810</v>
      </c>
      <c r="AW101" t="s">
        <v>1815</v>
      </c>
      <c r="AX101" t="s">
        <v>1805</v>
      </c>
      <c r="AY101" t="s">
        <v>1811</v>
      </c>
      <c r="AZ101" t="s">
        <v>76</v>
      </c>
    </row>
    <row r="102" spans="1:52" x14ac:dyDescent="0.2">
      <c r="A102" t="s">
        <v>328</v>
      </c>
      <c r="B102" t="s">
        <v>329</v>
      </c>
      <c r="C102" t="s">
        <v>330</v>
      </c>
      <c r="D102">
        <v>2018</v>
      </c>
      <c r="E102" t="s">
        <v>331</v>
      </c>
      <c r="F102" t="s">
        <v>337</v>
      </c>
      <c r="G102" t="s">
        <v>912</v>
      </c>
      <c r="H102" t="s">
        <v>342</v>
      </c>
      <c r="I102" t="s">
        <v>1114</v>
      </c>
      <c r="J102" t="s">
        <v>31</v>
      </c>
      <c r="K102" t="s">
        <v>34</v>
      </c>
      <c r="O102" s="18" t="s">
        <v>21</v>
      </c>
      <c r="P102" s="18" t="s">
        <v>78</v>
      </c>
      <c r="Q102" t="s">
        <v>38</v>
      </c>
      <c r="R102" t="s">
        <v>43</v>
      </c>
      <c r="S102" t="s">
        <v>47</v>
      </c>
      <c r="T102" t="s">
        <v>51</v>
      </c>
      <c r="U102">
        <v>295</v>
      </c>
      <c r="AG102" t="s">
        <v>4</v>
      </c>
      <c r="AH102" t="s">
        <v>214</v>
      </c>
      <c r="AN102">
        <v>14</v>
      </c>
      <c r="AO102">
        <v>0.04</v>
      </c>
      <c r="AS102" t="s">
        <v>849</v>
      </c>
      <c r="AT102" t="s">
        <v>849</v>
      </c>
      <c r="AV102" t="s">
        <v>1810</v>
      </c>
      <c r="AW102" t="s">
        <v>1815</v>
      </c>
      <c r="AX102" t="s">
        <v>1805</v>
      </c>
      <c r="AY102" t="s">
        <v>1811</v>
      </c>
      <c r="AZ102" t="s">
        <v>76</v>
      </c>
    </row>
    <row r="103" spans="1:52" x14ac:dyDescent="0.2">
      <c r="A103" t="s">
        <v>328</v>
      </c>
      <c r="B103" t="s">
        <v>329</v>
      </c>
      <c r="C103" t="s">
        <v>330</v>
      </c>
      <c r="D103">
        <v>2018</v>
      </c>
      <c r="E103" t="s">
        <v>331</v>
      </c>
      <c r="F103" t="s">
        <v>338</v>
      </c>
      <c r="G103" t="s">
        <v>913</v>
      </c>
      <c r="H103" t="s">
        <v>343</v>
      </c>
      <c r="I103" t="s">
        <v>1114</v>
      </c>
      <c r="J103" t="s">
        <v>31</v>
      </c>
      <c r="K103" t="s">
        <v>34</v>
      </c>
      <c r="O103" s="18" t="s">
        <v>21</v>
      </c>
      <c r="P103" s="18" t="s">
        <v>78</v>
      </c>
      <c r="Q103" t="s">
        <v>38</v>
      </c>
      <c r="R103" t="s">
        <v>43</v>
      </c>
      <c r="S103" t="s">
        <v>47</v>
      </c>
      <c r="T103" t="s">
        <v>51</v>
      </c>
      <c r="U103">
        <v>295</v>
      </c>
      <c r="AG103" t="s">
        <v>4</v>
      </c>
      <c r="AH103" t="s">
        <v>214</v>
      </c>
      <c r="AN103">
        <v>16</v>
      </c>
      <c r="AO103">
        <v>0.01</v>
      </c>
      <c r="AS103" t="s">
        <v>849</v>
      </c>
      <c r="AT103" t="s">
        <v>849</v>
      </c>
      <c r="AV103" t="s">
        <v>1810</v>
      </c>
      <c r="AW103" t="s">
        <v>1815</v>
      </c>
      <c r="AX103" t="s">
        <v>1805</v>
      </c>
      <c r="AY103" t="s">
        <v>1811</v>
      </c>
      <c r="AZ103" t="s">
        <v>76</v>
      </c>
    </row>
    <row r="104" spans="1:52" x14ac:dyDescent="0.2">
      <c r="A104" t="s">
        <v>328</v>
      </c>
      <c r="B104" t="s">
        <v>329</v>
      </c>
      <c r="C104" t="s">
        <v>330</v>
      </c>
      <c r="D104">
        <v>2018</v>
      </c>
      <c r="E104" t="s">
        <v>331</v>
      </c>
      <c r="F104" t="s">
        <v>339</v>
      </c>
      <c r="G104" t="s">
        <v>914</v>
      </c>
      <c r="H104" t="s">
        <v>344</v>
      </c>
      <c r="I104" t="s">
        <v>1114</v>
      </c>
      <c r="J104" t="s">
        <v>31</v>
      </c>
      <c r="K104" t="s">
        <v>34</v>
      </c>
      <c r="O104" s="18" t="s">
        <v>21</v>
      </c>
      <c r="P104" s="18" t="s">
        <v>78</v>
      </c>
      <c r="Q104" t="s">
        <v>38</v>
      </c>
      <c r="R104" t="s">
        <v>43</v>
      </c>
      <c r="S104" t="s">
        <v>47</v>
      </c>
      <c r="T104" t="s">
        <v>51</v>
      </c>
      <c r="U104">
        <v>295</v>
      </c>
      <c r="AG104" t="s">
        <v>4</v>
      </c>
      <c r="AH104" t="s">
        <v>214</v>
      </c>
      <c r="AN104">
        <v>34</v>
      </c>
      <c r="AO104">
        <v>0.01</v>
      </c>
      <c r="AS104" t="s">
        <v>849</v>
      </c>
      <c r="AT104" t="s">
        <v>849</v>
      </c>
      <c r="AV104" t="s">
        <v>1810</v>
      </c>
      <c r="AW104" t="s">
        <v>1815</v>
      </c>
      <c r="AX104" t="s">
        <v>1805</v>
      </c>
      <c r="AY104" t="s">
        <v>1811</v>
      </c>
      <c r="AZ104" t="s">
        <v>76</v>
      </c>
    </row>
    <row r="105" spans="1:52" x14ac:dyDescent="0.2">
      <c r="A105" t="s">
        <v>328</v>
      </c>
      <c r="B105" t="s">
        <v>329</v>
      </c>
      <c r="C105" t="s">
        <v>330</v>
      </c>
      <c r="D105">
        <v>2018</v>
      </c>
      <c r="E105" t="s">
        <v>331</v>
      </c>
      <c r="F105" t="s">
        <v>359</v>
      </c>
      <c r="G105" t="s">
        <v>915</v>
      </c>
      <c r="H105" t="s">
        <v>345</v>
      </c>
      <c r="I105" t="s">
        <v>1114</v>
      </c>
      <c r="J105" t="s">
        <v>31</v>
      </c>
      <c r="K105" t="s">
        <v>34</v>
      </c>
      <c r="O105" s="18" t="s">
        <v>20</v>
      </c>
      <c r="P105" s="18" t="s">
        <v>24</v>
      </c>
      <c r="Q105" t="s">
        <v>38</v>
      </c>
      <c r="R105" t="s">
        <v>43</v>
      </c>
      <c r="S105" t="s">
        <v>47</v>
      </c>
      <c r="T105" t="s">
        <v>51</v>
      </c>
      <c r="U105">
        <v>296</v>
      </c>
      <c r="AG105" t="s">
        <v>4</v>
      </c>
      <c r="AH105" t="s">
        <v>214</v>
      </c>
      <c r="AN105">
        <v>15</v>
      </c>
      <c r="AO105">
        <v>-0.21</v>
      </c>
      <c r="AS105" t="s">
        <v>849</v>
      </c>
      <c r="AT105" t="s">
        <v>849</v>
      </c>
      <c r="AV105" t="s">
        <v>1810</v>
      </c>
      <c r="AW105" t="s">
        <v>1815</v>
      </c>
      <c r="AX105" t="s">
        <v>1805</v>
      </c>
      <c r="AY105" t="s">
        <v>1811</v>
      </c>
      <c r="AZ105" t="s">
        <v>76</v>
      </c>
    </row>
    <row r="106" spans="1:52" x14ac:dyDescent="0.2">
      <c r="A106" t="s">
        <v>328</v>
      </c>
      <c r="B106" t="s">
        <v>329</v>
      </c>
      <c r="C106" t="s">
        <v>330</v>
      </c>
      <c r="D106">
        <v>2018</v>
      </c>
      <c r="E106" t="s">
        <v>331</v>
      </c>
      <c r="F106" t="s">
        <v>360</v>
      </c>
      <c r="G106" t="s">
        <v>916</v>
      </c>
      <c r="H106" t="s">
        <v>346</v>
      </c>
      <c r="I106" t="s">
        <v>1114</v>
      </c>
      <c r="J106" t="s">
        <v>31</v>
      </c>
      <c r="K106" t="s">
        <v>34</v>
      </c>
      <c r="O106" s="18" t="s">
        <v>20</v>
      </c>
      <c r="P106" s="18" t="s">
        <v>24</v>
      </c>
      <c r="Q106" t="s">
        <v>38</v>
      </c>
      <c r="R106" t="s">
        <v>43</v>
      </c>
      <c r="S106" t="s">
        <v>47</v>
      </c>
      <c r="T106" t="s">
        <v>51</v>
      </c>
      <c r="U106">
        <v>296</v>
      </c>
      <c r="AG106" t="s">
        <v>4</v>
      </c>
      <c r="AH106" t="s">
        <v>214</v>
      </c>
      <c r="AN106">
        <v>12</v>
      </c>
      <c r="AO106">
        <v>0.04</v>
      </c>
      <c r="AS106" t="s">
        <v>849</v>
      </c>
      <c r="AT106" t="s">
        <v>849</v>
      </c>
      <c r="AV106" t="s">
        <v>1810</v>
      </c>
      <c r="AW106" t="s">
        <v>1815</v>
      </c>
      <c r="AX106" t="s">
        <v>1805</v>
      </c>
      <c r="AY106" t="s">
        <v>1811</v>
      </c>
      <c r="AZ106" t="s">
        <v>76</v>
      </c>
    </row>
    <row r="107" spans="1:52" x14ac:dyDescent="0.2">
      <c r="A107" t="s">
        <v>328</v>
      </c>
      <c r="B107" t="s">
        <v>329</v>
      </c>
      <c r="C107" t="s">
        <v>330</v>
      </c>
      <c r="D107">
        <v>2018</v>
      </c>
      <c r="E107" t="s">
        <v>331</v>
      </c>
      <c r="F107" t="s">
        <v>361</v>
      </c>
      <c r="G107" t="s">
        <v>917</v>
      </c>
      <c r="H107" t="s">
        <v>347</v>
      </c>
      <c r="I107" t="s">
        <v>1114</v>
      </c>
      <c r="J107" t="s">
        <v>31</v>
      </c>
      <c r="K107" t="s">
        <v>34</v>
      </c>
      <c r="O107" s="18" t="s">
        <v>20</v>
      </c>
      <c r="P107" s="18" t="s">
        <v>24</v>
      </c>
      <c r="Q107" t="s">
        <v>38</v>
      </c>
      <c r="R107" t="s">
        <v>43</v>
      </c>
      <c r="S107" t="s">
        <v>47</v>
      </c>
      <c r="T107" t="s">
        <v>51</v>
      </c>
      <c r="U107">
        <v>296</v>
      </c>
      <c r="AG107" t="s">
        <v>4</v>
      </c>
      <c r="AH107" t="s">
        <v>214</v>
      </c>
      <c r="AN107">
        <v>10</v>
      </c>
      <c r="AO107">
        <v>-0.36</v>
      </c>
      <c r="AS107" t="s">
        <v>849</v>
      </c>
      <c r="AT107" t="s">
        <v>849</v>
      </c>
      <c r="AV107" t="s">
        <v>1810</v>
      </c>
      <c r="AW107" t="s">
        <v>1815</v>
      </c>
      <c r="AX107" t="s">
        <v>1805</v>
      </c>
      <c r="AY107" t="s">
        <v>1811</v>
      </c>
      <c r="AZ107" t="s">
        <v>76</v>
      </c>
    </row>
    <row r="108" spans="1:52" x14ac:dyDescent="0.2">
      <c r="A108" t="s">
        <v>328</v>
      </c>
      <c r="B108" t="s">
        <v>329</v>
      </c>
      <c r="C108" t="s">
        <v>330</v>
      </c>
      <c r="D108">
        <v>2018</v>
      </c>
      <c r="E108" t="s">
        <v>331</v>
      </c>
      <c r="F108" t="s">
        <v>362</v>
      </c>
      <c r="G108" t="s">
        <v>918</v>
      </c>
      <c r="H108" t="s">
        <v>348</v>
      </c>
      <c r="I108" t="s">
        <v>1114</v>
      </c>
      <c r="J108" t="s">
        <v>31</v>
      </c>
      <c r="K108" t="s">
        <v>34</v>
      </c>
      <c r="O108" s="18" t="s">
        <v>20</v>
      </c>
      <c r="P108" s="18" t="s">
        <v>24</v>
      </c>
      <c r="Q108" t="s">
        <v>38</v>
      </c>
      <c r="R108" t="s">
        <v>43</v>
      </c>
      <c r="S108" t="s">
        <v>47</v>
      </c>
      <c r="T108" t="s">
        <v>51</v>
      </c>
      <c r="U108">
        <v>296</v>
      </c>
      <c r="AG108" t="s">
        <v>4</v>
      </c>
      <c r="AH108" t="s">
        <v>214</v>
      </c>
      <c r="AN108">
        <v>12</v>
      </c>
      <c r="AO108">
        <v>0.02</v>
      </c>
      <c r="AS108" t="s">
        <v>849</v>
      </c>
      <c r="AT108" t="s">
        <v>849</v>
      </c>
      <c r="AV108" t="s">
        <v>1810</v>
      </c>
      <c r="AW108" t="s">
        <v>1815</v>
      </c>
      <c r="AX108" t="s">
        <v>1805</v>
      </c>
      <c r="AY108" t="s">
        <v>1811</v>
      </c>
      <c r="AZ108" t="s">
        <v>76</v>
      </c>
    </row>
    <row r="109" spans="1:52" x14ac:dyDescent="0.2">
      <c r="A109" t="s">
        <v>328</v>
      </c>
      <c r="B109" t="s">
        <v>329</v>
      </c>
      <c r="C109" t="s">
        <v>330</v>
      </c>
      <c r="D109">
        <v>2018</v>
      </c>
      <c r="E109" t="s">
        <v>331</v>
      </c>
      <c r="F109" t="s">
        <v>363</v>
      </c>
      <c r="G109" t="s">
        <v>919</v>
      </c>
      <c r="H109" t="s">
        <v>349</v>
      </c>
      <c r="I109" t="s">
        <v>1114</v>
      </c>
      <c r="J109" t="s">
        <v>31</v>
      </c>
      <c r="K109" t="s">
        <v>34</v>
      </c>
      <c r="O109" s="18" t="s">
        <v>20</v>
      </c>
      <c r="P109" s="18" t="s">
        <v>24</v>
      </c>
      <c r="Q109" t="s">
        <v>38</v>
      </c>
      <c r="R109" t="s">
        <v>43</v>
      </c>
      <c r="S109" t="s">
        <v>47</v>
      </c>
      <c r="T109" t="s">
        <v>51</v>
      </c>
      <c r="U109">
        <v>296</v>
      </c>
      <c r="AG109" t="s">
        <v>4</v>
      </c>
      <c r="AH109" t="s">
        <v>214</v>
      </c>
      <c r="AN109">
        <v>15</v>
      </c>
      <c r="AO109">
        <v>0.31</v>
      </c>
      <c r="AS109" t="s">
        <v>849</v>
      </c>
      <c r="AT109" t="s">
        <v>849</v>
      </c>
      <c r="AV109" t="s">
        <v>1810</v>
      </c>
      <c r="AW109" t="s">
        <v>1815</v>
      </c>
      <c r="AX109" t="s">
        <v>1805</v>
      </c>
      <c r="AY109" t="s">
        <v>1811</v>
      </c>
      <c r="AZ109" t="s">
        <v>76</v>
      </c>
    </row>
    <row r="110" spans="1:52" x14ac:dyDescent="0.2">
      <c r="A110" t="s">
        <v>328</v>
      </c>
      <c r="B110" t="s">
        <v>329</v>
      </c>
      <c r="C110" t="s">
        <v>330</v>
      </c>
      <c r="D110">
        <v>2018</v>
      </c>
      <c r="E110" t="s">
        <v>331</v>
      </c>
      <c r="F110" t="s">
        <v>364</v>
      </c>
      <c r="G110" t="s">
        <v>920</v>
      </c>
      <c r="H110" t="s">
        <v>350</v>
      </c>
      <c r="I110" t="s">
        <v>1114</v>
      </c>
      <c r="J110" t="s">
        <v>31</v>
      </c>
      <c r="K110" t="s">
        <v>34</v>
      </c>
      <c r="O110" s="18" t="s">
        <v>20</v>
      </c>
      <c r="P110" s="18" t="s">
        <v>24</v>
      </c>
      <c r="Q110" t="s">
        <v>38</v>
      </c>
      <c r="R110" t="s">
        <v>43</v>
      </c>
      <c r="S110" t="s">
        <v>47</v>
      </c>
      <c r="T110" t="s">
        <v>51</v>
      </c>
      <c r="U110">
        <v>296</v>
      </c>
      <c r="AG110" t="s">
        <v>4</v>
      </c>
      <c r="AH110" t="s">
        <v>214</v>
      </c>
      <c r="AN110">
        <v>16</v>
      </c>
      <c r="AO110">
        <v>0.49</v>
      </c>
      <c r="AS110" t="s">
        <v>849</v>
      </c>
      <c r="AT110" t="s">
        <v>849</v>
      </c>
      <c r="AV110" t="s">
        <v>1810</v>
      </c>
      <c r="AW110" t="s">
        <v>1815</v>
      </c>
      <c r="AX110" t="s">
        <v>1805</v>
      </c>
      <c r="AY110" t="s">
        <v>1811</v>
      </c>
      <c r="AZ110" t="s">
        <v>76</v>
      </c>
    </row>
    <row r="111" spans="1:52" x14ac:dyDescent="0.2">
      <c r="A111" t="s">
        <v>328</v>
      </c>
      <c r="B111" t="s">
        <v>329</v>
      </c>
      <c r="C111" t="s">
        <v>330</v>
      </c>
      <c r="D111">
        <v>2018</v>
      </c>
      <c r="E111" t="s">
        <v>331</v>
      </c>
      <c r="F111" t="s">
        <v>365</v>
      </c>
      <c r="G111" t="s">
        <v>921</v>
      </c>
      <c r="H111" t="s">
        <v>351</v>
      </c>
      <c r="I111" t="s">
        <v>1114</v>
      </c>
      <c r="J111" t="s">
        <v>31</v>
      </c>
      <c r="K111" t="s">
        <v>34</v>
      </c>
      <c r="O111" s="18" t="s">
        <v>20</v>
      </c>
      <c r="P111" s="18" t="s">
        <v>24</v>
      </c>
      <c r="Q111" t="s">
        <v>38</v>
      </c>
      <c r="R111" t="s">
        <v>43</v>
      </c>
      <c r="S111" t="s">
        <v>47</v>
      </c>
      <c r="T111" t="s">
        <v>51</v>
      </c>
      <c r="U111">
        <v>296</v>
      </c>
      <c r="AG111" t="s">
        <v>4</v>
      </c>
      <c r="AH111" t="s">
        <v>214</v>
      </c>
      <c r="AN111">
        <v>17</v>
      </c>
      <c r="AO111">
        <v>0.26</v>
      </c>
      <c r="AS111" t="s">
        <v>849</v>
      </c>
      <c r="AT111" t="s">
        <v>849</v>
      </c>
      <c r="AV111" t="s">
        <v>1810</v>
      </c>
      <c r="AW111" t="s">
        <v>1815</v>
      </c>
      <c r="AX111" t="s">
        <v>1805</v>
      </c>
      <c r="AY111" t="s">
        <v>1811</v>
      </c>
      <c r="AZ111" t="s">
        <v>76</v>
      </c>
    </row>
    <row r="112" spans="1:52" x14ac:dyDescent="0.2">
      <c r="A112" t="s">
        <v>366</v>
      </c>
      <c r="B112" t="s">
        <v>367</v>
      </c>
      <c r="C112" t="s">
        <v>368</v>
      </c>
      <c r="D112">
        <v>2019</v>
      </c>
      <c r="E112" t="s">
        <v>358</v>
      </c>
      <c r="F112" t="s">
        <v>369</v>
      </c>
      <c r="G112" t="s">
        <v>922</v>
      </c>
      <c r="H112" t="s">
        <v>352</v>
      </c>
      <c r="I112" t="s">
        <v>1763</v>
      </c>
      <c r="J112" t="s">
        <v>82</v>
      </c>
      <c r="K112" t="s">
        <v>34</v>
      </c>
      <c r="O112" s="18" t="s">
        <v>20</v>
      </c>
      <c r="P112" s="18" t="s">
        <v>27</v>
      </c>
      <c r="Q112" t="s">
        <v>38</v>
      </c>
      <c r="R112" t="s">
        <v>370</v>
      </c>
      <c r="S112" t="s">
        <v>47</v>
      </c>
      <c r="T112" t="s">
        <v>371</v>
      </c>
      <c r="W112">
        <v>47</v>
      </c>
      <c r="X112">
        <v>156</v>
      </c>
      <c r="Y112">
        <v>5</v>
      </c>
      <c r="Z112">
        <v>36</v>
      </c>
      <c r="AG112" s="7" t="s">
        <v>1790</v>
      </c>
      <c r="AH112" t="s">
        <v>213</v>
      </c>
      <c r="AS112" t="s">
        <v>222</v>
      </c>
      <c r="AT112" t="s">
        <v>849</v>
      </c>
      <c r="AV112" t="s">
        <v>1803</v>
      </c>
      <c r="AW112" t="s">
        <v>1815</v>
      </c>
      <c r="AX112" t="s">
        <v>1823</v>
      </c>
      <c r="AY112" t="s">
        <v>1806</v>
      </c>
      <c r="AZ112" t="s">
        <v>76</v>
      </c>
    </row>
    <row r="113" spans="1:52" x14ac:dyDescent="0.2">
      <c r="A113" t="s">
        <v>366</v>
      </c>
      <c r="B113" t="s">
        <v>367</v>
      </c>
      <c r="C113" t="s">
        <v>368</v>
      </c>
      <c r="D113">
        <v>2019</v>
      </c>
      <c r="E113" t="s">
        <v>358</v>
      </c>
      <c r="F113" t="s">
        <v>369</v>
      </c>
      <c r="G113" t="s">
        <v>922</v>
      </c>
      <c r="H113" t="s">
        <v>353</v>
      </c>
      <c r="I113" t="s">
        <v>1763</v>
      </c>
      <c r="J113" t="s">
        <v>82</v>
      </c>
      <c r="K113" t="s">
        <v>34</v>
      </c>
      <c r="O113" s="18" t="s">
        <v>20</v>
      </c>
      <c r="P113" s="19" t="s">
        <v>1042</v>
      </c>
      <c r="Q113" t="s">
        <v>38</v>
      </c>
      <c r="R113" t="s">
        <v>370</v>
      </c>
      <c r="S113" t="s">
        <v>47</v>
      </c>
      <c r="T113" t="s">
        <v>371</v>
      </c>
      <c r="AG113" t="s">
        <v>4</v>
      </c>
      <c r="AH113" t="s">
        <v>214</v>
      </c>
      <c r="AN113">
        <v>168</v>
      </c>
      <c r="AO113">
        <v>-0.13500000000000001</v>
      </c>
      <c r="AS113" t="s">
        <v>222</v>
      </c>
      <c r="AT113" t="s">
        <v>222</v>
      </c>
      <c r="AV113" t="s">
        <v>1803</v>
      </c>
      <c r="AW113" t="s">
        <v>1815</v>
      </c>
      <c r="AX113" t="s">
        <v>1823</v>
      </c>
      <c r="AY113" t="s">
        <v>1806</v>
      </c>
      <c r="AZ113" t="s">
        <v>76</v>
      </c>
    </row>
    <row r="114" spans="1:52" x14ac:dyDescent="0.2">
      <c r="A114" t="s">
        <v>366</v>
      </c>
      <c r="B114" t="s">
        <v>367</v>
      </c>
      <c r="C114" t="s">
        <v>368</v>
      </c>
      <c r="D114">
        <v>2019</v>
      </c>
      <c r="E114" t="s">
        <v>358</v>
      </c>
      <c r="F114" t="s">
        <v>369</v>
      </c>
      <c r="G114" t="s">
        <v>922</v>
      </c>
      <c r="H114" t="s">
        <v>354</v>
      </c>
      <c r="I114" t="s">
        <v>1763</v>
      </c>
      <c r="J114" t="s">
        <v>82</v>
      </c>
      <c r="K114" t="s">
        <v>34</v>
      </c>
      <c r="O114" s="18" t="s">
        <v>20</v>
      </c>
      <c r="P114" s="18" t="s">
        <v>27</v>
      </c>
      <c r="Q114" t="s">
        <v>38</v>
      </c>
      <c r="R114" t="s">
        <v>370</v>
      </c>
      <c r="S114" t="s">
        <v>47</v>
      </c>
      <c r="T114" t="s">
        <v>371</v>
      </c>
      <c r="AG114" t="s">
        <v>4</v>
      </c>
      <c r="AH114" t="s">
        <v>214</v>
      </c>
      <c r="AN114">
        <v>203</v>
      </c>
      <c r="AO114">
        <v>0.17879999999999999</v>
      </c>
      <c r="AS114" t="s">
        <v>222</v>
      </c>
      <c r="AT114" t="s">
        <v>849</v>
      </c>
      <c r="AV114" t="s">
        <v>1803</v>
      </c>
      <c r="AW114" t="s">
        <v>1815</v>
      </c>
      <c r="AX114" t="s">
        <v>1823</v>
      </c>
      <c r="AY114" t="s">
        <v>1806</v>
      </c>
      <c r="AZ114" t="s">
        <v>76</v>
      </c>
    </row>
    <row r="115" spans="1:52" x14ac:dyDescent="0.2">
      <c r="A115" t="s">
        <v>366</v>
      </c>
      <c r="B115" t="s">
        <v>367</v>
      </c>
      <c r="C115" t="s">
        <v>368</v>
      </c>
      <c r="D115">
        <v>2019</v>
      </c>
      <c r="E115" t="s">
        <v>358</v>
      </c>
      <c r="F115" t="s">
        <v>369</v>
      </c>
      <c r="G115" t="s">
        <v>922</v>
      </c>
      <c r="H115" t="s">
        <v>355</v>
      </c>
      <c r="I115" t="s">
        <v>1763</v>
      </c>
      <c r="J115" t="s">
        <v>82</v>
      </c>
      <c r="K115" t="s">
        <v>34</v>
      </c>
      <c r="O115" s="18" t="s">
        <v>20</v>
      </c>
      <c r="P115" s="19" t="s">
        <v>1042</v>
      </c>
      <c r="Q115" t="s">
        <v>38</v>
      </c>
      <c r="R115" t="s">
        <v>370</v>
      </c>
      <c r="S115" t="s">
        <v>47</v>
      </c>
      <c r="T115" t="s">
        <v>371</v>
      </c>
      <c r="AG115" t="s">
        <v>4</v>
      </c>
      <c r="AH115" t="s">
        <v>214</v>
      </c>
      <c r="AN115">
        <v>41</v>
      </c>
      <c r="AO115">
        <v>-3.7999999999999999E-2</v>
      </c>
      <c r="AS115" t="s">
        <v>222</v>
      </c>
      <c r="AT115" t="s">
        <v>222</v>
      </c>
      <c r="AV115" t="s">
        <v>1803</v>
      </c>
      <c r="AW115" t="s">
        <v>1815</v>
      </c>
      <c r="AX115" t="s">
        <v>1823</v>
      </c>
      <c r="AY115" t="s">
        <v>1806</v>
      </c>
      <c r="AZ115" t="s">
        <v>76</v>
      </c>
    </row>
    <row r="116" spans="1:52" x14ac:dyDescent="0.2">
      <c r="A116" t="s">
        <v>366</v>
      </c>
      <c r="B116" t="s">
        <v>367</v>
      </c>
      <c r="C116" t="s">
        <v>368</v>
      </c>
      <c r="D116">
        <v>2019</v>
      </c>
      <c r="E116" t="s">
        <v>358</v>
      </c>
      <c r="F116" t="s">
        <v>369</v>
      </c>
      <c r="G116" t="s">
        <v>922</v>
      </c>
      <c r="H116" t="s">
        <v>356</v>
      </c>
      <c r="I116" t="s">
        <v>1763</v>
      </c>
      <c r="J116" t="s">
        <v>82</v>
      </c>
      <c r="K116" t="s">
        <v>34</v>
      </c>
      <c r="O116" s="18" t="s">
        <v>20</v>
      </c>
      <c r="P116" s="19" t="s">
        <v>1042</v>
      </c>
      <c r="Q116" t="s">
        <v>38</v>
      </c>
      <c r="R116" t="s">
        <v>370</v>
      </c>
      <c r="S116" t="s">
        <v>47</v>
      </c>
      <c r="T116" t="s">
        <v>371</v>
      </c>
      <c r="AG116" t="s">
        <v>4</v>
      </c>
      <c r="AH116" t="s">
        <v>214</v>
      </c>
      <c r="AN116">
        <v>41</v>
      </c>
      <c r="AO116">
        <v>-0.19400000000000001</v>
      </c>
      <c r="AS116" t="s">
        <v>222</v>
      </c>
      <c r="AT116" t="s">
        <v>849</v>
      </c>
      <c r="AV116" t="s">
        <v>1803</v>
      </c>
      <c r="AW116" t="s">
        <v>1815</v>
      </c>
      <c r="AX116" t="s">
        <v>1823</v>
      </c>
      <c r="AY116" t="s">
        <v>1806</v>
      </c>
      <c r="AZ116" t="s">
        <v>76</v>
      </c>
    </row>
    <row r="117" spans="1:52" x14ac:dyDescent="0.2">
      <c r="A117" t="s">
        <v>372</v>
      </c>
      <c r="B117" t="s">
        <v>373</v>
      </c>
      <c r="C117" t="s">
        <v>374</v>
      </c>
      <c r="D117">
        <v>2007</v>
      </c>
      <c r="E117" t="s">
        <v>375</v>
      </c>
      <c r="F117" t="s">
        <v>2296</v>
      </c>
      <c r="G117" t="s">
        <v>923</v>
      </c>
      <c r="H117" t="s">
        <v>357</v>
      </c>
      <c r="I117" t="s">
        <v>1764</v>
      </c>
      <c r="J117" t="s">
        <v>376</v>
      </c>
      <c r="K117" t="s">
        <v>35</v>
      </c>
      <c r="L117" t="s">
        <v>12</v>
      </c>
      <c r="O117" s="18" t="s">
        <v>20</v>
      </c>
      <c r="P117" s="18" t="s">
        <v>27</v>
      </c>
      <c r="Q117" t="s">
        <v>38</v>
      </c>
      <c r="R117" t="s">
        <v>43</v>
      </c>
      <c r="S117" t="s">
        <v>47</v>
      </c>
      <c r="T117" t="s">
        <v>51</v>
      </c>
      <c r="U117">
        <v>139</v>
      </c>
      <c r="W117">
        <v>22</v>
      </c>
      <c r="X117">
        <v>20</v>
      </c>
      <c r="AA117">
        <v>10205</v>
      </c>
      <c r="AB117">
        <v>3554</v>
      </c>
      <c r="AC117">
        <v>15583</v>
      </c>
      <c r="AD117">
        <v>4185</v>
      </c>
      <c r="AE117" t="s">
        <v>71</v>
      </c>
      <c r="AF117" t="s">
        <v>61</v>
      </c>
      <c r="AG117" t="str">
        <f t="shared" ref="AG117:AG125" si="3">IF(AE117="mean", "mean", "")</f>
        <v>mean</v>
      </c>
      <c r="AH117" t="s">
        <v>213</v>
      </c>
      <c r="AS117" t="s">
        <v>849</v>
      </c>
      <c r="AT117" t="s">
        <v>849</v>
      </c>
      <c r="AV117" t="s">
        <v>1812</v>
      </c>
      <c r="AW117" t="s">
        <v>1807</v>
      </c>
      <c r="AX117" t="s">
        <v>1808</v>
      </c>
      <c r="AZ117" t="s">
        <v>1813</v>
      </c>
    </row>
    <row r="118" spans="1:52" x14ac:dyDescent="0.2">
      <c r="A118" t="s">
        <v>379</v>
      </c>
      <c r="B118" t="s">
        <v>380</v>
      </c>
      <c r="C118" t="s">
        <v>381</v>
      </c>
      <c r="D118">
        <v>2007</v>
      </c>
      <c r="E118" t="s">
        <v>377</v>
      </c>
      <c r="F118" t="s">
        <v>2297</v>
      </c>
      <c r="G118" t="s">
        <v>924</v>
      </c>
      <c r="H118" t="s">
        <v>378</v>
      </c>
      <c r="I118" t="s">
        <v>474</v>
      </c>
      <c r="J118" t="s">
        <v>82</v>
      </c>
      <c r="K118" t="s">
        <v>34</v>
      </c>
      <c r="O118" s="18" t="s">
        <v>20</v>
      </c>
      <c r="P118" s="18" t="s">
        <v>26</v>
      </c>
      <c r="Q118" t="s">
        <v>37</v>
      </c>
      <c r="R118" t="s">
        <v>39</v>
      </c>
      <c r="S118" t="s">
        <v>47</v>
      </c>
      <c r="T118" t="s">
        <v>51</v>
      </c>
      <c r="U118">
        <v>616</v>
      </c>
      <c r="W118">
        <v>10</v>
      </c>
      <c r="X118">
        <v>10</v>
      </c>
      <c r="AA118">
        <v>226.2</v>
      </c>
      <c r="AB118">
        <v>79.31</v>
      </c>
      <c r="AC118">
        <v>606.73</v>
      </c>
      <c r="AD118">
        <v>99.87</v>
      </c>
      <c r="AE118" t="s">
        <v>71</v>
      </c>
      <c r="AF118" t="s">
        <v>62</v>
      </c>
      <c r="AG118" t="str">
        <f t="shared" si="3"/>
        <v>mean</v>
      </c>
      <c r="AH118" t="s">
        <v>213</v>
      </c>
      <c r="AS118" t="s">
        <v>849</v>
      </c>
      <c r="AT118" t="s">
        <v>849</v>
      </c>
      <c r="AV118" t="s">
        <v>1803</v>
      </c>
      <c r="AW118" t="s">
        <v>1815</v>
      </c>
      <c r="AX118" t="s">
        <v>25</v>
      </c>
      <c r="AY118" t="s">
        <v>1814</v>
      </c>
      <c r="AZ118" t="s">
        <v>76</v>
      </c>
    </row>
    <row r="119" spans="1:52" x14ac:dyDescent="0.2">
      <c r="A119" t="s">
        <v>379</v>
      </c>
      <c r="B119" t="s">
        <v>380</v>
      </c>
      <c r="C119" t="s">
        <v>381</v>
      </c>
      <c r="D119">
        <v>2007</v>
      </c>
      <c r="E119" t="s">
        <v>377</v>
      </c>
      <c r="F119" t="s">
        <v>2297</v>
      </c>
      <c r="G119" t="s">
        <v>924</v>
      </c>
      <c r="H119" t="s">
        <v>382</v>
      </c>
      <c r="I119" t="s">
        <v>474</v>
      </c>
      <c r="J119" t="s">
        <v>82</v>
      </c>
      <c r="K119" t="s">
        <v>34</v>
      </c>
      <c r="O119" s="18" t="s">
        <v>20</v>
      </c>
      <c r="P119" s="18" t="s">
        <v>26</v>
      </c>
      <c r="Q119" t="s">
        <v>38</v>
      </c>
      <c r="R119" t="s">
        <v>39</v>
      </c>
      <c r="S119" t="s">
        <v>47</v>
      </c>
      <c r="T119" t="s">
        <v>51</v>
      </c>
      <c r="U119">
        <v>616</v>
      </c>
      <c r="W119">
        <v>10</v>
      </c>
      <c r="X119">
        <v>10</v>
      </c>
      <c r="AA119">
        <v>1352.33</v>
      </c>
      <c r="AB119">
        <v>271.10000000000002</v>
      </c>
      <c r="AC119">
        <v>5123</v>
      </c>
      <c r="AD119">
        <v>3041.65</v>
      </c>
      <c r="AE119" t="s">
        <v>71</v>
      </c>
      <c r="AF119" t="s">
        <v>62</v>
      </c>
      <c r="AG119" t="str">
        <f t="shared" si="3"/>
        <v>mean</v>
      </c>
      <c r="AH119" t="s">
        <v>213</v>
      </c>
      <c r="AS119" t="s">
        <v>849</v>
      </c>
      <c r="AT119" t="s">
        <v>849</v>
      </c>
      <c r="AV119" t="s">
        <v>1803</v>
      </c>
      <c r="AW119" t="s">
        <v>1815</v>
      </c>
      <c r="AX119" t="s">
        <v>25</v>
      </c>
      <c r="AY119" t="s">
        <v>1814</v>
      </c>
      <c r="AZ119" t="s">
        <v>76</v>
      </c>
    </row>
    <row r="120" spans="1:52" x14ac:dyDescent="0.2">
      <c r="A120" t="s">
        <v>379</v>
      </c>
      <c r="B120" t="s">
        <v>380</v>
      </c>
      <c r="C120" t="s">
        <v>381</v>
      </c>
      <c r="D120">
        <v>2007</v>
      </c>
      <c r="E120" t="s">
        <v>377</v>
      </c>
      <c r="F120" t="s">
        <v>2297</v>
      </c>
      <c r="G120" t="s">
        <v>925</v>
      </c>
      <c r="H120" t="s">
        <v>383</v>
      </c>
      <c r="I120" t="s">
        <v>474</v>
      </c>
      <c r="J120" t="s">
        <v>82</v>
      </c>
      <c r="K120" t="s">
        <v>34</v>
      </c>
      <c r="O120" s="18" t="s">
        <v>20</v>
      </c>
      <c r="P120" s="18" t="s">
        <v>26</v>
      </c>
      <c r="Q120" t="s">
        <v>37</v>
      </c>
      <c r="R120" t="s">
        <v>397</v>
      </c>
      <c r="S120" t="s">
        <v>47</v>
      </c>
      <c r="T120" t="s">
        <v>51</v>
      </c>
      <c r="U120">
        <v>616</v>
      </c>
      <c r="W120">
        <v>10</v>
      </c>
      <c r="X120">
        <v>10</v>
      </c>
      <c r="AA120">
        <v>3.53</v>
      </c>
      <c r="AB120">
        <v>2.15</v>
      </c>
      <c r="AC120">
        <v>34.51</v>
      </c>
      <c r="AD120">
        <v>13.91</v>
      </c>
      <c r="AE120" t="s">
        <v>71</v>
      </c>
      <c r="AF120" t="s">
        <v>62</v>
      </c>
      <c r="AG120" t="str">
        <f t="shared" si="3"/>
        <v>mean</v>
      </c>
      <c r="AH120" t="s">
        <v>213</v>
      </c>
      <c r="AS120" t="s">
        <v>849</v>
      </c>
      <c r="AT120" t="s">
        <v>849</v>
      </c>
      <c r="AV120" t="s">
        <v>1803</v>
      </c>
      <c r="AW120" t="s">
        <v>1815</v>
      </c>
      <c r="AX120" t="s">
        <v>25</v>
      </c>
      <c r="AY120" t="s">
        <v>1814</v>
      </c>
      <c r="AZ120" t="s">
        <v>76</v>
      </c>
    </row>
    <row r="121" spans="1:52" x14ac:dyDescent="0.2">
      <c r="A121" t="s">
        <v>379</v>
      </c>
      <c r="B121" t="s">
        <v>380</v>
      </c>
      <c r="C121" t="s">
        <v>381</v>
      </c>
      <c r="D121">
        <v>2007</v>
      </c>
      <c r="E121" t="s">
        <v>377</v>
      </c>
      <c r="F121" t="s">
        <v>2297</v>
      </c>
      <c r="G121" t="s">
        <v>925</v>
      </c>
      <c r="H121" t="s">
        <v>384</v>
      </c>
      <c r="I121" t="s">
        <v>474</v>
      </c>
      <c r="J121" t="s">
        <v>82</v>
      </c>
      <c r="K121" t="s">
        <v>34</v>
      </c>
      <c r="O121" s="18" t="s">
        <v>20</v>
      </c>
      <c r="P121" s="18" t="s">
        <v>26</v>
      </c>
      <c r="Q121" t="s">
        <v>38</v>
      </c>
      <c r="R121" t="s">
        <v>397</v>
      </c>
      <c r="S121" t="s">
        <v>47</v>
      </c>
      <c r="T121" t="s">
        <v>51</v>
      </c>
      <c r="U121">
        <v>616</v>
      </c>
      <c r="W121">
        <v>10</v>
      </c>
      <c r="X121">
        <v>10</v>
      </c>
      <c r="AA121">
        <v>6.94</v>
      </c>
      <c r="AB121">
        <v>1.27</v>
      </c>
      <c r="AC121">
        <v>87.23</v>
      </c>
      <c r="AD121">
        <v>33.340000000000003</v>
      </c>
      <c r="AE121" t="s">
        <v>71</v>
      </c>
      <c r="AF121" t="s">
        <v>62</v>
      </c>
      <c r="AG121" t="str">
        <f t="shared" si="3"/>
        <v>mean</v>
      </c>
      <c r="AH121" t="s">
        <v>213</v>
      </c>
      <c r="AS121" t="s">
        <v>849</v>
      </c>
      <c r="AT121" t="s">
        <v>849</v>
      </c>
      <c r="AV121" t="s">
        <v>1803</v>
      </c>
      <c r="AW121" t="s">
        <v>1815</v>
      </c>
      <c r="AX121" t="s">
        <v>25</v>
      </c>
      <c r="AY121" t="s">
        <v>1814</v>
      </c>
      <c r="AZ121" t="s">
        <v>76</v>
      </c>
    </row>
    <row r="122" spans="1:52" x14ac:dyDescent="0.2">
      <c r="A122" t="s">
        <v>379</v>
      </c>
      <c r="B122" t="s">
        <v>380</v>
      </c>
      <c r="C122" t="s">
        <v>381</v>
      </c>
      <c r="D122">
        <v>2007</v>
      </c>
      <c r="E122" t="s">
        <v>377</v>
      </c>
      <c r="F122" t="s">
        <v>2297</v>
      </c>
      <c r="G122" t="s">
        <v>926</v>
      </c>
      <c r="H122" t="s">
        <v>385</v>
      </c>
      <c r="I122" t="s">
        <v>474</v>
      </c>
      <c r="J122" t="s">
        <v>82</v>
      </c>
      <c r="K122" t="s">
        <v>34</v>
      </c>
      <c r="O122" s="18" t="s">
        <v>20</v>
      </c>
      <c r="P122" s="18" t="s">
        <v>26</v>
      </c>
      <c r="Q122" t="s">
        <v>38</v>
      </c>
      <c r="R122" t="s">
        <v>39</v>
      </c>
      <c r="S122" t="s">
        <v>47</v>
      </c>
      <c r="T122" t="s">
        <v>398</v>
      </c>
      <c r="U122">
        <v>618</v>
      </c>
      <c r="W122">
        <v>7</v>
      </c>
      <c r="X122">
        <v>7</v>
      </c>
      <c r="AA122">
        <v>1341.6646993356101</v>
      </c>
      <c r="AB122">
        <v>277.57193807127697</v>
      </c>
      <c r="AC122">
        <v>5103.8312367205099</v>
      </c>
      <c r="AD122">
        <v>3053.29131878407</v>
      </c>
      <c r="AE122" t="s">
        <v>71</v>
      </c>
      <c r="AF122" t="s">
        <v>61</v>
      </c>
      <c r="AG122" t="str">
        <f t="shared" si="3"/>
        <v>mean</v>
      </c>
      <c r="AH122" t="s">
        <v>213</v>
      </c>
      <c r="AS122" t="s">
        <v>849</v>
      </c>
      <c r="AT122" t="s">
        <v>849</v>
      </c>
      <c r="AV122" t="s">
        <v>1803</v>
      </c>
      <c r="AW122" t="s">
        <v>1815</v>
      </c>
      <c r="AX122" t="s">
        <v>25</v>
      </c>
      <c r="AY122" t="s">
        <v>1814</v>
      </c>
      <c r="AZ122" t="s">
        <v>76</v>
      </c>
    </row>
    <row r="123" spans="1:52" x14ac:dyDescent="0.2">
      <c r="A123" t="s">
        <v>379</v>
      </c>
      <c r="B123" t="s">
        <v>380</v>
      </c>
      <c r="C123" t="s">
        <v>381</v>
      </c>
      <c r="D123">
        <v>2007</v>
      </c>
      <c r="E123" t="s">
        <v>377</v>
      </c>
      <c r="F123" t="s">
        <v>2297</v>
      </c>
      <c r="G123" t="s">
        <v>927</v>
      </c>
      <c r="H123" t="s">
        <v>386</v>
      </c>
      <c r="I123" t="s">
        <v>474</v>
      </c>
      <c r="J123" t="s">
        <v>82</v>
      </c>
      <c r="K123" t="s">
        <v>34</v>
      </c>
      <c r="O123" s="18" t="s">
        <v>20</v>
      </c>
      <c r="P123" s="18" t="s">
        <v>26</v>
      </c>
      <c r="Q123" t="s">
        <v>38</v>
      </c>
      <c r="R123" t="s">
        <v>397</v>
      </c>
      <c r="S123" t="s">
        <v>47</v>
      </c>
      <c r="T123" t="s">
        <v>398</v>
      </c>
      <c r="U123">
        <v>618</v>
      </c>
      <c r="W123">
        <v>7</v>
      </c>
      <c r="X123">
        <v>7</v>
      </c>
      <c r="AA123">
        <v>37.986523849509503</v>
      </c>
      <c r="AB123">
        <v>7.7638037939937901</v>
      </c>
      <c r="AC123">
        <v>94.107727282036606</v>
      </c>
      <c r="AD123">
        <v>12.6161811652398</v>
      </c>
      <c r="AE123" t="s">
        <v>71</v>
      </c>
      <c r="AF123" t="s">
        <v>61</v>
      </c>
      <c r="AG123" t="str">
        <f t="shared" si="3"/>
        <v>mean</v>
      </c>
      <c r="AH123" t="s">
        <v>213</v>
      </c>
      <c r="AS123" t="s">
        <v>849</v>
      </c>
      <c r="AT123" t="s">
        <v>849</v>
      </c>
      <c r="AV123" t="s">
        <v>1803</v>
      </c>
      <c r="AW123" t="s">
        <v>1815</v>
      </c>
      <c r="AX123" t="s">
        <v>25</v>
      </c>
      <c r="AY123" t="s">
        <v>1814</v>
      </c>
      <c r="AZ123" t="s">
        <v>76</v>
      </c>
    </row>
    <row r="124" spans="1:52" x14ac:dyDescent="0.2">
      <c r="A124" t="s">
        <v>379</v>
      </c>
      <c r="B124" t="s">
        <v>380</v>
      </c>
      <c r="C124" t="s">
        <v>381</v>
      </c>
      <c r="D124">
        <v>2007</v>
      </c>
      <c r="E124" t="s">
        <v>377</v>
      </c>
      <c r="F124" t="s">
        <v>2297</v>
      </c>
      <c r="G124" t="s">
        <v>928</v>
      </c>
      <c r="H124" t="s">
        <v>387</v>
      </c>
      <c r="I124" t="s">
        <v>474</v>
      </c>
      <c r="J124" t="s">
        <v>82</v>
      </c>
      <c r="K124" t="s">
        <v>34</v>
      </c>
      <c r="O124" s="18" t="s">
        <v>20</v>
      </c>
      <c r="P124" s="18" t="s">
        <v>26</v>
      </c>
      <c r="Q124" t="s">
        <v>37</v>
      </c>
      <c r="R124" t="s">
        <v>39</v>
      </c>
      <c r="S124" t="s">
        <v>47</v>
      </c>
      <c r="T124" t="s">
        <v>51</v>
      </c>
      <c r="U124">
        <v>616</v>
      </c>
      <c r="W124">
        <v>14</v>
      </c>
      <c r="X124">
        <v>14</v>
      </c>
      <c r="AA124">
        <v>8.1159420289855008E-3</v>
      </c>
      <c r="AB124">
        <v>4.3381534919118697E-3</v>
      </c>
      <c r="AC124">
        <v>1.7391304347826101E-2</v>
      </c>
      <c r="AD124">
        <v>2.74749721154415E-2</v>
      </c>
      <c r="AE124" t="s">
        <v>71</v>
      </c>
      <c r="AF124" t="s">
        <v>62</v>
      </c>
      <c r="AG124" t="str">
        <f t="shared" si="3"/>
        <v>mean</v>
      </c>
      <c r="AH124" t="s">
        <v>213</v>
      </c>
      <c r="AS124" t="s">
        <v>849</v>
      </c>
      <c r="AT124" t="s">
        <v>849</v>
      </c>
      <c r="AV124" t="s">
        <v>1803</v>
      </c>
      <c r="AW124" t="s">
        <v>1815</v>
      </c>
      <c r="AX124" t="s">
        <v>25</v>
      </c>
      <c r="AY124" t="s">
        <v>1814</v>
      </c>
      <c r="AZ124" t="s">
        <v>76</v>
      </c>
    </row>
    <row r="125" spans="1:52" x14ac:dyDescent="0.2">
      <c r="A125" t="s">
        <v>379</v>
      </c>
      <c r="B125" t="s">
        <v>380</v>
      </c>
      <c r="C125" t="s">
        <v>381</v>
      </c>
      <c r="D125">
        <v>2007</v>
      </c>
      <c r="E125" t="s">
        <v>377</v>
      </c>
      <c r="F125" t="s">
        <v>2297</v>
      </c>
      <c r="G125" t="s">
        <v>929</v>
      </c>
      <c r="H125" t="s">
        <v>388</v>
      </c>
      <c r="I125" t="s">
        <v>474</v>
      </c>
      <c r="J125" t="s">
        <v>82</v>
      </c>
      <c r="K125" t="s">
        <v>34</v>
      </c>
      <c r="O125" s="18" t="s">
        <v>20</v>
      </c>
      <c r="P125" s="18" t="s">
        <v>26</v>
      </c>
      <c r="Q125" t="s">
        <v>38</v>
      </c>
      <c r="R125" t="s">
        <v>39</v>
      </c>
      <c r="S125" t="s">
        <v>47</v>
      </c>
      <c r="T125" t="s">
        <v>51</v>
      </c>
      <c r="U125">
        <v>616</v>
      </c>
      <c r="W125">
        <v>14</v>
      </c>
      <c r="X125">
        <v>14</v>
      </c>
      <c r="AA125">
        <v>2.1359223300970901E-2</v>
      </c>
      <c r="AB125">
        <v>1.30776374683361E-2</v>
      </c>
      <c r="AC125">
        <v>6.3300970873786402E-2</v>
      </c>
      <c r="AD125">
        <v>3.7779841575193103E-2</v>
      </c>
      <c r="AE125" t="s">
        <v>71</v>
      </c>
      <c r="AF125" t="s">
        <v>62</v>
      </c>
      <c r="AG125" t="str">
        <f t="shared" si="3"/>
        <v>mean</v>
      </c>
      <c r="AH125" t="s">
        <v>213</v>
      </c>
      <c r="AS125" t="s">
        <v>849</v>
      </c>
      <c r="AT125" t="s">
        <v>849</v>
      </c>
      <c r="AV125" t="s">
        <v>1803</v>
      </c>
      <c r="AW125" t="s">
        <v>1815</v>
      </c>
      <c r="AX125" t="s">
        <v>25</v>
      </c>
      <c r="AY125" t="s">
        <v>1814</v>
      </c>
      <c r="AZ125" t="s">
        <v>76</v>
      </c>
    </row>
    <row r="126" spans="1:52" x14ac:dyDescent="0.2">
      <c r="A126" t="s">
        <v>379</v>
      </c>
      <c r="B126" t="s">
        <v>380</v>
      </c>
      <c r="C126" t="s">
        <v>381</v>
      </c>
      <c r="D126">
        <v>2007</v>
      </c>
      <c r="E126" t="s">
        <v>377</v>
      </c>
      <c r="F126" t="s">
        <v>2297</v>
      </c>
      <c r="G126" t="s">
        <v>930</v>
      </c>
      <c r="H126" t="s">
        <v>389</v>
      </c>
      <c r="I126" t="s">
        <v>474</v>
      </c>
      <c r="J126" t="s">
        <v>82</v>
      </c>
      <c r="K126" t="s">
        <v>34</v>
      </c>
      <c r="O126" s="18" t="s">
        <v>20</v>
      </c>
      <c r="P126" s="18" t="s">
        <v>26</v>
      </c>
      <c r="Q126" t="s">
        <v>37</v>
      </c>
      <c r="R126" t="s">
        <v>41</v>
      </c>
      <c r="S126" t="s">
        <v>47</v>
      </c>
      <c r="T126" t="s">
        <v>51</v>
      </c>
      <c r="U126">
        <v>617</v>
      </c>
      <c r="W126">
        <v>30</v>
      </c>
      <c r="X126">
        <v>30</v>
      </c>
      <c r="Y126">
        <v>14</v>
      </c>
      <c r="Z126">
        <v>25</v>
      </c>
      <c r="AG126" s="7" t="s">
        <v>1790</v>
      </c>
      <c r="AH126" t="s">
        <v>213</v>
      </c>
      <c r="AS126" t="s">
        <v>849</v>
      </c>
      <c r="AT126" t="s">
        <v>849</v>
      </c>
      <c r="AV126" t="s">
        <v>1803</v>
      </c>
      <c r="AW126" t="s">
        <v>1815</v>
      </c>
      <c r="AX126" t="s">
        <v>25</v>
      </c>
      <c r="AY126" t="s">
        <v>1814</v>
      </c>
      <c r="AZ126" t="s">
        <v>76</v>
      </c>
    </row>
    <row r="127" spans="1:52" x14ac:dyDescent="0.2">
      <c r="A127" t="s">
        <v>379</v>
      </c>
      <c r="B127" t="s">
        <v>380</v>
      </c>
      <c r="C127" t="s">
        <v>381</v>
      </c>
      <c r="D127">
        <v>2007</v>
      </c>
      <c r="E127" t="s">
        <v>377</v>
      </c>
      <c r="F127" t="s">
        <v>2297</v>
      </c>
      <c r="G127" t="s">
        <v>930</v>
      </c>
      <c r="H127" t="s">
        <v>390</v>
      </c>
      <c r="I127" t="s">
        <v>474</v>
      </c>
      <c r="J127" t="s">
        <v>82</v>
      </c>
      <c r="K127" t="s">
        <v>34</v>
      </c>
      <c r="O127" s="18" t="s">
        <v>20</v>
      </c>
      <c r="P127" s="18" t="s">
        <v>26</v>
      </c>
      <c r="Q127" t="s">
        <v>38</v>
      </c>
      <c r="R127" t="s">
        <v>41</v>
      </c>
      <c r="S127" t="s">
        <v>47</v>
      </c>
      <c r="T127" t="s">
        <v>51</v>
      </c>
      <c r="U127">
        <v>617</v>
      </c>
      <c r="W127">
        <v>30</v>
      </c>
      <c r="X127">
        <v>30</v>
      </c>
      <c r="Y127">
        <v>1</v>
      </c>
      <c r="Z127">
        <v>19</v>
      </c>
      <c r="AG127" s="7" t="s">
        <v>1790</v>
      </c>
      <c r="AH127" t="s">
        <v>213</v>
      </c>
      <c r="AS127" t="s">
        <v>849</v>
      </c>
      <c r="AT127" t="s">
        <v>849</v>
      </c>
      <c r="AV127" t="s">
        <v>1803</v>
      </c>
      <c r="AW127" t="s">
        <v>1815</v>
      </c>
      <c r="AX127" t="s">
        <v>25</v>
      </c>
      <c r="AY127" t="s">
        <v>1814</v>
      </c>
      <c r="AZ127" t="s">
        <v>76</v>
      </c>
    </row>
    <row r="128" spans="1:52" x14ac:dyDescent="0.2">
      <c r="A128" t="s">
        <v>399</v>
      </c>
      <c r="B128" t="s">
        <v>96</v>
      </c>
      <c r="C128" t="s">
        <v>400</v>
      </c>
      <c r="D128">
        <v>2017</v>
      </c>
      <c r="E128" t="s">
        <v>401</v>
      </c>
      <c r="F128" t="s">
        <v>2298</v>
      </c>
      <c r="G128" t="s">
        <v>931</v>
      </c>
      <c r="H128" t="s">
        <v>391</v>
      </c>
      <c r="I128" t="s">
        <v>1756</v>
      </c>
      <c r="J128" t="s">
        <v>82</v>
      </c>
      <c r="K128" t="s">
        <v>34</v>
      </c>
      <c r="O128" s="18" t="s">
        <v>20</v>
      </c>
      <c r="P128" s="18" t="s">
        <v>23</v>
      </c>
      <c r="Q128" t="s">
        <v>38</v>
      </c>
      <c r="R128" t="s">
        <v>43</v>
      </c>
      <c r="S128" t="s">
        <v>47</v>
      </c>
      <c r="T128" t="s">
        <v>51</v>
      </c>
      <c r="U128">
        <v>53</v>
      </c>
      <c r="AG128" t="s">
        <v>4</v>
      </c>
      <c r="AH128" t="s">
        <v>214</v>
      </c>
      <c r="AN128">
        <v>83</v>
      </c>
      <c r="AO128">
        <v>0.05</v>
      </c>
      <c r="AS128" t="s">
        <v>849</v>
      </c>
      <c r="AT128" t="s">
        <v>849</v>
      </c>
      <c r="AV128" t="s">
        <v>1803</v>
      </c>
      <c r="AW128" t="s">
        <v>1815</v>
      </c>
      <c r="AX128" t="s">
        <v>1822</v>
      </c>
      <c r="AY128" t="s">
        <v>1806</v>
      </c>
      <c r="AZ128" t="s">
        <v>76</v>
      </c>
    </row>
    <row r="129" spans="1:52" x14ac:dyDescent="0.2">
      <c r="A129" t="s">
        <v>399</v>
      </c>
      <c r="B129" t="s">
        <v>96</v>
      </c>
      <c r="C129" t="s">
        <v>400</v>
      </c>
      <c r="D129">
        <v>2017</v>
      </c>
      <c r="E129" t="s">
        <v>401</v>
      </c>
      <c r="F129" t="s">
        <v>2298</v>
      </c>
      <c r="G129" t="s">
        <v>931</v>
      </c>
      <c r="H129" t="s">
        <v>392</v>
      </c>
      <c r="I129" t="s">
        <v>1756</v>
      </c>
      <c r="J129" t="s">
        <v>82</v>
      </c>
      <c r="K129" t="s">
        <v>34</v>
      </c>
      <c r="O129" s="18" t="s">
        <v>20</v>
      </c>
      <c r="P129" s="18" t="s">
        <v>23</v>
      </c>
      <c r="Q129" t="s">
        <v>38</v>
      </c>
      <c r="R129" t="s">
        <v>43</v>
      </c>
      <c r="S129" t="s">
        <v>47</v>
      </c>
      <c r="T129" t="s">
        <v>51</v>
      </c>
      <c r="U129">
        <v>53</v>
      </c>
      <c r="AG129" t="s">
        <v>4</v>
      </c>
      <c r="AH129" t="s">
        <v>214</v>
      </c>
      <c r="AN129">
        <v>83</v>
      </c>
      <c r="AO129">
        <v>-0.01</v>
      </c>
      <c r="AS129" t="s">
        <v>849</v>
      </c>
      <c r="AT129" t="s">
        <v>849</v>
      </c>
      <c r="AV129" t="s">
        <v>1803</v>
      </c>
      <c r="AW129" t="s">
        <v>1815</v>
      </c>
      <c r="AX129" t="s">
        <v>1822</v>
      </c>
      <c r="AY129" t="s">
        <v>1806</v>
      </c>
      <c r="AZ129" t="s">
        <v>76</v>
      </c>
    </row>
    <row r="130" spans="1:52" x14ac:dyDescent="0.2">
      <c r="A130" t="s">
        <v>399</v>
      </c>
      <c r="B130" t="s">
        <v>96</v>
      </c>
      <c r="C130" t="s">
        <v>400</v>
      </c>
      <c r="D130">
        <v>2017</v>
      </c>
      <c r="E130" t="s">
        <v>401</v>
      </c>
      <c r="F130" t="s">
        <v>2298</v>
      </c>
      <c r="G130" t="s">
        <v>931</v>
      </c>
      <c r="H130" t="s">
        <v>393</v>
      </c>
      <c r="I130" t="s">
        <v>1756</v>
      </c>
      <c r="J130" t="s">
        <v>82</v>
      </c>
      <c r="K130" t="s">
        <v>34</v>
      </c>
      <c r="O130" s="18" t="s">
        <v>20</v>
      </c>
      <c r="P130" s="18" t="s">
        <v>23</v>
      </c>
      <c r="Q130" t="s">
        <v>38</v>
      </c>
      <c r="R130" t="s">
        <v>43</v>
      </c>
      <c r="S130" t="s">
        <v>47</v>
      </c>
      <c r="T130" t="s">
        <v>51</v>
      </c>
      <c r="U130">
        <v>53</v>
      </c>
      <c r="AG130" t="s">
        <v>4</v>
      </c>
      <c r="AH130" t="s">
        <v>214</v>
      </c>
      <c r="AN130">
        <v>83</v>
      </c>
      <c r="AO130">
        <v>-0.06</v>
      </c>
      <c r="AS130" t="s">
        <v>849</v>
      </c>
      <c r="AT130" t="s">
        <v>849</v>
      </c>
      <c r="AV130" t="s">
        <v>1803</v>
      </c>
      <c r="AW130" t="s">
        <v>1815</v>
      </c>
      <c r="AX130" t="s">
        <v>1822</v>
      </c>
      <c r="AY130" t="s">
        <v>1806</v>
      </c>
      <c r="AZ130" t="s">
        <v>76</v>
      </c>
    </row>
    <row r="131" spans="1:52" x14ac:dyDescent="0.2">
      <c r="A131" t="s">
        <v>399</v>
      </c>
      <c r="B131" t="s">
        <v>96</v>
      </c>
      <c r="C131" t="s">
        <v>400</v>
      </c>
      <c r="D131">
        <v>2017</v>
      </c>
      <c r="E131" t="s">
        <v>401</v>
      </c>
      <c r="F131" t="s">
        <v>2298</v>
      </c>
      <c r="G131" t="s">
        <v>932</v>
      </c>
      <c r="H131" t="s">
        <v>394</v>
      </c>
      <c r="I131" t="s">
        <v>1756</v>
      </c>
      <c r="J131" t="s">
        <v>82</v>
      </c>
      <c r="K131" t="s">
        <v>35</v>
      </c>
      <c r="L131" t="s">
        <v>11</v>
      </c>
      <c r="M131" t="s">
        <v>19</v>
      </c>
      <c r="N131">
        <v>0</v>
      </c>
      <c r="O131" s="18" t="s">
        <v>20</v>
      </c>
      <c r="P131" s="18" t="s">
        <v>23</v>
      </c>
      <c r="S131" t="s">
        <v>47</v>
      </c>
      <c r="T131" t="s">
        <v>49</v>
      </c>
      <c r="U131">
        <v>10</v>
      </c>
      <c r="W131">
        <v>24</v>
      </c>
      <c r="X131">
        <v>24</v>
      </c>
      <c r="AA131">
        <v>25.647058823529399</v>
      </c>
      <c r="AB131">
        <v>44.955341161667697</v>
      </c>
      <c r="AC131">
        <v>16.235294117647101</v>
      </c>
      <c r="AD131">
        <v>35.733732718248703</v>
      </c>
      <c r="AE131" t="s">
        <v>71</v>
      </c>
      <c r="AF131" t="s">
        <v>61</v>
      </c>
      <c r="AG131" t="str">
        <f>IF(AE131="mean", "mean", "")</f>
        <v>mean</v>
      </c>
      <c r="AH131" t="s">
        <v>213</v>
      </c>
      <c r="AS131" t="s">
        <v>849</v>
      </c>
      <c r="AT131" t="s">
        <v>849</v>
      </c>
      <c r="AV131" t="s">
        <v>1803</v>
      </c>
      <c r="AW131" t="s">
        <v>1815</v>
      </c>
      <c r="AX131" t="s">
        <v>1822</v>
      </c>
      <c r="AY131" t="s">
        <v>1806</v>
      </c>
      <c r="AZ131" t="s">
        <v>76</v>
      </c>
    </row>
    <row r="132" spans="1:52" x14ac:dyDescent="0.2">
      <c r="A132" t="s">
        <v>399</v>
      </c>
      <c r="B132" t="s">
        <v>96</v>
      </c>
      <c r="C132" t="s">
        <v>400</v>
      </c>
      <c r="D132">
        <v>2017</v>
      </c>
      <c r="E132" t="s">
        <v>401</v>
      </c>
      <c r="F132" t="s">
        <v>2298</v>
      </c>
      <c r="G132" t="s">
        <v>932</v>
      </c>
      <c r="H132" t="s">
        <v>395</v>
      </c>
      <c r="I132" t="s">
        <v>1756</v>
      </c>
      <c r="J132" t="s">
        <v>82</v>
      </c>
      <c r="K132" t="s">
        <v>35</v>
      </c>
      <c r="L132" t="s">
        <v>11</v>
      </c>
      <c r="M132" t="s">
        <v>15</v>
      </c>
      <c r="N132">
        <v>1</v>
      </c>
      <c r="O132" s="18" t="s">
        <v>20</v>
      </c>
      <c r="P132" s="18" t="s">
        <v>23</v>
      </c>
      <c r="S132" t="s">
        <v>47</v>
      </c>
      <c r="T132" t="s">
        <v>49</v>
      </c>
      <c r="U132">
        <v>10</v>
      </c>
      <c r="W132">
        <v>24</v>
      </c>
      <c r="X132">
        <v>24</v>
      </c>
      <c r="AA132">
        <v>25.647058823529399</v>
      </c>
      <c r="AB132">
        <v>44.955341161667697</v>
      </c>
      <c r="AC132">
        <v>13.176470588235301</v>
      </c>
      <c r="AD132">
        <v>11.5270105542737</v>
      </c>
      <c r="AE132" t="s">
        <v>71</v>
      </c>
      <c r="AF132" t="s">
        <v>61</v>
      </c>
      <c r="AG132" t="str">
        <f>IF(AE132="mean", "mean", "")</f>
        <v>mean</v>
      </c>
      <c r="AH132" t="s">
        <v>213</v>
      </c>
      <c r="AS132" t="s">
        <v>849</v>
      </c>
      <c r="AT132" t="s">
        <v>849</v>
      </c>
      <c r="AV132" t="s">
        <v>1803</v>
      </c>
      <c r="AW132" t="s">
        <v>1815</v>
      </c>
      <c r="AX132" t="s">
        <v>1822</v>
      </c>
      <c r="AY132" t="s">
        <v>1806</v>
      </c>
      <c r="AZ132" t="s">
        <v>76</v>
      </c>
    </row>
    <row r="133" spans="1:52" x14ac:dyDescent="0.2">
      <c r="A133" t="s">
        <v>399</v>
      </c>
      <c r="B133" t="s">
        <v>96</v>
      </c>
      <c r="C133" t="s">
        <v>400</v>
      </c>
      <c r="D133">
        <v>2017</v>
      </c>
      <c r="E133" t="s">
        <v>401</v>
      </c>
      <c r="F133" t="s">
        <v>2298</v>
      </c>
      <c r="G133" t="s">
        <v>932</v>
      </c>
      <c r="H133" t="s">
        <v>396</v>
      </c>
      <c r="I133" t="s">
        <v>1756</v>
      </c>
      <c r="J133" t="s">
        <v>82</v>
      </c>
      <c r="K133" t="s">
        <v>35</v>
      </c>
      <c r="L133" t="s">
        <v>11</v>
      </c>
      <c r="M133" t="s">
        <v>19</v>
      </c>
      <c r="N133">
        <v>0</v>
      </c>
      <c r="O133" s="18" t="s">
        <v>20</v>
      </c>
      <c r="P133" s="18" t="s">
        <v>23</v>
      </c>
      <c r="S133" t="s">
        <v>47</v>
      </c>
      <c r="T133" t="s">
        <v>49</v>
      </c>
      <c r="U133">
        <v>10</v>
      </c>
      <c r="W133">
        <v>24</v>
      </c>
      <c r="X133">
        <v>24</v>
      </c>
      <c r="AA133">
        <v>35.15625</v>
      </c>
      <c r="AB133">
        <v>21.815768021662699</v>
      </c>
      <c r="AC133">
        <v>40.78125</v>
      </c>
      <c r="AD133">
        <v>52.817122578762302</v>
      </c>
      <c r="AE133" t="s">
        <v>71</v>
      </c>
      <c r="AF133" t="s">
        <v>61</v>
      </c>
      <c r="AG133" t="str">
        <f>IF(AE133="mean", "mean", "")</f>
        <v>mean</v>
      </c>
      <c r="AH133" t="s">
        <v>213</v>
      </c>
      <c r="AS133" t="s">
        <v>849</v>
      </c>
      <c r="AT133" t="s">
        <v>849</v>
      </c>
      <c r="AV133" t="s">
        <v>1803</v>
      </c>
      <c r="AW133" t="s">
        <v>1815</v>
      </c>
      <c r="AX133" t="s">
        <v>1822</v>
      </c>
      <c r="AY133" t="s">
        <v>1806</v>
      </c>
      <c r="AZ133" t="s">
        <v>76</v>
      </c>
    </row>
    <row r="134" spans="1:52" x14ac:dyDescent="0.2">
      <c r="A134" t="s">
        <v>399</v>
      </c>
      <c r="B134" t="s">
        <v>96</v>
      </c>
      <c r="C134" t="s">
        <v>400</v>
      </c>
      <c r="D134">
        <v>2017</v>
      </c>
      <c r="E134" t="s">
        <v>401</v>
      </c>
      <c r="F134" t="s">
        <v>2298</v>
      </c>
      <c r="G134" t="s">
        <v>932</v>
      </c>
      <c r="H134" t="s">
        <v>402</v>
      </c>
      <c r="I134" t="s">
        <v>1756</v>
      </c>
      <c r="J134" t="s">
        <v>82</v>
      </c>
      <c r="K134" t="s">
        <v>35</v>
      </c>
      <c r="L134" t="s">
        <v>11</v>
      </c>
      <c r="M134" t="s">
        <v>15</v>
      </c>
      <c r="N134">
        <v>1</v>
      </c>
      <c r="O134" s="18" t="s">
        <v>20</v>
      </c>
      <c r="P134" s="18" t="s">
        <v>23</v>
      </c>
      <c r="S134" t="s">
        <v>47</v>
      </c>
      <c r="T134" t="s">
        <v>49</v>
      </c>
      <c r="U134">
        <v>10</v>
      </c>
      <c r="W134">
        <v>24</v>
      </c>
      <c r="X134">
        <v>24</v>
      </c>
      <c r="AA134">
        <v>35.15625</v>
      </c>
      <c r="AB134">
        <v>21.815768021662699</v>
      </c>
      <c r="AC134">
        <v>45.234375</v>
      </c>
      <c r="AD134">
        <v>27.556759606310798</v>
      </c>
      <c r="AE134" t="s">
        <v>71</v>
      </c>
      <c r="AF134" t="s">
        <v>61</v>
      </c>
      <c r="AG134" t="str">
        <f>IF(AE134="mean", "mean", "")</f>
        <v>mean</v>
      </c>
      <c r="AH134" t="s">
        <v>213</v>
      </c>
      <c r="AS134" t="s">
        <v>849</v>
      </c>
      <c r="AT134" t="s">
        <v>849</v>
      </c>
      <c r="AV134" t="s">
        <v>1803</v>
      </c>
      <c r="AW134" t="s">
        <v>1815</v>
      </c>
      <c r="AX134" t="s">
        <v>1822</v>
      </c>
      <c r="AY134" t="s">
        <v>1806</v>
      </c>
      <c r="AZ134" t="s">
        <v>76</v>
      </c>
    </row>
    <row r="135" spans="1:52" x14ac:dyDescent="0.2">
      <c r="A135" t="s">
        <v>399</v>
      </c>
      <c r="B135" t="s">
        <v>96</v>
      </c>
      <c r="C135" t="s">
        <v>400</v>
      </c>
      <c r="D135">
        <v>2017</v>
      </c>
      <c r="E135" t="s">
        <v>401</v>
      </c>
      <c r="F135" t="s">
        <v>2298</v>
      </c>
      <c r="G135" t="s">
        <v>933</v>
      </c>
      <c r="H135" t="s">
        <v>403</v>
      </c>
      <c r="I135" t="s">
        <v>1756</v>
      </c>
      <c r="J135" t="s">
        <v>82</v>
      </c>
      <c r="K135" t="s">
        <v>34</v>
      </c>
      <c r="O135" s="18" t="s">
        <v>20</v>
      </c>
      <c r="P135" s="18" t="s">
        <v>23</v>
      </c>
      <c r="Q135" t="s">
        <v>38</v>
      </c>
      <c r="R135" t="s">
        <v>43</v>
      </c>
      <c r="S135" t="s">
        <v>47</v>
      </c>
      <c r="T135" t="s">
        <v>49</v>
      </c>
      <c r="U135" t="s">
        <v>415</v>
      </c>
      <c r="AG135" t="s">
        <v>4</v>
      </c>
      <c r="AH135" t="s">
        <v>214</v>
      </c>
      <c r="AN135">
        <v>83</v>
      </c>
      <c r="AO135">
        <v>0.11671919741211199</v>
      </c>
      <c r="AS135" t="s">
        <v>849</v>
      </c>
      <c r="AT135" t="s">
        <v>849</v>
      </c>
      <c r="AV135" t="s">
        <v>1803</v>
      </c>
      <c r="AW135" t="s">
        <v>1815</v>
      </c>
      <c r="AX135" t="s">
        <v>1822</v>
      </c>
      <c r="AY135" t="s">
        <v>1806</v>
      </c>
      <c r="AZ135" t="s">
        <v>76</v>
      </c>
    </row>
    <row r="136" spans="1:52" x14ac:dyDescent="0.2">
      <c r="A136" t="s">
        <v>399</v>
      </c>
      <c r="B136" t="s">
        <v>96</v>
      </c>
      <c r="C136" t="s">
        <v>400</v>
      </c>
      <c r="D136">
        <v>2017</v>
      </c>
      <c r="E136" t="s">
        <v>401</v>
      </c>
      <c r="F136" t="s">
        <v>2298</v>
      </c>
      <c r="G136" t="s">
        <v>934</v>
      </c>
      <c r="H136" t="s">
        <v>404</v>
      </c>
      <c r="I136" t="s">
        <v>1756</v>
      </c>
      <c r="J136" t="s">
        <v>82</v>
      </c>
      <c r="K136" t="s">
        <v>35</v>
      </c>
      <c r="L136" t="s">
        <v>11</v>
      </c>
      <c r="M136" t="s">
        <v>19</v>
      </c>
      <c r="N136">
        <v>0</v>
      </c>
      <c r="O136" s="18" t="s">
        <v>20</v>
      </c>
      <c r="P136" s="18" t="s">
        <v>23</v>
      </c>
      <c r="S136" t="s">
        <v>47</v>
      </c>
      <c r="T136" t="s">
        <v>49</v>
      </c>
      <c r="U136" t="s">
        <v>415</v>
      </c>
      <c r="W136">
        <v>24</v>
      </c>
      <c r="X136">
        <v>24</v>
      </c>
      <c r="AA136">
        <v>101.505376344086</v>
      </c>
      <c r="AB136">
        <v>52.677198769530698</v>
      </c>
      <c r="AC136">
        <v>63.225806451612897</v>
      </c>
      <c r="AD136">
        <v>35.820495163280903</v>
      </c>
      <c r="AE136" t="s">
        <v>71</v>
      </c>
      <c r="AF136" t="s">
        <v>61</v>
      </c>
      <c r="AG136" t="str">
        <f t="shared" ref="AG136:AG148" si="4">IF(AE136="mean", "mean", "")</f>
        <v>mean</v>
      </c>
      <c r="AH136" t="s">
        <v>213</v>
      </c>
      <c r="AS136" t="s">
        <v>849</v>
      </c>
      <c r="AT136" t="s">
        <v>849</v>
      </c>
      <c r="AV136" t="s">
        <v>1803</v>
      </c>
      <c r="AW136" t="s">
        <v>1815</v>
      </c>
      <c r="AX136" t="s">
        <v>1822</v>
      </c>
      <c r="AY136" t="s">
        <v>1806</v>
      </c>
      <c r="AZ136" t="s">
        <v>76</v>
      </c>
    </row>
    <row r="137" spans="1:52" x14ac:dyDescent="0.2">
      <c r="A137" t="s">
        <v>399</v>
      </c>
      <c r="B137" t="s">
        <v>96</v>
      </c>
      <c r="C137" t="s">
        <v>400</v>
      </c>
      <c r="D137">
        <v>2017</v>
      </c>
      <c r="E137" t="s">
        <v>401</v>
      </c>
      <c r="F137" t="s">
        <v>2298</v>
      </c>
      <c r="G137" t="s">
        <v>934</v>
      </c>
      <c r="H137" t="s">
        <v>405</v>
      </c>
      <c r="I137" t="s">
        <v>1756</v>
      </c>
      <c r="J137" t="s">
        <v>82</v>
      </c>
      <c r="K137" t="s">
        <v>35</v>
      </c>
      <c r="L137" t="s">
        <v>11</v>
      </c>
      <c r="M137" t="s">
        <v>15</v>
      </c>
      <c r="N137">
        <v>1</v>
      </c>
      <c r="O137" s="18" t="s">
        <v>20</v>
      </c>
      <c r="P137" s="18" t="s">
        <v>23</v>
      </c>
      <c r="S137" t="s">
        <v>47</v>
      </c>
      <c r="T137" t="s">
        <v>49</v>
      </c>
      <c r="U137" t="s">
        <v>415</v>
      </c>
      <c r="W137">
        <v>24</v>
      </c>
      <c r="X137">
        <v>24</v>
      </c>
      <c r="AA137">
        <v>101.505376344086</v>
      </c>
      <c r="AB137">
        <v>52.677198769530698</v>
      </c>
      <c r="AC137">
        <v>76.129032258064498</v>
      </c>
      <c r="AD137">
        <v>50.570110818749498</v>
      </c>
      <c r="AE137" t="s">
        <v>71</v>
      </c>
      <c r="AF137" t="s">
        <v>61</v>
      </c>
      <c r="AG137" t="str">
        <f t="shared" si="4"/>
        <v>mean</v>
      </c>
      <c r="AH137" t="s">
        <v>213</v>
      </c>
      <c r="AS137" t="s">
        <v>849</v>
      </c>
      <c r="AT137" t="s">
        <v>849</v>
      </c>
      <c r="AV137" t="s">
        <v>1803</v>
      </c>
      <c r="AW137" t="s">
        <v>1815</v>
      </c>
      <c r="AX137" t="s">
        <v>1822</v>
      </c>
      <c r="AY137" t="s">
        <v>1806</v>
      </c>
      <c r="AZ137" t="s">
        <v>76</v>
      </c>
    </row>
    <row r="138" spans="1:52" x14ac:dyDescent="0.2">
      <c r="A138" t="s">
        <v>399</v>
      </c>
      <c r="B138" t="s">
        <v>96</v>
      </c>
      <c r="C138" t="s">
        <v>400</v>
      </c>
      <c r="D138">
        <v>2017</v>
      </c>
      <c r="E138" t="s">
        <v>401</v>
      </c>
      <c r="F138" t="s">
        <v>2299</v>
      </c>
      <c r="G138" t="s">
        <v>935</v>
      </c>
      <c r="H138" t="s">
        <v>406</v>
      </c>
      <c r="I138" t="s">
        <v>1756</v>
      </c>
      <c r="J138" t="s">
        <v>82</v>
      </c>
      <c r="K138" t="s">
        <v>35</v>
      </c>
      <c r="L138" t="s">
        <v>11</v>
      </c>
      <c r="M138" t="s">
        <v>19</v>
      </c>
      <c r="N138">
        <v>0</v>
      </c>
      <c r="O138" s="18" t="s">
        <v>20</v>
      </c>
      <c r="P138" s="18" t="s">
        <v>23</v>
      </c>
      <c r="S138" t="s">
        <v>47</v>
      </c>
      <c r="T138" t="s">
        <v>421</v>
      </c>
      <c r="W138">
        <v>24</v>
      </c>
      <c r="X138">
        <v>24</v>
      </c>
      <c r="AA138">
        <v>1.5833299999999999</v>
      </c>
      <c r="AB138">
        <v>2.2440000000000002</v>
      </c>
      <c r="AC138">
        <v>1.5</v>
      </c>
      <c r="AD138">
        <v>1.7937000000000001</v>
      </c>
      <c r="AE138" t="s">
        <v>71</v>
      </c>
      <c r="AF138" t="s">
        <v>61</v>
      </c>
      <c r="AG138" t="str">
        <f t="shared" si="4"/>
        <v>mean</v>
      </c>
      <c r="AH138" t="s">
        <v>213</v>
      </c>
      <c r="AS138" t="s">
        <v>849</v>
      </c>
      <c r="AT138" t="s">
        <v>849</v>
      </c>
      <c r="AV138" t="s">
        <v>1803</v>
      </c>
      <c r="AW138" t="s">
        <v>1815</v>
      </c>
      <c r="AX138" t="s">
        <v>1822</v>
      </c>
      <c r="AY138" t="s">
        <v>1806</v>
      </c>
      <c r="AZ138" t="s">
        <v>76</v>
      </c>
    </row>
    <row r="139" spans="1:52" x14ac:dyDescent="0.2">
      <c r="A139" t="s">
        <v>399</v>
      </c>
      <c r="B139" t="s">
        <v>96</v>
      </c>
      <c r="C139" t="s">
        <v>400</v>
      </c>
      <c r="D139">
        <v>2017</v>
      </c>
      <c r="E139" t="s">
        <v>401</v>
      </c>
      <c r="F139" t="s">
        <v>2298</v>
      </c>
      <c r="G139" t="s">
        <v>936</v>
      </c>
      <c r="H139" t="s">
        <v>407</v>
      </c>
      <c r="I139" t="s">
        <v>1756</v>
      </c>
      <c r="J139" t="s">
        <v>82</v>
      </c>
      <c r="K139" t="s">
        <v>35</v>
      </c>
      <c r="L139" t="s">
        <v>11</v>
      </c>
      <c r="M139" t="s">
        <v>15</v>
      </c>
      <c r="N139">
        <v>1</v>
      </c>
      <c r="O139" s="18" t="s">
        <v>20</v>
      </c>
      <c r="P139" s="18" t="s">
        <v>23</v>
      </c>
      <c r="S139" t="s">
        <v>47</v>
      </c>
      <c r="T139" t="s">
        <v>421</v>
      </c>
      <c r="W139">
        <v>24</v>
      </c>
      <c r="X139">
        <v>24</v>
      </c>
      <c r="AA139">
        <v>1.5833299999999999</v>
      </c>
      <c r="AB139">
        <v>2.2440000000000002</v>
      </c>
      <c r="AC139">
        <v>1.91666</v>
      </c>
      <c r="AD139">
        <v>3.0491100000000002</v>
      </c>
      <c r="AE139" t="s">
        <v>71</v>
      </c>
      <c r="AF139" t="s">
        <v>61</v>
      </c>
      <c r="AG139" t="str">
        <f t="shared" si="4"/>
        <v>mean</v>
      </c>
      <c r="AH139" t="s">
        <v>213</v>
      </c>
      <c r="AS139" t="s">
        <v>849</v>
      </c>
      <c r="AT139" t="s">
        <v>849</v>
      </c>
      <c r="AV139" t="s">
        <v>1803</v>
      </c>
      <c r="AW139" t="s">
        <v>1815</v>
      </c>
      <c r="AX139" t="s">
        <v>1822</v>
      </c>
      <c r="AY139" t="s">
        <v>1806</v>
      </c>
      <c r="AZ139" t="s">
        <v>76</v>
      </c>
    </row>
    <row r="140" spans="1:52" x14ac:dyDescent="0.2">
      <c r="A140" t="s">
        <v>422</v>
      </c>
      <c r="B140" t="s">
        <v>423</v>
      </c>
      <c r="C140" t="s">
        <v>424</v>
      </c>
      <c r="D140">
        <v>2007</v>
      </c>
      <c r="E140" t="s">
        <v>416</v>
      </c>
      <c r="F140" t="s">
        <v>2300</v>
      </c>
      <c r="G140" t="s">
        <v>937</v>
      </c>
      <c r="H140" t="s">
        <v>408</v>
      </c>
      <c r="I140" t="s">
        <v>1763</v>
      </c>
      <c r="J140" t="s">
        <v>82</v>
      </c>
      <c r="K140" t="s">
        <v>34</v>
      </c>
      <c r="O140" s="18" t="s">
        <v>20</v>
      </c>
      <c r="P140" s="18" t="s">
        <v>1817</v>
      </c>
      <c r="Q140" t="s">
        <v>37</v>
      </c>
      <c r="R140" t="s">
        <v>39</v>
      </c>
      <c r="S140" t="s">
        <v>48</v>
      </c>
      <c r="T140" t="s">
        <v>51</v>
      </c>
      <c r="U140">
        <v>334</v>
      </c>
      <c r="W140">
        <v>87.5</v>
      </c>
      <c r="X140">
        <v>87.5</v>
      </c>
      <c r="AA140">
        <v>18.22</v>
      </c>
      <c r="AB140">
        <v>0.76</v>
      </c>
      <c r="AC140">
        <v>22.59</v>
      </c>
      <c r="AD140">
        <v>0.91</v>
      </c>
      <c r="AE140" t="s">
        <v>71</v>
      </c>
      <c r="AF140" t="s">
        <v>62</v>
      </c>
      <c r="AG140" t="str">
        <f t="shared" si="4"/>
        <v>mean</v>
      </c>
      <c r="AH140" t="s">
        <v>213</v>
      </c>
      <c r="AS140" t="s">
        <v>849</v>
      </c>
      <c r="AT140" t="s">
        <v>849</v>
      </c>
      <c r="AV140" t="s">
        <v>1803</v>
      </c>
      <c r="AW140" t="s">
        <v>1815</v>
      </c>
      <c r="AX140" t="s">
        <v>1823</v>
      </c>
      <c r="AY140" t="s">
        <v>1806</v>
      </c>
      <c r="AZ140" t="s">
        <v>76</v>
      </c>
    </row>
    <row r="141" spans="1:52" x14ac:dyDescent="0.2">
      <c r="A141" t="s">
        <v>425</v>
      </c>
      <c r="B141" t="s">
        <v>426</v>
      </c>
      <c r="C141" t="s">
        <v>427</v>
      </c>
      <c r="D141">
        <v>2012</v>
      </c>
      <c r="E141" t="s">
        <v>428</v>
      </c>
      <c r="F141" t="s">
        <v>2301</v>
      </c>
      <c r="G141" t="s">
        <v>938</v>
      </c>
      <c r="H141" t="s">
        <v>409</v>
      </c>
      <c r="I141" t="s">
        <v>1765</v>
      </c>
      <c r="J141" t="s">
        <v>82</v>
      </c>
      <c r="K141" t="s">
        <v>35</v>
      </c>
      <c r="L141" t="s">
        <v>11</v>
      </c>
      <c r="M141" t="s">
        <v>13</v>
      </c>
      <c r="N141">
        <v>1</v>
      </c>
      <c r="O141" s="18" t="s">
        <v>20</v>
      </c>
      <c r="P141" s="18" t="s">
        <v>1817</v>
      </c>
      <c r="S141" t="s">
        <v>48</v>
      </c>
      <c r="T141" t="s">
        <v>50</v>
      </c>
      <c r="U141">
        <v>4</v>
      </c>
      <c r="W141">
        <v>100</v>
      </c>
      <c r="X141">
        <v>28</v>
      </c>
      <c r="AA141">
        <v>489.92</v>
      </c>
      <c r="AB141">
        <v>8.25</v>
      </c>
      <c r="AC141">
        <v>401.42</v>
      </c>
      <c r="AD141">
        <v>14.63</v>
      </c>
      <c r="AE141" t="s">
        <v>71</v>
      </c>
      <c r="AF141" t="s">
        <v>62</v>
      </c>
      <c r="AG141" t="str">
        <f t="shared" si="4"/>
        <v>mean</v>
      </c>
      <c r="AH141" t="s">
        <v>213</v>
      </c>
      <c r="AS141" t="s">
        <v>849</v>
      </c>
      <c r="AT141" t="s">
        <v>849</v>
      </c>
      <c r="AV141" t="s">
        <v>1803</v>
      </c>
      <c r="AW141" t="s">
        <v>1815</v>
      </c>
      <c r="AX141" t="s">
        <v>1817</v>
      </c>
      <c r="AY141" t="s">
        <v>1806</v>
      </c>
      <c r="AZ141" t="s">
        <v>76</v>
      </c>
    </row>
    <row r="142" spans="1:52" x14ac:dyDescent="0.2">
      <c r="A142" t="s">
        <v>431</v>
      </c>
      <c r="B142" t="s">
        <v>432</v>
      </c>
      <c r="D142">
        <v>2004</v>
      </c>
      <c r="E142" t="s">
        <v>430</v>
      </c>
      <c r="F142" t="s">
        <v>2302</v>
      </c>
      <c r="G142" t="s">
        <v>939</v>
      </c>
      <c r="H142" t="s">
        <v>410</v>
      </c>
      <c r="I142" t="s">
        <v>433</v>
      </c>
      <c r="J142" t="s">
        <v>31</v>
      </c>
      <c r="K142" t="s">
        <v>35</v>
      </c>
      <c r="L142" t="s">
        <v>12</v>
      </c>
      <c r="O142" s="18" t="s">
        <v>76</v>
      </c>
      <c r="P142" s="18" t="s">
        <v>27</v>
      </c>
      <c r="Q142" t="s">
        <v>37</v>
      </c>
      <c r="R142" t="s">
        <v>42</v>
      </c>
      <c r="S142" t="s">
        <v>47</v>
      </c>
      <c r="T142" t="s">
        <v>49</v>
      </c>
      <c r="U142">
        <v>2482</v>
      </c>
      <c r="W142">
        <v>46</v>
      </c>
      <c r="X142">
        <v>60</v>
      </c>
      <c r="AA142">
        <v>13.953488372093</v>
      </c>
      <c r="AB142">
        <v>10.087770576168101</v>
      </c>
      <c r="AC142">
        <v>7.0697674418604697</v>
      </c>
      <c r="AD142">
        <v>5.6782297533141399</v>
      </c>
      <c r="AE142" t="s">
        <v>71</v>
      </c>
      <c r="AF142" t="s">
        <v>61</v>
      </c>
      <c r="AG142" t="str">
        <f t="shared" si="4"/>
        <v>mean</v>
      </c>
      <c r="AH142" t="s">
        <v>213</v>
      </c>
      <c r="AS142" t="s">
        <v>849</v>
      </c>
      <c r="AT142" t="s">
        <v>849</v>
      </c>
      <c r="AV142" t="s">
        <v>1803</v>
      </c>
      <c r="AW142" t="s">
        <v>1804</v>
      </c>
      <c r="AX142" t="s">
        <v>1805</v>
      </c>
      <c r="AY142" t="s">
        <v>1806</v>
      </c>
      <c r="AZ142" t="s">
        <v>76</v>
      </c>
    </row>
    <row r="143" spans="1:52" x14ac:dyDescent="0.2">
      <c r="A143" t="s">
        <v>431</v>
      </c>
      <c r="B143" t="s">
        <v>432</v>
      </c>
      <c r="D143">
        <v>2004</v>
      </c>
      <c r="E143" t="s">
        <v>430</v>
      </c>
      <c r="F143" t="s">
        <v>2302</v>
      </c>
      <c r="G143" t="s">
        <v>939</v>
      </c>
      <c r="H143" t="s">
        <v>411</v>
      </c>
      <c r="I143" t="s">
        <v>433</v>
      </c>
      <c r="J143" t="s">
        <v>31</v>
      </c>
      <c r="K143" t="s">
        <v>35</v>
      </c>
      <c r="L143" t="s">
        <v>12</v>
      </c>
      <c r="O143" s="18" t="s">
        <v>76</v>
      </c>
      <c r="P143" s="18" t="s">
        <v>27</v>
      </c>
      <c r="Q143" t="s">
        <v>37</v>
      </c>
      <c r="R143" t="s">
        <v>39</v>
      </c>
      <c r="S143" t="s">
        <v>47</v>
      </c>
      <c r="T143" t="s">
        <v>49</v>
      </c>
      <c r="U143">
        <v>2482</v>
      </c>
      <c r="W143">
        <v>60</v>
      </c>
      <c r="X143">
        <v>60</v>
      </c>
      <c r="AA143">
        <v>1.24031007751938E-2</v>
      </c>
      <c r="AB143">
        <v>2.4018501371828899E-2</v>
      </c>
      <c r="AC143">
        <v>1.2015503875969001E-2</v>
      </c>
      <c r="AD143">
        <v>5.4041628086615202E-2</v>
      </c>
      <c r="AE143" t="s">
        <v>71</v>
      </c>
      <c r="AF143" t="s">
        <v>61</v>
      </c>
      <c r="AG143" t="str">
        <f t="shared" si="4"/>
        <v>mean</v>
      </c>
      <c r="AH143" t="s">
        <v>213</v>
      </c>
      <c r="AS143" t="s">
        <v>849</v>
      </c>
      <c r="AT143" t="s">
        <v>849</v>
      </c>
      <c r="AV143" t="s">
        <v>1803</v>
      </c>
      <c r="AW143" t="s">
        <v>1804</v>
      </c>
      <c r="AX143" t="s">
        <v>1805</v>
      </c>
      <c r="AY143" t="s">
        <v>1806</v>
      </c>
      <c r="AZ143" t="s">
        <v>76</v>
      </c>
    </row>
    <row r="144" spans="1:52" x14ac:dyDescent="0.2">
      <c r="A144" t="s">
        <v>431</v>
      </c>
      <c r="B144" t="s">
        <v>432</v>
      </c>
      <c r="D144">
        <v>2004</v>
      </c>
      <c r="E144" t="s">
        <v>430</v>
      </c>
      <c r="F144" t="s">
        <v>2302</v>
      </c>
      <c r="G144" t="s">
        <v>940</v>
      </c>
      <c r="H144" t="s">
        <v>412</v>
      </c>
      <c r="I144" t="s">
        <v>433</v>
      </c>
      <c r="J144" t="s">
        <v>31</v>
      </c>
      <c r="K144" t="s">
        <v>35</v>
      </c>
      <c r="L144" t="s">
        <v>12</v>
      </c>
      <c r="O144" s="18" t="s">
        <v>76</v>
      </c>
      <c r="P144" s="18" t="s">
        <v>27</v>
      </c>
      <c r="Q144" t="s">
        <v>37</v>
      </c>
      <c r="R144" t="s">
        <v>39</v>
      </c>
      <c r="S144" t="s">
        <v>47</v>
      </c>
      <c r="T144" t="s">
        <v>49</v>
      </c>
      <c r="U144">
        <v>2482</v>
      </c>
      <c r="W144">
        <v>46</v>
      </c>
      <c r="X144">
        <v>60</v>
      </c>
      <c r="AA144">
        <v>1.24031007751938E-2</v>
      </c>
      <c r="AB144">
        <v>2.4018501371828899E-2</v>
      </c>
      <c r="AC144">
        <v>4.2635658914729098E-3</v>
      </c>
      <c r="AD144">
        <v>7.8864302129363403E-3</v>
      </c>
      <c r="AE144" t="s">
        <v>71</v>
      </c>
      <c r="AF144" t="s">
        <v>61</v>
      </c>
      <c r="AG144" t="str">
        <f t="shared" si="4"/>
        <v>mean</v>
      </c>
      <c r="AH144" t="s">
        <v>213</v>
      </c>
      <c r="AS144" t="s">
        <v>849</v>
      </c>
      <c r="AT144" t="s">
        <v>849</v>
      </c>
      <c r="AV144" t="s">
        <v>1803</v>
      </c>
      <c r="AW144" t="s">
        <v>1804</v>
      </c>
      <c r="AX144" t="s">
        <v>1805</v>
      </c>
      <c r="AY144" t="s">
        <v>1806</v>
      </c>
      <c r="AZ144" t="s">
        <v>76</v>
      </c>
    </row>
    <row r="145" spans="1:52" x14ac:dyDescent="0.2">
      <c r="A145" t="s">
        <v>431</v>
      </c>
      <c r="B145" t="s">
        <v>432</v>
      </c>
      <c r="D145">
        <v>2004</v>
      </c>
      <c r="E145" t="s">
        <v>430</v>
      </c>
      <c r="F145" t="s">
        <v>2302</v>
      </c>
      <c r="G145" t="s">
        <v>939</v>
      </c>
      <c r="H145" t="s">
        <v>413</v>
      </c>
      <c r="I145" t="s">
        <v>433</v>
      </c>
      <c r="J145" t="s">
        <v>31</v>
      </c>
      <c r="K145" t="s">
        <v>35</v>
      </c>
      <c r="L145" t="s">
        <v>12</v>
      </c>
      <c r="O145" s="18" t="s">
        <v>76</v>
      </c>
      <c r="P145" s="18" t="s">
        <v>27</v>
      </c>
      <c r="Q145" t="s">
        <v>37</v>
      </c>
      <c r="R145" t="s">
        <v>40</v>
      </c>
      <c r="S145" t="s">
        <v>47</v>
      </c>
      <c r="T145" t="s">
        <v>49</v>
      </c>
      <c r="U145">
        <v>2482</v>
      </c>
      <c r="W145">
        <v>60</v>
      </c>
      <c r="X145">
        <v>60</v>
      </c>
      <c r="AA145">
        <v>1.46511627906977</v>
      </c>
      <c r="AB145">
        <v>1.8374153549449099</v>
      </c>
      <c r="AC145">
        <v>1.01860465116279</v>
      </c>
      <c r="AD145">
        <v>1.94549861111815</v>
      </c>
      <c r="AE145" t="s">
        <v>71</v>
      </c>
      <c r="AF145" t="s">
        <v>61</v>
      </c>
      <c r="AG145" t="str">
        <f t="shared" si="4"/>
        <v>mean</v>
      </c>
      <c r="AH145" t="s">
        <v>213</v>
      </c>
      <c r="AS145" t="s">
        <v>849</v>
      </c>
      <c r="AT145" t="s">
        <v>849</v>
      </c>
      <c r="AV145" t="s">
        <v>1803</v>
      </c>
      <c r="AW145" t="s">
        <v>1804</v>
      </c>
      <c r="AX145" t="s">
        <v>1805</v>
      </c>
      <c r="AY145" t="s">
        <v>1806</v>
      </c>
      <c r="AZ145" t="s">
        <v>76</v>
      </c>
    </row>
    <row r="146" spans="1:52" x14ac:dyDescent="0.2">
      <c r="A146" t="s">
        <v>431</v>
      </c>
      <c r="B146" t="s">
        <v>432</v>
      </c>
      <c r="D146">
        <v>2004</v>
      </c>
      <c r="E146" t="s">
        <v>430</v>
      </c>
      <c r="F146" t="s">
        <v>2302</v>
      </c>
      <c r="G146" t="s">
        <v>940</v>
      </c>
      <c r="H146" t="s">
        <v>414</v>
      </c>
      <c r="I146" t="s">
        <v>433</v>
      </c>
      <c r="J146" t="s">
        <v>31</v>
      </c>
      <c r="K146" t="s">
        <v>35</v>
      </c>
      <c r="L146" t="s">
        <v>12</v>
      </c>
      <c r="O146" s="18" t="s">
        <v>76</v>
      </c>
      <c r="P146" s="18" t="s">
        <v>27</v>
      </c>
      <c r="Q146" t="s">
        <v>37</v>
      </c>
      <c r="R146" t="s">
        <v>40</v>
      </c>
      <c r="S146" t="s">
        <v>47</v>
      </c>
      <c r="T146" t="s">
        <v>49</v>
      </c>
      <c r="U146">
        <v>2482</v>
      </c>
      <c r="W146">
        <v>46</v>
      </c>
      <c r="X146">
        <v>60</v>
      </c>
      <c r="AA146">
        <v>1.46511627906977</v>
      </c>
      <c r="AB146">
        <v>1.8374153549449099</v>
      </c>
      <c r="AC146">
        <v>0.334883720930233</v>
      </c>
      <c r="AD146">
        <v>1.3249202757733101</v>
      </c>
      <c r="AE146" t="s">
        <v>71</v>
      </c>
      <c r="AF146" t="s">
        <v>61</v>
      </c>
      <c r="AG146" t="str">
        <f t="shared" si="4"/>
        <v>mean</v>
      </c>
      <c r="AH146" t="s">
        <v>213</v>
      </c>
      <c r="AS146" t="s">
        <v>849</v>
      </c>
      <c r="AT146" t="s">
        <v>849</v>
      </c>
      <c r="AV146" t="s">
        <v>1803</v>
      </c>
      <c r="AW146" t="s">
        <v>1804</v>
      </c>
      <c r="AX146" t="s">
        <v>1805</v>
      </c>
      <c r="AY146" t="s">
        <v>1806</v>
      </c>
      <c r="AZ146" t="s">
        <v>76</v>
      </c>
    </row>
    <row r="147" spans="1:52" x14ac:dyDescent="0.2">
      <c r="A147" t="s">
        <v>431</v>
      </c>
      <c r="B147" t="s">
        <v>432</v>
      </c>
      <c r="D147">
        <v>2004</v>
      </c>
      <c r="E147" t="s">
        <v>430</v>
      </c>
      <c r="F147" t="s">
        <v>2302</v>
      </c>
      <c r="G147" t="s">
        <v>939</v>
      </c>
      <c r="H147" t="s">
        <v>420</v>
      </c>
      <c r="I147" t="s">
        <v>433</v>
      </c>
      <c r="J147" t="s">
        <v>31</v>
      </c>
      <c r="K147" t="s">
        <v>35</v>
      </c>
      <c r="L147" t="s">
        <v>12</v>
      </c>
      <c r="O147" s="18" t="s">
        <v>76</v>
      </c>
      <c r="P147" s="18" t="s">
        <v>27</v>
      </c>
      <c r="Q147" t="s">
        <v>38</v>
      </c>
      <c r="R147" t="s">
        <v>43</v>
      </c>
      <c r="S147" t="s">
        <v>47</v>
      </c>
      <c r="T147" t="s">
        <v>49</v>
      </c>
      <c r="U147">
        <v>2482</v>
      </c>
      <c r="W147">
        <v>60</v>
      </c>
      <c r="X147">
        <v>60</v>
      </c>
      <c r="AA147">
        <v>104.318181818182</v>
      </c>
      <c r="AB147">
        <v>24.939665486941699</v>
      </c>
      <c r="AC147">
        <v>105.265151515151</v>
      </c>
      <c r="AD147">
        <v>22.005587194360299</v>
      </c>
      <c r="AE147" t="s">
        <v>71</v>
      </c>
      <c r="AF147" t="s">
        <v>61</v>
      </c>
      <c r="AG147" t="str">
        <f t="shared" si="4"/>
        <v>mean</v>
      </c>
      <c r="AH147" t="s">
        <v>213</v>
      </c>
      <c r="AS147" t="s">
        <v>849</v>
      </c>
      <c r="AT147" t="s">
        <v>849</v>
      </c>
      <c r="AV147" t="s">
        <v>1803</v>
      </c>
      <c r="AW147" t="s">
        <v>1804</v>
      </c>
      <c r="AX147" t="s">
        <v>1805</v>
      </c>
      <c r="AY147" t="s">
        <v>1806</v>
      </c>
      <c r="AZ147" t="s">
        <v>76</v>
      </c>
    </row>
    <row r="148" spans="1:52" x14ac:dyDescent="0.2">
      <c r="A148" t="s">
        <v>431</v>
      </c>
      <c r="B148" t="s">
        <v>432</v>
      </c>
      <c r="D148">
        <v>2004</v>
      </c>
      <c r="E148" t="s">
        <v>430</v>
      </c>
      <c r="F148" t="s">
        <v>2302</v>
      </c>
      <c r="G148" t="s">
        <v>940</v>
      </c>
      <c r="H148" t="s">
        <v>429</v>
      </c>
      <c r="I148" t="s">
        <v>433</v>
      </c>
      <c r="J148" t="s">
        <v>31</v>
      </c>
      <c r="K148" t="s">
        <v>35</v>
      </c>
      <c r="L148" t="s">
        <v>12</v>
      </c>
      <c r="O148" s="18" t="s">
        <v>76</v>
      </c>
      <c r="P148" s="18" t="s">
        <v>27</v>
      </c>
      <c r="Q148" t="s">
        <v>38</v>
      </c>
      <c r="R148" t="s">
        <v>43</v>
      </c>
      <c r="S148" t="s">
        <v>47</v>
      </c>
      <c r="T148" t="s">
        <v>49</v>
      </c>
      <c r="U148">
        <v>2482</v>
      </c>
      <c r="W148">
        <v>46</v>
      </c>
      <c r="X148">
        <v>60</v>
      </c>
      <c r="AA148">
        <v>104.318181818182</v>
      </c>
      <c r="AB148">
        <v>24.939665486941699</v>
      </c>
      <c r="AC148">
        <v>87.462121212121104</v>
      </c>
      <c r="AD148">
        <v>17.983450712832202</v>
      </c>
      <c r="AE148" t="s">
        <v>71</v>
      </c>
      <c r="AF148" t="s">
        <v>61</v>
      </c>
      <c r="AG148" t="str">
        <f t="shared" si="4"/>
        <v>mean</v>
      </c>
      <c r="AH148" t="s">
        <v>213</v>
      </c>
      <c r="AK148" s="7"/>
      <c r="AS148" t="s">
        <v>849</v>
      </c>
      <c r="AT148" t="s">
        <v>849</v>
      </c>
      <c r="AV148" t="s">
        <v>1803</v>
      </c>
      <c r="AW148" t="s">
        <v>1804</v>
      </c>
      <c r="AX148" t="s">
        <v>1805</v>
      </c>
      <c r="AY148" t="s">
        <v>1806</v>
      </c>
      <c r="AZ148" t="s">
        <v>76</v>
      </c>
    </row>
    <row r="149" spans="1:52" x14ac:dyDescent="0.2">
      <c r="A149" t="s">
        <v>434</v>
      </c>
      <c r="B149" t="s">
        <v>435</v>
      </c>
      <c r="C149" t="s">
        <v>436</v>
      </c>
      <c r="D149">
        <v>2010</v>
      </c>
      <c r="E149" t="s">
        <v>437</v>
      </c>
      <c r="F149" t="s">
        <v>438</v>
      </c>
      <c r="G149" t="s">
        <v>941</v>
      </c>
      <c r="H149" t="s">
        <v>439</v>
      </c>
      <c r="I149" t="s">
        <v>440</v>
      </c>
      <c r="J149" t="s">
        <v>31</v>
      </c>
      <c r="K149" t="s">
        <v>34</v>
      </c>
      <c r="O149" s="18" t="s">
        <v>21</v>
      </c>
      <c r="P149" s="18" t="s">
        <v>78</v>
      </c>
      <c r="Q149" t="s">
        <v>37</v>
      </c>
      <c r="R149" t="s">
        <v>40</v>
      </c>
      <c r="S149" t="s">
        <v>47</v>
      </c>
      <c r="T149" t="s">
        <v>51</v>
      </c>
      <c r="U149">
        <v>833</v>
      </c>
      <c r="AG149" t="s">
        <v>80</v>
      </c>
      <c r="AH149" t="s">
        <v>214</v>
      </c>
      <c r="AN149">
        <v>30</v>
      </c>
      <c r="AP149">
        <v>0.21</v>
      </c>
      <c r="AQ149">
        <v>1</v>
      </c>
      <c r="AS149" t="s">
        <v>849</v>
      </c>
      <c r="AT149" t="s">
        <v>849</v>
      </c>
      <c r="AU149" t="s">
        <v>2269</v>
      </c>
      <c r="AV149" t="s">
        <v>1803</v>
      </c>
      <c r="AW149" t="s">
        <v>1815</v>
      </c>
      <c r="AX149" t="s">
        <v>1805</v>
      </c>
      <c r="AY149" t="s">
        <v>1806</v>
      </c>
      <c r="AZ149" t="s">
        <v>76</v>
      </c>
    </row>
    <row r="150" spans="1:52" x14ac:dyDescent="0.2">
      <c r="A150" t="s">
        <v>441</v>
      </c>
      <c r="B150" t="s">
        <v>442</v>
      </c>
      <c r="C150" t="s">
        <v>443</v>
      </c>
      <c r="D150">
        <v>2008</v>
      </c>
      <c r="E150" t="s">
        <v>444</v>
      </c>
      <c r="F150" t="s">
        <v>445</v>
      </c>
      <c r="G150" t="s">
        <v>942</v>
      </c>
      <c r="H150" t="s">
        <v>446</v>
      </c>
      <c r="I150" t="s">
        <v>1766</v>
      </c>
      <c r="J150" t="s">
        <v>31</v>
      </c>
      <c r="K150" t="s">
        <v>35</v>
      </c>
      <c r="L150" t="s">
        <v>12</v>
      </c>
      <c r="O150" s="18" t="s">
        <v>76</v>
      </c>
      <c r="P150" s="18" t="s">
        <v>27</v>
      </c>
      <c r="Q150" t="s">
        <v>38</v>
      </c>
      <c r="R150" t="s">
        <v>41</v>
      </c>
      <c r="S150" t="s">
        <v>47</v>
      </c>
      <c r="T150" t="s">
        <v>51</v>
      </c>
      <c r="U150">
        <v>812</v>
      </c>
      <c r="W150">
        <v>77</v>
      </c>
      <c r="X150">
        <v>72</v>
      </c>
      <c r="Y150">
        <v>45</v>
      </c>
      <c r="Z150">
        <v>38</v>
      </c>
      <c r="AG150" s="7" t="s">
        <v>1790</v>
      </c>
      <c r="AH150" t="s">
        <v>213</v>
      </c>
      <c r="AS150" t="s">
        <v>849</v>
      </c>
      <c r="AT150" t="s">
        <v>849</v>
      </c>
      <c r="AV150" t="s">
        <v>1803</v>
      </c>
      <c r="AW150" t="s">
        <v>1815</v>
      </c>
      <c r="AX150" t="s">
        <v>1805</v>
      </c>
      <c r="AY150" t="s">
        <v>1806</v>
      </c>
      <c r="AZ150" t="s">
        <v>76</v>
      </c>
    </row>
    <row r="151" spans="1:52" x14ac:dyDescent="0.2">
      <c r="A151" t="s">
        <v>441</v>
      </c>
      <c r="B151" t="s">
        <v>442</v>
      </c>
      <c r="C151" t="s">
        <v>443</v>
      </c>
      <c r="D151">
        <v>2008</v>
      </c>
      <c r="E151" t="s">
        <v>444</v>
      </c>
      <c r="F151" t="s">
        <v>445</v>
      </c>
      <c r="G151" t="s">
        <v>943</v>
      </c>
      <c r="H151" t="s">
        <v>447</v>
      </c>
      <c r="I151" t="s">
        <v>1766</v>
      </c>
      <c r="J151" t="s">
        <v>31</v>
      </c>
      <c r="K151" t="s">
        <v>35</v>
      </c>
      <c r="L151" t="s">
        <v>12</v>
      </c>
      <c r="O151" s="18" t="s">
        <v>76</v>
      </c>
      <c r="P151" s="18" t="s">
        <v>27</v>
      </c>
      <c r="Q151" t="s">
        <v>37</v>
      </c>
      <c r="R151" t="s">
        <v>40</v>
      </c>
      <c r="S151" t="s">
        <v>47</v>
      </c>
      <c r="T151" t="s">
        <v>49</v>
      </c>
      <c r="U151">
        <v>813</v>
      </c>
      <c r="W151">
        <v>30</v>
      </c>
      <c r="X151">
        <v>36</v>
      </c>
      <c r="AA151">
        <v>7.9687499999999995E-4</v>
      </c>
      <c r="AB151">
        <v>2.2593555497088099E-4</v>
      </c>
      <c r="AC151">
        <v>7.9874999999999998E-4</v>
      </c>
      <c r="AD151">
        <v>2.8124999999999998E-4</v>
      </c>
      <c r="AE151" t="s">
        <v>71</v>
      </c>
      <c r="AF151" t="s">
        <v>61</v>
      </c>
      <c r="AG151" t="str">
        <f>IF(AE151="mean", "mean", "")</f>
        <v>mean</v>
      </c>
      <c r="AH151" t="s">
        <v>213</v>
      </c>
      <c r="AS151" t="s">
        <v>849</v>
      </c>
      <c r="AT151" t="s">
        <v>849</v>
      </c>
      <c r="AV151" t="s">
        <v>1803</v>
      </c>
      <c r="AW151" t="s">
        <v>1815</v>
      </c>
      <c r="AX151" t="s">
        <v>1805</v>
      </c>
      <c r="AY151" t="s">
        <v>1806</v>
      </c>
      <c r="AZ151" t="s">
        <v>76</v>
      </c>
    </row>
    <row r="152" spans="1:52" x14ac:dyDescent="0.2">
      <c r="A152" t="s">
        <v>441</v>
      </c>
      <c r="B152" t="s">
        <v>442</v>
      </c>
      <c r="C152" t="s">
        <v>443</v>
      </c>
      <c r="D152">
        <v>2008</v>
      </c>
      <c r="E152" t="s">
        <v>444</v>
      </c>
      <c r="F152" t="s">
        <v>445</v>
      </c>
      <c r="G152" t="s">
        <v>943</v>
      </c>
      <c r="H152" t="s">
        <v>448</v>
      </c>
      <c r="I152" t="s">
        <v>1766</v>
      </c>
      <c r="J152" t="s">
        <v>31</v>
      </c>
      <c r="K152" t="s">
        <v>35</v>
      </c>
      <c r="L152" t="s">
        <v>12</v>
      </c>
      <c r="O152" s="18" t="s">
        <v>76</v>
      </c>
      <c r="P152" s="18" t="s">
        <v>27</v>
      </c>
      <c r="Q152" t="s">
        <v>37</v>
      </c>
      <c r="R152" t="s">
        <v>39</v>
      </c>
      <c r="S152" t="s">
        <v>47</v>
      </c>
      <c r="T152" t="s">
        <v>49</v>
      </c>
      <c r="U152">
        <v>813</v>
      </c>
      <c r="W152">
        <v>32</v>
      </c>
      <c r="X152">
        <v>31</v>
      </c>
      <c r="AA152">
        <v>1.8900000000000001E-4</v>
      </c>
      <c r="AB152" s="11">
        <v>7.6367532368147202E-5</v>
      </c>
      <c r="AC152">
        <v>1.785E-4</v>
      </c>
      <c r="AD152" s="11">
        <v>8.3516465442450198E-5</v>
      </c>
      <c r="AE152" t="s">
        <v>71</v>
      </c>
      <c r="AF152" t="s">
        <v>61</v>
      </c>
      <c r="AG152" t="str">
        <f>IF(AE152="mean", "mean", "")</f>
        <v>mean</v>
      </c>
      <c r="AH152" t="s">
        <v>213</v>
      </c>
      <c r="AS152" t="s">
        <v>849</v>
      </c>
      <c r="AT152" t="s">
        <v>849</v>
      </c>
      <c r="AV152" t="s">
        <v>1803</v>
      </c>
      <c r="AW152" t="s">
        <v>1815</v>
      </c>
      <c r="AX152" t="s">
        <v>1805</v>
      </c>
      <c r="AY152" t="s">
        <v>1806</v>
      </c>
      <c r="AZ152" t="s">
        <v>76</v>
      </c>
    </row>
    <row r="153" spans="1:52" x14ac:dyDescent="0.2">
      <c r="A153" t="s">
        <v>441</v>
      </c>
      <c r="B153" t="s">
        <v>442</v>
      </c>
      <c r="C153" t="s">
        <v>443</v>
      </c>
      <c r="D153">
        <v>2008</v>
      </c>
      <c r="E153" t="s">
        <v>444</v>
      </c>
      <c r="F153" t="s">
        <v>445</v>
      </c>
      <c r="G153" t="s">
        <v>943</v>
      </c>
      <c r="H153" t="s">
        <v>449</v>
      </c>
      <c r="I153" t="s">
        <v>1766</v>
      </c>
      <c r="J153" t="s">
        <v>31</v>
      </c>
      <c r="K153" t="s">
        <v>35</v>
      </c>
      <c r="L153" t="s">
        <v>12</v>
      </c>
      <c r="O153" s="18" t="s">
        <v>76</v>
      </c>
      <c r="P153" s="18" t="s">
        <v>27</v>
      </c>
      <c r="Q153" t="s">
        <v>38</v>
      </c>
      <c r="R153" t="s">
        <v>43</v>
      </c>
      <c r="S153" t="s">
        <v>47</v>
      </c>
      <c r="T153" t="s">
        <v>49</v>
      </c>
      <c r="U153">
        <v>813</v>
      </c>
      <c r="W153">
        <v>32</v>
      </c>
      <c r="X153">
        <v>36</v>
      </c>
      <c r="AA153">
        <v>223.65217391304299</v>
      </c>
      <c r="AB153">
        <v>7.8704059123372598</v>
      </c>
      <c r="AC153">
        <v>224.173913043478</v>
      </c>
      <c r="AD153">
        <v>10.956521739130499</v>
      </c>
      <c r="AE153" t="s">
        <v>71</v>
      </c>
      <c r="AF153" t="s">
        <v>61</v>
      </c>
      <c r="AG153" t="str">
        <f>IF(AE153="mean", "mean", "")</f>
        <v>mean</v>
      </c>
      <c r="AH153" t="s">
        <v>213</v>
      </c>
      <c r="AS153" t="s">
        <v>849</v>
      </c>
      <c r="AT153" t="s">
        <v>849</v>
      </c>
      <c r="AV153" t="s">
        <v>1803</v>
      </c>
      <c r="AW153" t="s">
        <v>1815</v>
      </c>
      <c r="AX153" t="s">
        <v>1805</v>
      </c>
      <c r="AY153" t="s">
        <v>1806</v>
      </c>
      <c r="AZ153" t="s">
        <v>76</v>
      </c>
    </row>
    <row r="154" spans="1:52" x14ac:dyDescent="0.2">
      <c r="A154" t="s">
        <v>441</v>
      </c>
      <c r="B154" t="s">
        <v>442</v>
      </c>
      <c r="C154" t="s">
        <v>443</v>
      </c>
      <c r="D154">
        <v>2008</v>
      </c>
      <c r="E154" t="s">
        <v>444</v>
      </c>
      <c r="F154" t="s">
        <v>445</v>
      </c>
      <c r="G154" t="s">
        <v>944</v>
      </c>
      <c r="H154" t="s">
        <v>450</v>
      </c>
      <c r="I154" t="s">
        <v>1766</v>
      </c>
      <c r="J154" t="s">
        <v>31</v>
      </c>
      <c r="K154" t="s">
        <v>34</v>
      </c>
      <c r="O154" s="18" t="s">
        <v>76</v>
      </c>
      <c r="P154" s="18" t="s">
        <v>27</v>
      </c>
      <c r="Q154" t="s">
        <v>37</v>
      </c>
      <c r="R154" t="s">
        <v>40</v>
      </c>
      <c r="S154" t="s">
        <v>47</v>
      </c>
      <c r="T154" t="s">
        <v>49</v>
      </c>
      <c r="U154">
        <v>814</v>
      </c>
      <c r="AG154" t="s">
        <v>4</v>
      </c>
      <c r="AH154" t="s">
        <v>214</v>
      </c>
      <c r="AN154">
        <v>58</v>
      </c>
      <c r="AO154">
        <v>-0.10298</v>
      </c>
      <c r="AS154" t="s">
        <v>849</v>
      </c>
      <c r="AT154" t="s">
        <v>849</v>
      </c>
      <c r="AV154" t="s">
        <v>1803</v>
      </c>
      <c r="AW154" t="s">
        <v>1815</v>
      </c>
      <c r="AX154" t="s">
        <v>1805</v>
      </c>
      <c r="AY154" t="s">
        <v>1806</v>
      </c>
      <c r="AZ154" t="s">
        <v>76</v>
      </c>
    </row>
    <row r="155" spans="1:52" x14ac:dyDescent="0.2">
      <c r="A155" t="s">
        <v>441</v>
      </c>
      <c r="B155" t="s">
        <v>442</v>
      </c>
      <c r="C155" t="s">
        <v>443</v>
      </c>
      <c r="D155">
        <v>2008</v>
      </c>
      <c r="E155" t="s">
        <v>444</v>
      </c>
      <c r="F155" t="s">
        <v>445</v>
      </c>
      <c r="G155" t="s">
        <v>944</v>
      </c>
      <c r="H155" t="s">
        <v>451</v>
      </c>
      <c r="I155" t="s">
        <v>1766</v>
      </c>
      <c r="J155" t="s">
        <v>31</v>
      </c>
      <c r="K155" t="s">
        <v>34</v>
      </c>
      <c r="O155" s="18" t="s">
        <v>76</v>
      </c>
      <c r="P155" s="18" t="s">
        <v>27</v>
      </c>
      <c r="Q155" t="s">
        <v>37</v>
      </c>
      <c r="R155" t="s">
        <v>39</v>
      </c>
      <c r="S155" t="s">
        <v>47</v>
      </c>
      <c r="T155" t="s">
        <v>49</v>
      </c>
      <c r="U155">
        <v>814</v>
      </c>
      <c r="AG155" t="s">
        <v>4</v>
      </c>
      <c r="AH155" t="s">
        <v>214</v>
      </c>
      <c r="AN155">
        <v>57</v>
      </c>
      <c r="AO155">
        <v>0.20337218338135701</v>
      </c>
      <c r="AS155" t="s">
        <v>849</v>
      </c>
      <c r="AT155" t="s">
        <v>849</v>
      </c>
      <c r="AV155" t="s">
        <v>1803</v>
      </c>
      <c r="AW155" t="s">
        <v>1815</v>
      </c>
      <c r="AX155" t="s">
        <v>1805</v>
      </c>
      <c r="AY155" t="s">
        <v>1806</v>
      </c>
      <c r="AZ155" t="s">
        <v>76</v>
      </c>
    </row>
    <row r="156" spans="1:52" x14ac:dyDescent="0.2">
      <c r="A156" t="s">
        <v>441</v>
      </c>
      <c r="B156" t="s">
        <v>442</v>
      </c>
      <c r="C156" t="s">
        <v>443</v>
      </c>
      <c r="D156">
        <v>2008</v>
      </c>
      <c r="E156" t="s">
        <v>444</v>
      </c>
      <c r="F156" t="s">
        <v>445</v>
      </c>
      <c r="G156" t="s">
        <v>944</v>
      </c>
      <c r="H156" t="s">
        <v>452</v>
      </c>
      <c r="I156" t="s">
        <v>1766</v>
      </c>
      <c r="J156" t="s">
        <v>31</v>
      </c>
      <c r="K156" t="s">
        <v>34</v>
      </c>
      <c r="O156" s="18" t="s">
        <v>76</v>
      </c>
      <c r="P156" s="18" t="s">
        <v>27</v>
      </c>
      <c r="Q156" t="s">
        <v>38</v>
      </c>
      <c r="R156" t="s">
        <v>43</v>
      </c>
      <c r="S156" t="s">
        <v>47</v>
      </c>
      <c r="T156" t="s">
        <v>49</v>
      </c>
      <c r="U156">
        <v>814</v>
      </c>
      <c r="AG156" t="s">
        <v>4</v>
      </c>
      <c r="AH156" t="s">
        <v>214</v>
      </c>
      <c r="AN156">
        <v>58</v>
      </c>
      <c r="AO156">
        <v>0.17909756276057601</v>
      </c>
      <c r="AS156" t="s">
        <v>849</v>
      </c>
      <c r="AT156" t="s">
        <v>849</v>
      </c>
      <c r="AV156" t="s">
        <v>1803</v>
      </c>
      <c r="AW156" t="s">
        <v>1815</v>
      </c>
      <c r="AX156" t="s">
        <v>1805</v>
      </c>
      <c r="AY156" t="s">
        <v>1806</v>
      </c>
      <c r="AZ156" t="s">
        <v>76</v>
      </c>
    </row>
    <row r="157" spans="1:52" x14ac:dyDescent="0.2">
      <c r="A157" t="s">
        <v>453</v>
      </c>
      <c r="B157" t="s">
        <v>454</v>
      </c>
      <c r="D157">
        <v>2017</v>
      </c>
      <c r="E157" t="s">
        <v>455</v>
      </c>
      <c r="F157" t="s">
        <v>456</v>
      </c>
      <c r="G157" t="s">
        <v>945</v>
      </c>
      <c r="H157" t="s">
        <v>457</v>
      </c>
      <c r="I157" t="s">
        <v>1157</v>
      </c>
      <c r="J157" t="s">
        <v>82</v>
      </c>
      <c r="K157" t="s">
        <v>34</v>
      </c>
      <c r="O157" s="18" t="s">
        <v>76</v>
      </c>
      <c r="P157" s="18" t="s">
        <v>27</v>
      </c>
      <c r="Q157" t="s">
        <v>37</v>
      </c>
      <c r="R157" t="s">
        <v>39</v>
      </c>
      <c r="S157" t="s">
        <v>47</v>
      </c>
      <c r="T157" t="s">
        <v>50</v>
      </c>
      <c r="U157">
        <v>167</v>
      </c>
      <c r="V157">
        <v>1</v>
      </c>
      <c r="W157">
        <v>90</v>
      </c>
      <c r="X157">
        <v>90</v>
      </c>
      <c r="AA157">
        <v>4.51</v>
      </c>
      <c r="AB157">
        <v>2.8</v>
      </c>
      <c r="AC157">
        <v>8.98</v>
      </c>
      <c r="AD157">
        <v>0.8</v>
      </c>
      <c r="AE157" t="s">
        <v>71</v>
      </c>
      <c r="AF157" t="s">
        <v>61</v>
      </c>
      <c r="AG157" t="str">
        <f>IF(AE157="mean", "mean", "")</f>
        <v>mean</v>
      </c>
      <c r="AH157" t="s">
        <v>213</v>
      </c>
      <c r="AS157" t="s">
        <v>849</v>
      </c>
      <c r="AT157" t="s">
        <v>849</v>
      </c>
      <c r="AV157" t="s">
        <v>1810</v>
      </c>
      <c r="AW157" t="s">
        <v>1807</v>
      </c>
      <c r="AX157" t="s">
        <v>1808</v>
      </c>
      <c r="AY157" t="s">
        <v>1806</v>
      </c>
      <c r="AZ157" t="s">
        <v>76</v>
      </c>
    </row>
    <row r="158" spans="1:52" x14ac:dyDescent="0.2">
      <c r="A158" t="s">
        <v>464</v>
      </c>
      <c r="B158" t="s">
        <v>465</v>
      </c>
      <c r="C158" t="s">
        <v>466</v>
      </c>
      <c r="D158">
        <v>2016</v>
      </c>
      <c r="E158" t="s">
        <v>467</v>
      </c>
      <c r="F158" t="s">
        <v>468</v>
      </c>
      <c r="G158" t="s">
        <v>946</v>
      </c>
      <c r="H158" t="s">
        <v>458</v>
      </c>
      <c r="I158" t="s">
        <v>1161</v>
      </c>
      <c r="J158" t="s">
        <v>33</v>
      </c>
      <c r="K158" t="s">
        <v>35</v>
      </c>
      <c r="L158" t="s">
        <v>11</v>
      </c>
      <c r="M158" t="s">
        <v>15</v>
      </c>
      <c r="N158">
        <v>1</v>
      </c>
      <c r="O158" s="18" t="s">
        <v>20</v>
      </c>
      <c r="P158" s="18" t="s">
        <v>27</v>
      </c>
      <c r="S158" t="s">
        <v>47</v>
      </c>
      <c r="T158" t="s">
        <v>49</v>
      </c>
      <c r="U158">
        <v>100</v>
      </c>
      <c r="V158">
        <v>2</v>
      </c>
      <c r="W158">
        <v>20</v>
      </c>
      <c r="X158">
        <v>20</v>
      </c>
      <c r="Y158">
        <v>9.4</v>
      </c>
      <c r="Z158">
        <v>10.6</v>
      </c>
      <c r="AG158" s="7" t="s">
        <v>1790</v>
      </c>
      <c r="AH158" t="s">
        <v>213</v>
      </c>
      <c r="AS158" t="s">
        <v>849</v>
      </c>
      <c r="AT158" t="s">
        <v>849</v>
      </c>
      <c r="AV158" t="s">
        <v>1812</v>
      </c>
      <c r="AW158" t="s">
        <v>1807</v>
      </c>
      <c r="AX158" t="s">
        <v>1808</v>
      </c>
      <c r="AZ158" t="s">
        <v>1813</v>
      </c>
    </row>
    <row r="159" spans="1:52" x14ac:dyDescent="0.2">
      <c r="A159" t="s">
        <v>464</v>
      </c>
      <c r="B159" t="s">
        <v>465</v>
      </c>
      <c r="C159" t="s">
        <v>466</v>
      </c>
      <c r="D159">
        <v>2016</v>
      </c>
      <c r="E159" t="s">
        <v>467</v>
      </c>
      <c r="F159" t="s">
        <v>468</v>
      </c>
      <c r="G159" t="s">
        <v>947</v>
      </c>
      <c r="H159" t="s">
        <v>459</v>
      </c>
      <c r="I159" t="s">
        <v>1161</v>
      </c>
      <c r="J159" t="s">
        <v>33</v>
      </c>
      <c r="K159" t="s">
        <v>34</v>
      </c>
      <c r="O159" s="18" t="s">
        <v>20</v>
      </c>
      <c r="P159" s="18" t="s">
        <v>25</v>
      </c>
      <c r="Q159" t="s">
        <v>38</v>
      </c>
      <c r="R159" t="s">
        <v>43</v>
      </c>
      <c r="S159" t="s">
        <v>47</v>
      </c>
      <c r="T159" t="s">
        <v>49</v>
      </c>
      <c r="U159">
        <v>101</v>
      </c>
      <c r="V159">
        <v>6</v>
      </c>
      <c r="AG159" t="s">
        <v>4</v>
      </c>
      <c r="AH159" t="s">
        <v>214</v>
      </c>
      <c r="AN159">
        <v>21</v>
      </c>
      <c r="AO159">
        <v>0.46300000000000002</v>
      </c>
      <c r="AS159" t="s">
        <v>849</v>
      </c>
      <c r="AT159" t="s">
        <v>849</v>
      </c>
      <c r="AV159" t="s">
        <v>1812</v>
      </c>
      <c r="AW159" t="s">
        <v>1807</v>
      </c>
      <c r="AX159" t="s">
        <v>1808</v>
      </c>
      <c r="AZ159" t="s">
        <v>1813</v>
      </c>
    </row>
    <row r="160" spans="1:52" x14ac:dyDescent="0.2">
      <c r="A160" t="s">
        <v>464</v>
      </c>
      <c r="B160" t="s">
        <v>465</v>
      </c>
      <c r="C160" t="s">
        <v>466</v>
      </c>
      <c r="D160">
        <v>2016</v>
      </c>
      <c r="E160" t="s">
        <v>467</v>
      </c>
      <c r="F160" t="s">
        <v>468</v>
      </c>
      <c r="G160" t="s">
        <v>947</v>
      </c>
      <c r="H160" t="s">
        <v>460</v>
      </c>
      <c r="I160" t="s">
        <v>1161</v>
      </c>
      <c r="J160" t="s">
        <v>33</v>
      </c>
      <c r="K160" t="s">
        <v>35</v>
      </c>
      <c r="L160" t="s">
        <v>12</v>
      </c>
      <c r="O160" s="18" t="s">
        <v>20</v>
      </c>
      <c r="P160" s="19" t="s">
        <v>1042</v>
      </c>
      <c r="Q160" t="s">
        <v>38</v>
      </c>
      <c r="R160" t="s">
        <v>43</v>
      </c>
      <c r="S160" t="s">
        <v>47</v>
      </c>
      <c r="T160" t="s">
        <v>49</v>
      </c>
      <c r="U160">
        <v>101</v>
      </c>
      <c r="V160">
        <v>7</v>
      </c>
      <c r="W160">
        <v>16</v>
      </c>
      <c r="X160">
        <v>16</v>
      </c>
      <c r="AA160">
        <v>6.3086956521739099E-3</v>
      </c>
      <c r="AB160">
        <v>9.2173913043478199E-4</v>
      </c>
      <c r="AC160">
        <v>5.5956521739130398E-3</v>
      </c>
      <c r="AD160">
        <v>1.9130434782608699E-4</v>
      </c>
      <c r="AE160" t="s">
        <v>71</v>
      </c>
      <c r="AF160" t="s">
        <v>61</v>
      </c>
      <c r="AG160" t="str">
        <f>IF(AE160="mean", "mean", "")</f>
        <v>mean</v>
      </c>
      <c r="AH160" t="s">
        <v>213</v>
      </c>
      <c r="AS160" t="s">
        <v>849</v>
      </c>
      <c r="AT160" t="s">
        <v>849</v>
      </c>
      <c r="AV160" t="s">
        <v>1812</v>
      </c>
      <c r="AW160" t="s">
        <v>1807</v>
      </c>
      <c r="AX160" t="s">
        <v>1808</v>
      </c>
      <c r="AZ160" t="s">
        <v>1813</v>
      </c>
    </row>
    <row r="161" spans="1:52" x14ac:dyDescent="0.2">
      <c r="A161" t="s">
        <v>471</v>
      </c>
      <c r="B161" t="s">
        <v>472</v>
      </c>
      <c r="C161" t="s">
        <v>473</v>
      </c>
      <c r="D161">
        <v>2010</v>
      </c>
      <c r="E161" t="s">
        <v>469</v>
      </c>
      <c r="F161" t="s">
        <v>470</v>
      </c>
      <c r="G161" t="s">
        <v>948</v>
      </c>
      <c r="H161" t="s">
        <v>461</v>
      </c>
      <c r="I161" t="s">
        <v>474</v>
      </c>
      <c r="J161" t="s">
        <v>29</v>
      </c>
      <c r="K161" t="s">
        <v>34</v>
      </c>
      <c r="O161" s="18" t="s">
        <v>20</v>
      </c>
      <c r="P161" s="18" t="s">
        <v>25</v>
      </c>
      <c r="Q161" t="s">
        <v>37</v>
      </c>
      <c r="R161" t="s">
        <v>39</v>
      </c>
      <c r="S161" t="s">
        <v>47</v>
      </c>
      <c r="T161" t="s">
        <v>49</v>
      </c>
      <c r="U161">
        <v>1298</v>
      </c>
      <c r="V161">
        <v>3</v>
      </c>
      <c r="AG161" t="s">
        <v>4</v>
      </c>
      <c r="AH161" t="s">
        <v>214</v>
      </c>
      <c r="AN161">
        <v>22</v>
      </c>
      <c r="AO161">
        <v>-0.56594283000000001</v>
      </c>
      <c r="AS161" t="s">
        <v>849</v>
      </c>
      <c r="AT161" t="s">
        <v>849</v>
      </c>
      <c r="AV161" t="s">
        <v>1803</v>
      </c>
      <c r="AW161" t="s">
        <v>1815</v>
      </c>
      <c r="AX161" t="s">
        <v>25</v>
      </c>
      <c r="AY161" t="s">
        <v>1814</v>
      </c>
      <c r="AZ161" t="s">
        <v>76</v>
      </c>
    </row>
    <row r="162" spans="1:52" x14ac:dyDescent="0.2">
      <c r="A162" t="s">
        <v>471</v>
      </c>
      <c r="B162" t="s">
        <v>472</v>
      </c>
      <c r="C162" t="s">
        <v>473</v>
      </c>
      <c r="D162">
        <v>2010</v>
      </c>
      <c r="E162" t="s">
        <v>469</v>
      </c>
      <c r="F162" t="s">
        <v>483</v>
      </c>
      <c r="G162" t="s">
        <v>949</v>
      </c>
      <c r="H162" t="s">
        <v>462</v>
      </c>
      <c r="I162" t="s">
        <v>474</v>
      </c>
      <c r="J162" t="s">
        <v>29</v>
      </c>
      <c r="K162" t="s">
        <v>34</v>
      </c>
      <c r="O162" s="18" t="s">
        <v>20</v>
      </c>
      <c r="P162" s="18" t="s">
        <v>25</v>
      </c>
      <c r="Q162" t="s">
        <v>37</v>
      </c>
      <c r="R162" t="s">
        <v>39</v>
      </c>
      <c r="S162" t="s">
        <v>47</v>
      </c>
      <c r="T162" t="s">
        <v>49</v>
      </c>
      <c r="U162">
        <v>1298</v>
      </c>
      <c r="V162">
        <v>3</v>
      </c>
      <c r="AG162" t="s">
        <v>4</v>
      </c>
      <c r="AH162" t="s">
        <v>214</v>
      </c>
      <c r="AN162">
        <v>24</v>
      </c>
      <c r="AO162">
        <v>-8.3438189999999995E-2</v>
      </c>
      <c r="AS162" t="s">
        <v>849</v>
      </c>
      <c r="AT162" t="s">
        <v>849</v>
      </c>
      <c r="AV162" t="s">
        <v>1803</v>
      </c>
      <c r="AW162" t="s">
        <v>1815</v>
      </c>
      <c r="AX162" t="s">
        <v>25</v>
      </c>
      <c r="AY162" t="s">
        <v>1814</v>
      </c>
      <c r="AZ162" t="s">
        <v>76</v>
      </c>
    </row>
    <row r="163" spans="1:52" x14ac:dyDescent="0.2">
      <c r="A163" t="s">
        <v>471</v>
      </c>
      <c r="B163" t="s">
        <v>472</v>
      </c>
      <c r="C163" t="s">
        <v>473</v>
      </c>
      <c r="D163">
        <v>2010</v>
      </c>
      <c r="E163" t="s">
        <v>469</v>
      </c>
      <c r="F163" t="s">
        <v>484</v>
      </c>
      <c r="G163" t="s">
        <v>950</v>
      </c>
      <c r="H163" t="s">
        <v>463</v>
      </c>
      <c r="I163" t="s">
        <v>1767</v>
      </c>
      <c r="J163" t="s">
        <v>29</v>
      </c>
      <c r="K163" t="s">
        <v>34</v>
      </c>
      <c r="O163" s="18" t="s">
        <v>20</v>
      </c>
      <c r="P163" s="18" t="s">
        <v>25</v>
      </c>
      <c r="Q163" t="s">
        <v>37</v>
      </c>
      <c r="R163" t="s">
        <v>39</v>
      </c>
      <c r="S163" t="s">
        <v>47</v>
      </c>
      <c r="T163" t="s">
        <v>49</v>
      </c>
      <c r="U163">
        <v>1298</v>
      </c>
      <c r="V163">
        <v>3</v>
      </c>
      <c r="AG163" t="s">
        <v>4</v>
      </c>
      <c r="AH163" t="s">
        <v>214</v>
      </c>
      <c r="AN163">
        <v>11</v>
      </c>
      <c r="AO163">
        <v>-0.64793920985909104</v>
      </c>
      <c r="AS163" t="s">
        <v>849</v>
      </c>
      <c r="AT163" t="s">
        <v>849</v>
      </c>
      <c r="AV163" t="s">
        <v>1803</v>
      </c>
      <c r="AW163" t="s">
        <v>1815</v>
      </c>
      <c r="AX163" t="s">
        <v>25</v>
      </c>
      <c r="AY163" t="s">
        <v>1814</v>
      </c>
      <c r="AZ163" t="s">
        <v>76</v>
      </c>
    </row>
    <row r="164" spans="1:52" x14ac:dyDescent="0.2">
      <c r="A164" t="s">
        <v>471</v>
      </c>
      <c r="B164" t="s">
        <v>472</v>
      </c>
      <c r="C164" t="s">
        <v>473</v>
      </c>
      <c r="D164">
        <v>2010</v>
      </c>
      <c r="E164" t="s">
        <v>469</v>
      </c>
      <c r="F164" t="s">
        <v>485</v>
      </c>
      <c r="G164" t="s">
        <v>951</v>
      </c>
      <c r="H164" t="s">
        <v>475</v>
      </c>
      <c r="I164" t="s">
        <v>1767</v>
      </c>
      <c r="J164" t="s">
        <v>29</v>
      </c>
      <c r="K164" t="s">
        <v>34</v>
      </c>
      <c r="O164" s="18" t="s">
        <v>20</v>
      </c>
      <c r="P164" s="18" t="s">
        <v>25</v>
      </c>
      <c r="Q164" t="s">
        <v>37</v>
      </c>
      <c r="R164" t="s">
        <v>39</v>
      </c>
      <c r="S164" t="s">
        <v>47</v>
      </c>
      <c r="T164" t="s">
        <v>49</v>
      </c>
      <c r="U164">
        <v>1298</v>
      </c>
      <c r="V164">
        <v>3</v>
      </c>
      <c r="AG164" t="s">
        <v>4</v>
      </c>
      <c r="AH164" t="s">
        <v>214</v>
      </c>
      <c r="AN164">
        <v>37</v>
      </c>
      <c r="AO164">
        <v>-6.5448330271734301E-2</v>
      </c>
      <c r="AS164" t="s">
        <v>849</v>
      </c>
      <c r="AT164" t="s">
        <v>849</v>
      </c>
      <c r="AV164" t="s">
        <v>1803</v>
      </c>
      <c r="AW164" t="s">
        <v>1815</v>
      </c>
      <c r="AX164" t="s">
        <v>25</v>
      </c>
      <c r="AY164" t="s">
        <v>1814</v>
      </c>
      <c r="AZ164" t="s">
        <v>76</v>
      </c>
    </row>
    <row r="165" spans="1:52" x14ac:dyDescent="0.2">
      <c r="A165" t="s">
        <v>471</v>
      </c>
      <c r="B165" t="s">
        <v>472</v>
      </c>
      <c r="C165" t="s">
        <v>473</v>
      </c>
      <c r="D165">
        <v>2010</v>
      </c>
      <c r="E165" t="s">
        <v>469</v>
      </c>
      <c r="F165" t="s">
        <v>486</v>
      </c>
      <c r="G165" t="s">
        <v>952</v>
      </c>
      <c r="H165" t="s">
        <v>476</v>
      </c>
      <c r="I165" t="s">
        <v>1768</v>
      </c>
      <c r="J165" t="s">
        <v>29</v>
      </c>
      <c r="K165" t="s">
        <v>34</v>
      </c>
      <c r="O165" s="18" t="s">
        <v>20</v>
      </c>
      <c r="P165" s="18" t="s">
        <v>25</v>
      </c>
      <c r="Q165" t="s">
        <v>37</v>
      </c>
      <c r="R165" t="s">
        <v>39</v>
      </c>
      <c r="S165" t="s">
        <v>47</v>
      </c>
      <c r="T165" t="s">
        <v>49</v>
      </c>
      <c r="U165">
        <v>1298</v>
      </c>
      <c r="V165">
        <v>3</v>
      </c>
      <c r="AG165" t="s">
        <v>4</v>
      </c>
      <c r="AH165" t="s">
        <v>214</v>
      </c>
      <c r="AN165">
        <v>18</v>
      </c>
      <c r="AO165">
        <v>0.40579882301051101</v>
      </c>
      <c r="AS165" t="s">
        <v>849</v>
      </c>
      <c r="AT165" t="s">
        <v>849</v>
      </c>
      <c r="AV165" t="s">
        <v>1803</v>
      </c>
      <c r="AW165" t="s">
        <v>1815</v>
      </c>
      <c r="AX165" t="s">
        <v>25</v>
      </c>
      <c r="AY165" t="s">
        <v>1814</v>
      </c>
      <c r="AZ165" t="s">
        <v>76</v>
      </c>
    </row>
    <row r="166" spans="1:52" x14ac:dyDescent="0.2">
      <c r="A166" t="s">
        <v>471</v>
      </c>
      <c r="B166" t="s">
        <v>472</v>
      </c>
      <c r="C166" t="s">
        <v>473</v>
      </c>
      <c r="D166">
        <v>2010</v>
      </c>
      <c r="E166" t="s">
        <v>469</v>
      </c>
      <c r="F166" t="s">
        <v>487</v>
      </c>
      <c r="G166" t="s">
        <v>953</v>
      </c>
      <c r="H166" t="s">
        <v>477</v>
      </c>
      <c r="I166" t="s">
        <v>1768</v>
      </c>
      <c r="J166" t="s">
        <v>29</v>
      </c>
      <c r="K166" t="s">
        <v>34</v>
      </c>
      <c r="O166" s="18" t="s">
        <v>20</v>
      </c>
      <c r="P166" s="18" t="s">
        <v>25</v>
      </c>
      <c r="Q166" t="s">
        <v>37</v>
      </c>
      <c r="R166" t="s">
        <v>39</v>
      </c>
      <c r="S166" t="s">
        <v>47</v>
      </c>
      <c r="T166" t="s">
        <v>49</v>
      </c>
      <c r="U166">
        <v>1298</v>
      </c>
      <c r="V166">
        <v>3</v>
      </c>
      <c r="AG166" t="s">
        <v>4</v>
      </c>
      <c r="AH166" t="s">
        <v>214</v>
      </c>
      <c r="AN166">
        <v>21</v>
      </c>
      <c r="AO166">
        <v>-0.43474146721046802</v>
      </c>
      <c r="AS166" t="s">
        <v>849</v>
      </c>
      <c r="AT166" t="s">
        <v>849</v>
      </c>
      <c r="AV166" t="s">
        <v>1803</v>
      </c>
      <c r="AW166" t="s">
        <v>1815</v>
      </c>
      <c r="AX166" t="s">
        <v>25</v>
      </c>
      <c r="AY166" t="s">
        <v>1814</v>
      </c>
      <c r="AZ166" t="s">
        <v>76</v>
      </c>
    </row>
    <row r="167" spans="1:52" x14ac:dyDescent="0.2">
      <c r="A167" t="s">
        <v>471</v>
      </c>
      <c r="B167" t="s">
        <v>472</v>
      </c>
      <c r="C167" t="s">
        <v>473</v>
      </c>
      <c r="D167">
        <v>2010</v>
      </c>
      <c r="E167" t="s">
        <v>469</v>
      </c>
      <c r="F167" t="s">
        <v>488</v>
      </c>
      <c r="G167" t="s">
        <v>954</v>
      </c>
      <c r="H167" t="s">
        <v>478</v>
      </c>
      <c r="I167" t="s">
        <v>1133</v>
      </c>
      <c r="J167" t="s">
        <v>29</v>
      </c>
      <c r="K167" t="s">
        <v>34</v>
      </c>
      <c r="O167" s="18" t="s">
        <v>20</v>
      </c>
      <c r="P167" s="18" t="s">
        <v>25</v>
      </c>
      <c r="Q167" t="s">
        <v>37</v>
      </c>
      <c r="R167" t="s">
        <v>39</v>
      </c>
      <c r="S167" t="s">
        <v>47</v>
      </c>
      <c r="T167" t="s">
        <v>49</v>
      </c>
      <c r="U167">
        <v>1298</v>
      </c>
      <c r="V167">
        <v>3</v>
      </c>
      <c r="AG167" t="s">
        <v>4</v>
      </c>
      <c r="AH167" t="s">
        <v>214</v>
      </c>
      <c r="AN167">
        <v>11</v>
      </c>
      <c r="AO167">
        <v>0.44790643698219701</v>
      </c>
      <c r="AS167" t="s">
        <v>849</v>
      </c>
      <c r="AT167" t="s">
        <v>849</v>
      </c>
      <c r="AV167" t="s">
        <v>1803</v>
      </c>
      <c r="AW167" t="s">
        <v>1815</v>
      </c>
      <c r="AX167" t="s">
        <v>25</v>
      </c>
      <c r="AY167" t="s">
        <v>1814</v>
      </c>
      <c r="AZ167" t="s">
        <v>76</v>
      </c>
    </row>
    <row r="168" spans="1:52" x14ac:dyDescent="0.2">
      <c r="A168" t="s">
        <v>471</v>
      </c>
      <c r="B168" t="s">
        <v>472</v>
      </c>
      <c r="C168" t="s">
        <v>473</v>
      </c>
      <c r="D168">
        <v>2010</v>
      </c>
      <c r="E168" t="s">
        <v>469</v>
      </c>
      <c r="F168" t="s">
        <v>489</v>
      </c>
      <c r="G168" t="s">
        <v>955</v>
      </c>
      <c r="H168" t="s">
        <v>479</v>
      </c>
      <c r="I168" t="s">
        <v>1133</v>
      </c>
      <c r="J168" t="s">
        <v>29</v>
      </c>
      <c r="K168" t="s">
        <v>34</v>
      </c>
      <c r="O168" s="18" t="s">
        <v>20</v>
      </c>
      <c r="P168" s="18" t="s">
        <v>25</v>
      </c>
      <c r="Q168" t="s">
        <v>37</v>
      </c>
      <c r="R168" t="s">
        <v>39</v>
      </c>
      <c r="S168" t="s">
        <v>47</v>
      </c>
      <c r="T168" t="s">
        <v>49</v>
      </c>
      <c r="U168">
        <v>1298</v>
      </c>
      <c r="V168">
        <v>3</v>
      </c>
      <c r="AG168" t="s">
        <v>4</v>
      </c>
      <c r="AH168" t="s">
        <v>214</v>
      </c>
      <c r="AN168">
        <v>23</v>
      </c>
      <c r="AO168">
        <v>0.490425759318532</v>
      </c>
      <c r="AS168" t="s">
        <v>849</v>
      </c>
      <c r="AT168" t="s">
        <v>849</v>
      </c>
      <c r="AV168" t="s">
        <v>1803</v>
      </c>
      <c r="AW168" t="s">
        <v>1815</v>
      </c>
      <c r="AX168" t="s">
        <v>25</v>
      </c>
      <c r="AY168" t="s">
        <v>1814</v>
      </c>
      <c r="AZ168" t="s">
        <v>76</v>
      </c>
    </row>
    <row r="169" spans="1:52" x14ac:dyDescent="0.2">
      <c r="A169" t="s">
        <v>471</v>
      </c>
      <c r="B169" t="s">
        <v>472</v>
      </c>
      <c r="C169" t="s">
        <v>473</v>
      </c>
      <c r="D169">
        <v>2010</v>
      </c>
      <c r="E169" t="s">
        <v>469</v>
      </c>
      <c r="F169" t="s">
        <v>490</v>
      </c>
      <c r="G169" t="s">
        <v>956</v>
      </c>
      <c r="H169" t="s">
        <v>480</v>
      </c>
      <c r="I169" t="s">
        <v>1133</v>
      </c>
      <c r="J169" t="s">
        <v>29</v>
      </c>
      <c r="K169" t="s">
        <v>34</v>
      </c>
      <c r="O169" s="18" t="s">
        <v>20</v>
      </c>
      <c r="P169" s="18" t="s">
        <v>25</v>
      </c>
      <c r="Q169" t="s">
        <v>37</v>
      </c>
      <c r="R169" t="s">
        <v>39</v>
      </c>
      <c r="S169" t="s">
        <v>47</v>
      </c>
      <c r="T169" t="s">
        <v>49</v>
      </c>
      <c r="U169">
        <v>1298</v>
      </c>
      <c r="V169">
        <v>3</v>
      </c>
      <c r="AG169" t="s">
        <v>4</v>
      </c>
      <c r="AH169" t="s">
        <v>214</v>
      </c>
      <c r="AN169">
        <v>23</v>
      </c>
      <c r="AO169">
        <v>-0.19570654557537101</v>
      </c>
      <c r="AS169" t="s">
        <v>849</v>
      </c>
      <c r="AT169" t="s">
        <v>849</v>
      </c>
      <c r="AV169" t="s">
        <v>1803</v>
      </c>
      <c r="AW169" t="s">
        <v>1815</v>
      </c>
      <c r="AX169" t="s">
        <v>25</v>
      </c>
      <c r="AY169" t="s">
        <v>1814</v>
      </c>
      <c r="AZ169" t="s">
        <v>76</v>
      </c>
    </row>
    <row r="170" spans="1:52" x14ac:dyDescent="0.2">
      <c r="A170" t="s">
        <v>471</v>
      </c>
      <c r="B170" t="s">
        <v>472</v>
      </c>
      <c r="C170" t="s">
        <v>473</v>
      </c>
      <c r="D170">
        <v>2010</v>
      </c>
      <c r="E170" t="s">
        <v>469</v>
      </c>
      <c r="F170" t="s">
        <v>491</v>
      </c>
      <c r="G170" t="s">
        <v>957</v>
      </c>
      <c r="H170" t="s">
        <v>481</v>
      </c>
      <c r="I170" t="s">
        <v>1769</v>
      </c>
      <c r="J170" t="s">
        <v>29</v>
      </c>
      <c r="K170" t="s">
        <v>34</v>
      </c>
      <c r="O170" s="18" t="s">
        <v>20</v>
      </c>
      <c r="P170" s="18" t="s">
        <v>25</v>
      </c>
      <c r="Q170" t="s">
        <v>37</v>
      </c>
      <c r="R170" t="s">
        <v>39</v>
      </c>
      <c r="S170" t="s">
        <v>47</v>
      </c>
      <c r="T170" t="s">
        <v>49</v>
      </c>
      <c r="U170">
        <v>1298</v>
      </c>
      <c r="V170">
        <v>3</v>
      </c>
      <c r="AG170" t="s">
        <v>4</v>
      </c>
      <c r="AH170" t="s">
        <v>214</v>
      </c>
      <c r="AN170">
        <v>14</v>
      </c>
      <c r="AO170">
        <v>-0.85773238181327704</v>
      </c>
      <c r="AS170" t="s">
        <v>849</v>
      </c>
      <c r="AT170" t="s">
        <v>849</v>
      </c>
      <c r="AV170" t="s">
        <v>1803</v>
      </c>
      <c r="AW170" t="s">
        <v>1815</v>
      </c>
      <c r="AX170" t="s">
        <v>25</v>
      </c>
      <c r="AY170" t="s">
        <v>1814</v>
      </c>
      <c r="AZ170" t="s">
        <v>76</v>
      </c>
    </row>
    <row r="171" spans="1:52" x14ac:dyDescent="0.2">
      <c r="A171" t="s">
        <v>471</v>
      </c>
      <c r="B171" t="s">
        <v>472</v>
      </c>
      <c r="C171" t="s">
        <v>473</v>
      </c>
      <c r="D171">
        <v>2010</v>
      </c>
      <c r="E171" t="s">
        <v>469</v>
      </c>
      <c r="F171" t="s">
        <v>492</v>
      </c>
      <c r="G171" t="s">
        <v>958</v>
      </c>
      <c r="H171" t="s">
        <v>482</v>
      </c>
      <c r="I171" t="s">
        <v>1769</v>
      </c>
      <c r="J171" t="s">
        <v>29</v>
      </c>
      <c r="K171" t="s">
        <v>34</v>
      </c>
      <c r="O171" s="18" t="s">
        <v>20</v>
      </c>
      <c r="P171" s="18" t="s">
        <v>25</v>
      </c>
      <c r="Q171" t="s">
        <v>37</v>
      </c>
      <c r="R171" t="s">
        <v>39</v>
      </c>
      <c r="S171" t="s">
        <v>47</v>
      </c>
      <c r="T171" t="s">
        <v>49</v>
      </c>
      <c r="U171">
        <v>1298</v>
      </c>
      <c r="V171">
        <v>3</v>
      </c>
      <c r="AG171" t="s">
        <v>4</v>
      </c>
      <c r="AH171" t="s">
        <v>214</v>
      </c>
      <c r="AN171">
        <v>27</v>
      </c>
      <c r="AO171">
        <v>-0.41697220477454</v>
      </c>
      <c r="AS171" t="s">
        <v>849</v>
      </c>
      <c r="AT171" t="s">
        <v>849</v>
      </c>
      <c r="AV171" t="s">
        <v>1803</v>
      </c>
      <c r="AW171" t="s">
        <v>1815</v>
      </c>
      <c r="AX171" t="s">
        <v>25</v>
      </c>
      <c r="AY171" t="s">
        <v>1814</v>
      </c>
      <c r="AZ171" t="s">
        <v>76</v>
      </c>
    </row>
    <row r="172" spans="1:52" x14ac:dyDescent="0.2">
      <c r="A172" t="s">
        <v>494</v>
      </c>
      <c r="B172" t="s">
        <v>495</v>
      </c>
      <c r="C172" t="s">
        <v>496</v>
      </c>
      <c r="D172">
        <v>2011</v>
      </c>
      <c r="E172" t="s">
        <v>497</v>
      </c>
      <c r="F172" t="s">
        <v>498</v>
      </c>
      <c r="G172" t="s">
        <v>959</v>
      </c>
      <c r="H172" t="s">
        <v>499</v>
      </c>
      <c r="I172" t="s">
        <v>474</v>
      </c>
      <c r="J172" t="s">
        <v>29</v>
      </c>
      <c r="K172" t="s">
        <v>35</v>
      </c>
      <c r="L172" t="s">
        <v>11</v>
      </c>
      <c r="M172" t="s">
        <v>15</v>
      </c>
      <c r="N172">
        <v>1</v>
      </c>
      <c r="O172" s="18" t="s">
        <v>20</v>
      </c>
      <c r="P172" s="18" t="s">
        <v>26</v>
      </c>
      <c r="S172" t="s">
        <v>47</v>
      </c>
      <c r="T172" t="s">
        <v>50</v>
      </c>
      <c r="U172">
        <v>1189</v>
      </c>
      <c r="V172">
        <v>1</v>
      </c>
      <c r="W172">
        <v>21</v>
      </c>
      <c r="X172">
        <v>18</v>
      </c>
      <c r="AA172">
        <v>9.6</v>
      </c>
      <c r="AB172">
        <v>13.1</v>
      </c>
      <c r="AC172">
        <v>9.4</v>
      </c>
      <c r="AD172">
        <v>14.2</v>
      </c>
      <c r="AE172" t="s">
        <v>71</v>
      </c>
      <c r="AF172" t="s">
        <v>61</v>
      </c>
      <c r="AG172" t="str">
        <f t="shared" ref="AG172:AG180" si="5">IF(AE172="mean", "mean", "")</f>
        <v>mean</v>
      </c>
      <c r="AH172" t="s">
        <v>213</v>
      </c>
      <c r="AS172" t="s">
        <v>849</v>
      </c>
      <c r="AT172" t="s">
        <v>849</v>
      </c>
      <c r="AV172" t="s">
        <v>1803</v>
      </c>
      <c r="AW172" t="s">
        <v>1815</v>
      </c>
      <c r="AX172" t="s">
        <v>25</v>
      </c>
      <c r="AY172" t="s">
        <v>1814</v>
      </c>
      <c r="AZ172" t="s">
        <v>76</v>
      </c>
    </row>
    <row r="173" spans="1:52" x14ac:dyDescent="0.2">
      <c r="A173" t="s">
        <v>494</v>
      </c>
      <c r="B173" t="s">
        <v>495</v>
      </c>
      <c r="C173" t="s">
        <v>496</v>
      </c>
      <c r="D173">
        <v>2011</v>
      </c>
      <c r="E173" t="s">
        <v>497</v>
      </c>
      <c r="F173" t="s">
        <v>498</v>
      </c>
      <c r="G173" t="s">
        <v>959</v>
      </c>
      <c r="H173" t="s">
        <v>500</v>
      </c>
      <c r="I173" t="s">
        <v>474</v>
      </c>
      <c r="J173" t="s">
        <v>29</v>
      </c>
      <c r="K173" t="s">
        <v>35</v>
      </c>
      <c r="L173" t="s">
        <v>11</v>
      </c>
      <c r="M173" t="s">
        <v>15</v>
      </c>
      <c r="N173">
        <v>1</v>
      </c>
      <c r="O173" s="18" t="s">
        <v>20</v>
      </c>
      <c r="P173" s="18" t="s">
        <v>26</v>
      </c>
      <c r="S173" t="s">
        <v>47</v>
      </c>
      <c r="T173" t="s">
        <v>50</v>
      </c>
      <c r="U173">
        <v>1189</v>
      </c>
      <c r="V173">
        <v>1</v>
      </c>
      <c r="W173">
        <v>8</v>
      </c>
      <c r="X173">
        <v>5</v>
      </c>
      <c r="AA173">
        <v>29.6</v>
      </c>
      <c r="AB173">
        <v>33.9</v>
      </c>
      <c r="AC173">
        <v>16.7</v>
      </c>
      <c r="AD173">
        <v>24.5</v>
      </c>
      <c r="AE173" t="s">
        <v>71</v>
      </c>
      <c r="AF173" t="s">
        <v>61</v>
      </c>
      <c r="AG173" t="str">
        <f t="shared" si="5"/>
        <v>mean</v>
      </c>
      <c r="AH173" t="s">
        <v>213</v>
      </c>
      <c r="AS173" t="s">
        <v>849</v>
      </c>
      <c r="AT173" t="s">
        <v>849</v>
      </c>
      <c r="AV173" t="s">
        <v>1803</v>
      </c>
      <c r="AW173" t="s">
        <v>1815</v>
      </c>
      <c r="AX173" t="s">
        <v>25</v>
      </c>
      <c r="AY173" t="s">
        <v>1814</v>
      </c>
      <c r="AZ173" t="s">
        <v>76</v>
      </c>
    </row>
    <row r="174" spans="1:52" x14ac:dyDescent="0.2">
      <c r="A174" t="s">
        <v>494</v>
      </c>
      <c r="B174" t="s">
        <v>495</v>
      </c>
      <c r="C174" t="s">
        <v>496</v>
      </c>
      <c r="D174">
        <v>2011</v>
      </c>
      <c r="E174" t="s">
        <v>497</v>
      </c>
      <c r="F174" t="s">
        <v>498</v>
      </c>
      <c r="G174" t="s">
        <v>959</v>
      </c>
      <c r="H174" t="s">
        <v>501</v>
      </c>
      <c r="I174" t="s">
        <v>474</v>
      </c>
      <c r="J174" t="s">
        <v>29</v>
      </c>
      <c r="K174" t="s">
        <v>35</v>
      </c>
      <c r="L174" t="s">
        <v>11</v>
      </c>
      <c r="M174" t="s">
        <v>15</v>
      </c>
      <c r="N174">
        <v>1</v>
      </c>
      <c r="O174" s="18" t="s">
        <v>20</v>
      </c>
      <c r="P174" s="18" t="s">
        <v>26</v>
      </c>
      <c r="S174" t="s">
        <v>47</v>
      </c>
      <c r="T174" t="s">
        <v>50</v>
      </c>
      <c r="U174">
        <v>1189</v>
      </c>
      <c r="V174">
        <v>1</v>
      </c>
      <c r="W174">
        <v>11</v>
      </c>
      <c r="X174">
        <v>11</v>
      </c>
      <c r="AA174">
        <v>25.6</v>
      </c>
      <c r="AB174">
        <v>31.5</v>
      </c>
      <c r="AC174">
        <v>59.1</v>
      </c>
      <c r="AD174">
        <v>164</v>
      </c>
      <c r="AE174" t="s">
        <v>71</v>
      </c>
      <c r="AF174" t="s">
        <v>61</v>
      </c>
      <c r="AG174" t="str">
        <f t="shared" si="5"/>
        <v>mean</v>
      </c>
      <c r="AH174" t="s">
        <v>213</v>
      </c>
      <c r="AS174" t="s">
        <v>849</v>
      </c>
      <c r="AT174" t="s">
        <v>849</v>
      </c>
      <c r="AV174" t="s">
        <v>1803</v>
      </c>
      <c r="AW174" t="s">
        <v>1815</v>
      </c>
      <c r="AX174" t="s">
        <v>25</v>
      </c>
      <c r="AY174" t="s">
        <v>1814</v>
      </c>
      <c r="AZ174" t="s">
        <v>76</v>
      </c>
    </row>
    <row r="175" spans="1:52" x14ac:dyDescent="0.2">
      <c r="A175" t="s">
        <v>494</v>
      </c>
      <c r="B175" t="s">
        <v>495</v>
      </c>
      <c r="C175" t="s">
        <v>496</v>
      </c>
      <c r="D175">
        <v>2011</v>
      </c>
      <c r="E175" t="s">
        <v>497</v>
      </c>
      <c r="F175" t="s">
        <v>498</v>
      </c>
      <c r="G175" t="s">
        <v>959</v>
      </c>
      <c r="H175" t="s">
        <v>502</v>
      </c>
      <c r="I175" t="s">
        <v>474</v>
      </c>
      <c r="J175" t="s">
        <v>29</v>
      </c>
      <c r="K175" t="s">
        <v>35</v>
      </c>
      <c r="L175" t="s">
        <v>11</v>
      </c>
      <c r="M175" t="s">
        <v>15</v>
      </c>
      <c r="N175">
        <v>1</v>
      </c>
      <c r="O175" s="18" t="s">
        <v>20</v>
      </c>
      <c r="P175" s="18" t="s">
        <v>26</v>
      </c>
      <c r="S175" t="s">
        <v>47</v>
      </c>
      <c r="T175" t="s">
        <v>50</v>
      </c>
      <c r="U175">
        <v>1189</v>
      </c>
      <c r="V175">
        <v>1</v>
      </c>
      <c r="W175">
        <v>21</v>
      </c>
      <c r="X175">
        <v>18</v>
      </c>
      <c r="AA175">
        <v>4</v>
      </c>
      <c r="AB175">
        <v>5.4</v>
      </c>
      <c r="AC175">
        <v>3.2</v>
      </c>
      <c r="AD175">
        <v>4.5999999999999996</v>
      </c>
      <c r="AE175" t="s">
        <v>71</v>
      </c>
      <c r="AF175" t="s">
        <v>61</v>
      </c>
      <c r="AG175" t="str">
        <f t="shared" si="5"/>
        <v>mean</v>
      </c>
      <c r="AH175" t="s">
        <v>213</v>
      </c>
      <c r="AS175" t="s">
        <v>849</v>
      </c>
      <c r="AT175" t="s">
        <v>849</v>
      </c>
      <c r="AV175" t="s">
        <v>1803</v>
      </c>
      <c r="AW175" t="s">
        <v>1815</v>
      </c>
      <c r="AX175" t="s">
        <v>25</v>
      </c>
      <c r="AY175" t="s">
        <v>1814</v>
      </c>
      <c r="AZ175" t="s">
        <v>76</v>
      </c>
    </row>
    <row r="176" spans="1:52" x14ac:dyDescent="0.2">
      <c r="A176" t="s">
        <v>494</v>
      </c>
      <c r="B176" t="s">
        <v>495</v>
      </c>
      <c r="C176" t="s">
        <v>496</v>
      </c>
      <c r="D176">
        <v>2011</v>
      </c>
      <c r="E176" t="s">
        <v>497</v>
      </c>
      <c r="F176" t="s">
        <v>498</v>
      </c>
      <c r="G176" t="s">
        <v>959</v>
      </c>
      <c r="H176" t="s">
        <v>503</v>
      </c>
      <c r="I176" t="s">
        <v>474</v>
      </c>
      <c r="J176" t="s">
        <v>29</v>
      </c>
      <c r="K176" t="s">
        <v>35</v>
      </c>
      <c r="L176" t="s">
        <v>11</v>
      </c>
      <c r="M176" t="s">
        <v>15</v>
      </c>
      <c r="N176">
        <v>1</v>
      </c>
      <c r="O176" s="18" t="s">
        <v>20</v>
      </c>
      <c r="P176" s="18" t="s">
        <v>26</v>
      </c>
      <c r="S176" t="s">
        <v>47</v>
      </c>
      <c r="T176" t="s">
        <v>50</v>
      </c>
      <c r="U176">
        <v>1189</v>
      </c>
      <c r="V176">
        <v>1</v>
      </c>
      <c r="W176">
        <v>8</v>
      </c>
      <c r="X176">
        <v>5</v>
      </c>
      <c r="AA176">
        <v>7.9</v>
      </c>
      <c r="AB176">
        <v>8.8000000000000007</v>
      </c>
      <c r="AC176">
        <v>3.1</v>
      </c>
      <c r="AD176">
        <v>2.4</v>
      </c>
      <c r="AE176" t="s">
        <v>71</v>
      </c>
      <c r="AF176" t="s">
        <v>61</v>
      </c>
      <c r="AG176" t="str">
        <f t="shared" si="5"/>
        <v>mean</v>
      </c>
      <c r="AH176" t="s">
        <v>213</v>
      </c>
      <c r="AS176" t="s">
        <v>849</v>
      </c>
      <c r="AT176" t="s">
        <v>849</v>
      </c>
      <c r="AV176" t="s">
        <v>1803</v>
      </c>
      <c r="AW176" t="s">
        <v>1815</v>
      </c>
      <c r="AX176" t="s">
        <v>25</v>
      </c>
      <c r="AY176" t="s">
        <v>1814</v>
      </c>
      <c r="AZ176" t="s">
        <v>76</v>
      </c>
    </row>
    <row r="177" spans="1:52" x14ac:dyDescent="0.2">
      <c r="A177" t="s">
        <v>494</v>
      </c>
      <c r="B177" t="s">
        <v>495</v>
      </c>
      <c r="C177" t="s">
        <v>496</v>
      </c>
      <c r="D177">
        <v>2011</v>
      </c>
      <c r="E177" t="s">
        <v>497</v>
      </c>
      <c r="F177" t="s">
        <v>498</v>
      </c>
      <c r="G177" t="s">
        <v>959</v>
      </c>
      <c r="H177" t="s">
        <v>504</v>
      </c>
      <c r="I177" t="s">
        <v>474</v>
      </c>
      <c r="J177" t="s">
        <v>29</v>
      </c>
      <c r="K177" t="s">
        <v>35</v>
      </c>
      <c r="L177" t="s">
        <v>11</v>
      </c>
      <c r="M177" t="s">
        <v>15</v>
      </c>
      <c r="N177">
        <v>1</v>
      </c>
      <c r="O177" s="18" t="s">
        <v>20</v>
      </c>
      <c r="P177" s="18" t="s">
        <v>26</v>
      </c>
      <c r="S177" t="s">
        <v>47</v>
      </c>
      <c r="T177" t="s">
        <v>50</v>
      </c>
      <c r="U177">
        <v>1189</v>
      </c>
      <c r="V177">
        <v>1</v>
      </c>
      <c r="W177">
        <v>11</v>
      </c>
      <c r="X177">
        <v>11</v>
      </c>
      <c r="AA177">
        <v>5.6</v>
      </c>
      <c r="AB177">
        <v>4.5</v>
      </c>
      <c r="AC177">
        <v>7.4</v>
      </c>
      <c r="AD177">
        <v>9.6999999999999993</v>
      </c>
      <c r="AE177" t="s">
        <v>71</v>
      </c>
      <c r="AF177" t="s">
        <v>61</v>
      </c>
      <c r="AG177" t="str">
        <f t="shared" si="5"/>
        <v>mean</v>
      </c>
      <c r="AH177" t="s">
        <v>213</v>
      </c>
      <c r="AS177" t="s">
        <v>849</v>
      </c>
      <c r="AT177" t="s">
        <v>849</v>
      </c>
      <c r="AV177" t="s">
        <v>1803</v>
      </c>
      <c r="AW177" t="s">
        <v>1815</v>
      </c>
      <c r="AX177" t="s">
        <v>25</v>
      </c>
      <c r="AY177" t="s">
        <v>1814</v>
      </c>
      <c r="AZ177" t="s">
        <v>76</v>
      </c>
    </row>
    <row r="178" spans="1:52" x14ac:dyDescent="0.2">
      <c r="A178" t="s">
        <v>494</v>
      </c>
      <c r="B178" t="s">
        <v>495</v>
      </c>
      <c r="C178" t="s">
        <v>496</v>
      </c>
      <c r="D178">
        <v>2011</v>
      </c>
      <c r="E178" t="s">
        <v>497</v>
      </c>
      <c r="F178" t="s">
        <v>498</v>
      </c>
      <c r="G178" t="s">
        <v>959</v>
      </c>
      <c r="H178" t="s">
        <v>505</v>
      </c>
      <c r="I178" t="s">
        <v>474</v>
      </c>
      <c r="J178" t="s">
        <v>29</v>
      </c>
      <c r="K178" t="s">
        <v>35</v>
      </c>
      <c r="L178" t="s">
        <v>11</v>
      </c>
      <c r="M178" t="s">
        <v>15</v>
      </c>
      <c r="N178">
        <v>1</v>
      </c>
      <c r="O178" s="18" t="s">
        <v>20</v>
      </c>
      <c r="P178" s="18" t="s">
        <v>26</v>
      </c>
      <c r="S178" t="s">
        <v>47</v>
      </c>
      <c r="T178" t="s">
        <v>50</v>
      </c>
      <c r="U178">
        <v>1189</v>
      </c>
      <c r="V178">
        <v>1</v>
      </c>
      <c r="W178">
        <v>12</v>
      </c>
      <c r="X178">
        <v>8</v>
      </c>
      <c r="AA178">
        <v>54.2</v>
      </c>
      <c r="AB178">
        <v>48.8</v>
      </c>
      <c r="AC178">
        <v>29.2</v>
      </c>
      <c r="AD178">
        <v>45.2</v>
      </c>
      <c r="AE178" t="s">
        <v>71</v>
      </c>
      <c r="AF178" t="s">
        <v>61</v>
      </c>
      <c r="AG178" t="str">
        <f t="shared" si="5"/>
        <v>mean</v>
      </c>
      <c r="AH178" t="s">
        <v>213</v>
      </c>
      <c r="AS178" t="s">
        <v>849</v>
      </c>
      <c r="AT178" t="s">
        <v>849</v>
      </c>
      <c r="AV178" t="s">
        <v>1803</v>
      </c>
      <c r="AW178" t="s">
        <v>1815</v>
      </c>
      <c r="AX178" t="s">
        <v>25</v>
      </c>
      <c r="AY178" t="s">
        <v>1814</v>
      </c>
      <c r="AZ178" t="s">
        <v>76</v>
      </c>
    </row>
    <row r="179" spans="1:52" x14ac:dyDescent="0.2">
      <c r="A179" t="s">
        <v>494</v>
      </c>
      <c r="B179" t="s">
        <v>495</v>
      </c>
      <c r="C179" t="s">
        <v>496</v>
      </c>
      <c r="D179">
        <v>2011</v>
      </c>
      <c r="E179" t="s">
        <v>497</v>
      </c>
      <c r="F179" t="s">
        <v>498</v>
      </c>
      <c r="G179" t="s">
        <v>959</v>
      </c>
      <c r="H179" t="s">
        <v>506</v>
      </c>
      <c r="I179" t="s">
        <v>474</v>
      </c>
      <c r="J179" t="s">
        <v>29</v>
      </c>
      <c r="K179" t="s">
        <v>35</v>
      </c>
      <c r="L179" t="s">
        <v>11</v>
      </c>
      <c r="M179" t="s">
        <v>15</v>
      </c>
      <c r="N179">
        <v>1</v>
      </c>
      <c r="O179" s="18" t="s">
        <v>20</v>
      </c>
      <c r="P179" s="18" t="s">
        <v>26</v>
      </c>
      <c r="S179" t="s">
        <v>47</v>
      </c>
      <c r="T179" t="s">
        <v>50</v>
      </c>
      <c r="U179">
        <v>1189</v>
      </c>
      <c r="V179">
        <v>1</v>
      </c>
      <c r="W179">
        <v>6</v>
      </c>
      <c r="X179">
        <v>4</v>
      </c>
      <c r="AA179">
        <v>27.8</v>
      </c>
      <c r="AB179">
        <v>40.4</v>
      </c>
      <c r="AC179">
        <v>12.5</v>
      </c>
      <c r="AD179">
        <v>25</v>
      </c>
      <c r="AE179" t="s">
        <v>71</v>
      </c>
      <c r="AF179" t="s">
        <v>61</v>
      </c>
      <c r="AG179" t="str">
        <f t="shared" si="5"/>
        <v>mean</v>
      </c>
      <c r="AH179" t="s">
        <v>213</v>
      </c>
      <c r="AS179" t="s">
        <v>849</v>
      </c>
      <c r="AT179" t="s">
        <v>849</v>
      </c>
      <c r="AV179" t="s">
        <v>1803</v>
      </c>
      <c r="AW179" t="s">
        <v>1815</v>
      </c>
      <c r="AX179" t="s">
        <v>25</v>
      </c>
      <c r="AY179" t="s">
        <v>1814</v>
      </c>
      <c r="AZ179" t="s">
        <v>76</v>
      </c>
    </row>
    <row r="180" spans="1:52" x14ac:dyDescent="0.2">
      <c r="A180" t="s">
        <v>494</v>
      </c>
      <c r="B180" t="s">
        <v>495</v>
      </c>
      <c r="C180" t="s">
        <v>496</v>
      </c>
      <c r="D180">
        <v>2011</v>
      </c>
      <c r="E180" t="s">
        <v>497</v>
      </c>
      <c r="F180" t="s">
        <v>498</v>
      </c>
      <c r="G180" t="s">
        <v>959</v>
      </c>
      <c r="H180" t="s">
        <v>507</v>
      </c>
      <c r="I180" t="s">
        <v>474</v>
      </c>
      <c r="J180" t="s">
        <v>29</v>
      </c>
      <c r="K180" t="s">
        <v>35</v>
      </c>
      <c r="L180" t="s">
        <v>11</v>
      </c>
      <c r="M180" t="s">
        <v>15</v>
      </c>
      <c r="N180">
        <v>1</v>
      </c>
      <c r="O180" s="18" t="s">
        <v>20</v>
      </c>
      <c r="P180" s="18" t="s">
        <v>26</v>
      </c>
      <c r="S180" t="s">
        <v>47</v>
      </c>
      <c r="T180" t="s">
        <v>50</v>
      </c>
      <c r="U180">
        <v>1189</v>
      </c>
      <c r="V180">
        <v>1</v>
      </c>
      <c r="W180">
        <v>9</v>
      </c>
      <c r="X180">
        <v>9</v>
      </c>
      <c r="AA180">
        <v>26.7</v>
      </c>
      <c r="AB180">
        <v>43.6</v>
      </c>
      <c r="AC180">
        <v>59.3</v>
      </c>
      <c r="AD180">
        <v>40.200000000000003</v>
      </c>
      <c r="AE180" t="s">
        <v>71</v>
      </c>
      <c r="AF180" t="s">
        <v>61</v>
      </c>
      <c r="AG180" t="str">
        <f t="shared" si="5"/>
        <v>mean</v>
      </c>
      <c r="AH180" t="s">
        <v>213</v>
      </c>
      <c r="AS180" t="s">
        <v>849</v>
      </c>
      <c r="AT180" t="s">
        <v>849</v>
      </c>
      <c r="AV180" t="s">
        <v>1803</v>
      </c>
      <c r="AW180" t="s">
        <v>1815</v>
      </c>
      <c r="AX180" t="s">
        <v>25</v>
      </c>
      <c r="AY180" t="s">
        <v>1814</v>
      </c>
      <c r="AZ180" t="s">
        <v>76</v>
      </c>
    </row>
    <row r="181" spans="1:52" x14ac:dyDescent="0.2">
      <c r="A181" t="s">
        <v>515</v>
      </c>
      <c r="B181" t="s">
        <v>516</v>
      </c>
      <c r="C181" t="s">
        <v>517</v>
      </c>
      <c r="D181">
        <v>2009</v>
      </c>
      <c r="E181" t="s">
        <v>518</v>
      </c>
      <c r="F181" t="s">
        <v>519</v>
      </c>
      <c r="G181" t="s">
        <v>960</v>
      </c>
      <c r="H181" t="s">
        <v>510</v>
      </c>
      <c r="I181" t="s">
        <v>1770</v>
      </c>
      <c r="J181" t="s">
        <v>29</v>
      </c>
      <c r="K181" t="s">
        <v>34</v>
      </c>
      <c r="O181" s="18" t="s">
        <v>20</v>
      </c>
      <c r="P181" s="18" t="s">
        <v>27</v>
      </c>
      <c r="Q181" t="s">
        <v>38</v>
      </c>
      <c r="R181" t="s">
        <v>44</v>
      </c>
      <c r="S181" t="s">
        <v>47</v>
      </c>
      <c r="T181" t="s">
        <v>398</v>
      </c>
      <c r="U181">
        <v>168</v>
      </c>
      <c r="V181">
        <v>1</v>
      </c>
      <c r="W181">
        <v>58</v>
      </c>
      <c r="X181">
        <v>34</v>
      </c>
      <c r="Y181">
        <v>41</v>
      </c>
      <c r="Z181">
        <v>30</v>
      </c>
      <c r="AG181" s="7" t="s">
        <v>1790</v>
      </c>
      <c r="AH181" t="s">
        <v>213</v>
      </c>
      <c r="AS181" t="s">
        <v>222</v>
      </c>
      <c r="AT181" t="s">
        <v>849</v>
      </c>
      <c r="AV181" t="s">
        <v>1803</v>
      </c>
      <c r="AW181" t="s">
        <v>1804</v>
      </c>
      <c r="AX181" t="s">
        <v>1808</v>
      </c>
      <c r="AY181" t="s">
        <v>1814</v>
      </c>
      <c r="AZ181" t="s">
        <v>76</v>
      </c>
    </row>
    <row r="182" spans="1:52" x14ac:dyDescent="0.2">
      <c r="A182" t="s">
        <v>515</v>
      </c>
      <c r="B182" t="s">
        <v>516</v>
      </c>
      <c r="C182" t="s">
        <v>517</v>
      </c>
      <c r="D182">
        <v>2009</v>
      </c>
      <c r="E182" t="s">
        <v>518</v>
      </c>
      <c r="F182" t="s">
        <v>519</v>
      </c>
      <c r="G182" t="s">
        <v>960</v>
      </c>
      <c r="H182" t="s">
        <v>511</v>
      </c>
      <c r="I182" t="s">
        <v>1770</v>
      </c>
      <c r="J182" t="s">
        <v>29</v>
      </c>
      <c r="K182" t="s">
        <v>34</v>
      </c>
      <c r="O182" s="18" t="s">
        <v>20</v>
      </c>
      <c r="P182" s="18" t="s">
        <v>27</v>
      </c>
      <c r="Q182" t="s">
        <v>38</v>
      </c>
      <c r="R182" t="s">
        <v>43</v>
      </c>
      <c r="S182" t="s">
        <v>47</v>
      </c>
      <c r="T182" t="s">
        <v>51</v>
      </c>
      <c r="U182">
        <v>167</v>
      </c>
      <c r="W182">
        <v>58</v>
      </c>
      <c r="X182">
        <v>34</v>
      </c>
      <c r="AA182">
        <v>26.96</v>
      </c>
      <c r="AB182">
        <v>1.23</v>
      </c>
      <c r="AC182">
        <v>23.1</v>
      </c>
      <c r="AD182">
        <v>1.44</v>
      </c>
      <c r="AE182" t="s">
        <v>71</v>
      </c>
      <c r="AF182" t="s">
        <v>62</v>
      </c>
      <c r="AG182" t="str">
        <f>IF(AE182="mean", "mean", "")</f>
        <v>mean</v>
      </c>
      <c r="AH182" t="s">
        <v>213</v>
      </c>
      <c r="AS182" t="s">
        <v>849</v>
      </c>
      <c r="AT182" t="s">
        <v>849</v>
      </c>
      <c r="AV182" t="s">
        <v>1803</v>
      </c>
      <c r="AW182" t="s">
        <v>1804</v>
      </c>
      <c r="AX182" t="s">
        <v>1808</v>
      </c>
      <c r="AY182" t="s">
        <v>1814</v>
      </c>
      <c r="AZ182" t="s">
        <v>76</v>
      </c>
    </row>
    <row r="183" spans="1:52" x14ac:dyDescent="0.2">
      <c r="A183" t="s">
        <v>525</v>
      </c>
      <c r="B183" t="s">
        <v>521</v>
      </c>
      <c r="C183" t="s">
        <v>520</v>
      </c>
      <c r="D183">
        <v>2004</v>
      </c>
      <c r="E183" t="s">
        <v>522</v>
      </c>
      <c r="F183" t="s">
        <v>523</v>
      </c>
      <c r="G183" t="s">
        <v>961</v>
      </c>
      <c r="H183" t="s">
        <v>526</v>
      </c>
      <c r="I183" t="s">
        <v>524</v>
      </c>
      <c r="J183" t="s">
        <v>31</v>
      </c>
      <c r="K183" t="s">
        <v>35</v>
      </c>
      <c r="L183" t="s">
        <v>11</v>
      </c>
      <c r="M183" t="s">
        <v>18</v>
      </c>
      <c r="N183">
        <v>0</v>
      </c>
      <c r="O183" s="18" t="s">
        <v>20</v>
      </c>
      <c r="P183" s="18" t="s">
        <v>24</v>
      </c>
      <c r="S183" t="s">
        <v>47</v>
      </c>
      <c r="T183" t="s">
        <v>49</v>
      </c>
      <c r="U183">
        <v>2283</v>
      </c>
      <c r="V183" t="s">
        <v>528</v>
      </c>
      <c r="W183">
        <v>23</v>
      </c>
      <c r="X183">
        <v>24</v>
      </c>
      <c r="AA183">
        <v>1.25</v>
      </c>
      <c r="AB183">
        <v>18.883586623043801</v>
      </c>
      <c r="AC183">
        <v>-6.5625</v>
      </c>
      <c r="AD183">
        <v>18.983545506569602</v>
      </c>
      <c r="AE183" t="s">
        <v>71</v>
      </c>
      <c r="AF183" t="s">
        <v>61</v>
      </c>
      <c r="AG183" t="str">
        <f>IF(AE183="mean", "mean", "")</f>
        <v>mean</v>
      </c>
      <c r="AH183" t="s">
        <v>213</v>
      </c>
      <c r="AS183" t="s">
        <v>849</v>
      </c>
      <c r="AT183" t="s">
        <v>849</v>
      </c>
      <c r="AV183" t="s">
        <v>1803</v>
      </c>
      <c r="AW183" t="s">
        <v>1815</v>
      </c>
      <c r="AX183" t="s">
        <v>1805</v>
      </c>
      <c r="AY183" t="s">
        <v>1806</v>
      </c>
      <c r="AZ183" t="s">
        <v>76</v>
      </c>
    </row>
    <row r="184" spans="1:52" x14ac:dyDescent="0.2">
      <c r="A184" t="s">
        <v>531</v>
      </c>
      <c r="B184" t="s">
        <v>532</v>
      </c>
      <c r="C184" t="s">
        <v>533</v>
      </c>
      <c r="D184">
        <v>2015</v>
      </c>
      <c r="E184" t="s">
        <v>534</v>
      </c>
      <c r="F184" t="s">
        <v>535</v>
      </c>
      <c r="G184" t="s">
        <v>962</v>
      </c>
      <c r="H184" t="s">
        <v>527</v>
      </c>
      <c r="I184" t="s">
        <v>1771</v>
      </c>
      <c r="J184" t="s">
        <v>536</v>
      </c>
      <c r="K184" t="s">
        <v>34</v>
      </c>
      <c r="O184" s="18" t="s">
        <v>20</v>
      </c>
      <c r="P184" s="18" t="s">
        <v>27</v>
      </c>
      <c r="Q184" t="s">
        <v>37</v>
      </c>
      <c r="R184" t="s">
        <v>39</v>
      </c>
      <c r="S184" t="s">
        <v>47</v>
      </c>
      <c r="T184" t="s">
        <v>50</v>
      </c>
      <c r="U184">
        <v>261</v>
      </c>
      <c r="V184">
        <v>1</v>
      </c>
      <c r="W184">
        <v>48.5</v>
      </c>
      <c r="X184">
        <v>48.5</v>
      </c>
      <c r="AA184">
        <v>0.157</v>
      </c>
      <c r="AB184">
        <v>0.78200000000000003</v>
      </c>
      <c r="AC184">
        <v>0.186</v>
      </c>
      <c r="AD184">
        <v>0.79300000000000004</v>
      </c>
      <c r="AE184" t="s">
        <v>71</v>
      </c>
      <c r="AF184" t="s">
        <v>61</v>
      </c>
      <c r="AG184" t="str">
        <f>IF(AE184="mean", "mean", "")</f>
        <v>mean</v>
      </c>
      <c r="AH184" t="s">
        <v>213</v>
      </c>
      <c r="AS184" t="s">
        <v>849</v>
      </c>
      <c r="AT184" t="s">
        <v>849</v>
      </c>
      <c r="AV184" t="s">
        <v>1810</v>
      </c>
      <c r="AW184" t="s">
        <v>1804</v>
      </c>
      <c r="AX184" t="s">
        <v>23</v>
      </c>
      <c r="AY184" t="s">
        <v>1806</v>
      </c>
      <c r="AZ184" t="s">
        <v>76</v>
      </c>
    </row>
    <row r="185" spans="1:52" x14ac:dyDescent="0.2">
      <c r="A185" t="s">
        <v>531</v>
      </c>
      <c r="B185" t="s">
        <v>532</v>
      </c>
      <c r="C185" t="s">
        <v>533</v>
      </c>
      <c r="D185">
        <v>2015</v>
      </c>
      <c r="E185" t="s">
        <v>534</v>
      </c>
      <c r="F185" t="s">
        <v>535</v>
      </c>
      <c r="G185" t="s">
        <v>962</v>
      </c>
      <c r="H185" t="s">
        <v>529</v>
      </c>
      <c r="I185" t="s">
        <v>1771</v>
      </c>
      <c r="J185" t="s">
        <v>536</v>
      </c>
      <c r="K185" t="s">
        <v>34</v>
      </c>
      <c r="O185" s="18" t="s">
        <v>20</v>
      </c>
      <c r="P185" s="18" t="s">
        <v>27</v>
      </c>
      <c r="Q185" t="s">
        <v>37</v>
      </c>
      <c r="R185" t="s">
        <v>40</v>
      </c>
      <c r="S185" t="s">
        <v>47</v>
      </c>
      <c r="T185" t="s">
        <v>50</v>
      </c>
      <c r="U185">
        <v>261</v>
      </c>
      <c r="V185">
        <v>1</v>
      </c>
      <c r="W185">
        <v>50</v>
      </c>
      <c r="X185">
        <v>50</v>
      </c>
      <c r="AA185">
        <v>0.28299999999999997</v>
      </c>
      <c r="AB185">
        <v>0.121</v>
      </c>
      <c r="AC185">
        <v>0.26100000000000001</v>
      </c>
      <c r="AD185">
        <v>0.11799999999999999</v>
      </c>
      <c r="AE185" t="s">
        <v>71</v>
      </c>
      <c r="AF185" t="s">
        <v>61</v>
      </c>
      <c r="AG185" t="str">
        <f>IF(AE185="mean", "mean", "")</f>
        <v>mean</v>
      </c>
      <c r="AH185" t="s">
        <v>213</v>
      </c>
      <c r="AS185" t="s">
        <v>849</v>
      </c>
      <c r="AT185" t="s">
        <v>849</v>
      </c>
      <c r="AV185" t="s">
        <v>1810</v>
      </c>
      <c r="AW185" t="s">
        <v>1804</v>
      </c>
      <c r="AX185" t="s">
        <v>23</v>
      </c>
      <c r="AY185" t="s">
        <v>1806</v>
      </c>
      <c r="AZ185" t="s">
        <v>76</v>
      </c>
    </row>
    <row r="186" spans="1:52" x14ac:dyDescent="0.2">
      <c r="A186" t="s">
        <v>531</v>
      </c>
      <c r="B186" t="s">
        <v>532</v>
      </c>
      <c r="C186" t="s">
        <v>533</v>
      </c>
      <c r="D186">
        <v>2015</v>
      </c>
      <c r="E186" t="s">
        <v>534</v>
      </c>
      <c r="F186" t="s">
        <v>535</v>
      </c>
      <c r="G186" t="s">
        <v>963</v>
      </c>
      <c r="H186" t="s">
        <v>530</v>
      </c>
      <c r="I186" t="s">
        <v>1771</v>
      </c>
      <c r="J186" t="s">
        <v>536</v>
      </c>
      <c r="K186" t="s">
        <v>34</v>
      </c>
      <c r="O186" s="18" t="s">
        <v>76</v>
      </c>
      <c r="P186" s="18" t="s">
        <v>27</v>
      </c>
      <c r="Q186" t="s">
        <v>37</v>
      </c>
      <c r="R186" t="s">
        <v>39</v>
      </c>
      <c r="S186" t="s">
        <v>47</v>
      </c>
      <c r="T186" t="s">
        <v>50</v>
      </c>
      <c r="U186">
        <v>263</v>
      </c>
      <c r="V186">
        <v>4</v>
      </c>
      <c r="W186">
        <v>6</v>
      </c>
      <c r="X186">
        <v>6</v>
      </c>
      <c r="AA186">
        <v>4.2000000000000003E-2</v>
      </c>
      <c r="AB186">
        <v>4.0000000000000001E-3</v>
      </c>
      <c r="AC186">
        <v>4.2000000000000003E-2</v>
      </c>
      <c r="AD186">
        <v>5.0000000000000001E-3</v>
      </c>
      <c r="AE186" t="s">
        <v>71</v>
      </c>
      <c r="AF186" t="s">
        <v>61</v>
      </c>
      <c r="AG186" t="str">
        <f>IF(AE186="mean", "mean", "")</f>
        <v>mean</v>
      </c>
      <c r="AH186" t="s">
        <v>213</v>
      </c>
      <c r="AS186" t="s">
        <v>849</v>
      </c>
      <c r="AT186" t="s">
        <v>849</v>
      </c>
      <c r="AV186" t="s">
        <v>1810</v>
      </c>
      <c r="AW186" t="s">
        <v>1804</v>
      </c>
      <c r="AX186" t="s">
        <v>23</v>
      </c>
      <c r="AY186" t="s">
        <v>1806</v>
      </c>
      <c r="AZ186" t="s">
        <v>76</v>
      </c>
    </row>
    <row r="187" spans="1:52" x14ac:dyDescent="0.2">
      <c r="A187" t="s">
        <v>537</v>
      </c>
      <c r="B187" t="s">
        <v>538</v>
      </c>
      <c r="C187" t="s">
        <v>539</v>
      </c>
      <c r="D187">
        <v>2009</v>
      </c>
      <c r="E187" t="s">
        <v>540</v>
      </c>
      <c r="F187" t="s">
        <v>541</v>
      </c>
      <c r="G187" t="s">
        <v>964</v>
      </c>
      <c r="H187" t="s">
        <v>542</v>
      </c>
      <c r="I187" t="s">
        <v>1772</v>
      </c>
      <c r="J187" t="s">
        <v>31</v>
      </c>
      <c r="K187" t="s">
        <v>34</v>
      </c>
      <c r="O187" s="18" t="s">
        <v>20</v>
      </c>
      <c r="P187" s="18" t="s">
        <v>1817</v>
      </c>
      <c r="Q187" t="s">
        <v>38</v>
      </c>
      <c r="R187" t="s">
        <v>43</v>
      </c>
      <c r="S187" t="s">
        <v>47</v>
      </c>
      <c r="T187" t="s">
        <v>50</v>
      </c>
      <c r="U187">
        <v>177</v>
      </c>
      <c r="V187">
        <v>1</v>
      </c>
      <c r="AG187" t="s">
        <v>4</v>
      </c>
      <c r="AH187" t="s">
        <v>214</v>
      </c>
      <c r="AN187">
        <v>62</v>
      </c>
      <c r="AO187">
        <v>-0.35699999999999998</v>
      </c>
      <c r="AS187" t="s">
        <v>849</v>
      </c>
      <c r="AT187" t="s">
        <v>849</v>
      </c>
      <c r="AV187" t="s">
        <v>1803</v>
      </c>
      <c r="AW187" t="s">
        <v>1815</v>
      </c>
      <c r="AX187" t="s">
        <v>1817</v>
      </c>
      <c r="AY187" t="s">
        <v>1806</v>
      </c>
      <c r="AZ187" t="s">
        <v>76</v>
      </c>
    </row>
    <row r="188" spans="1:52" x14ac:dyDescent="0.2">
      <c r="A188" t="s">
        <v>537</v>
      </c>
      <c r="B188" t="s">
        <v>538</v>
      </c>
      <c r="C188" t="s">
        <v>539</v>
      </c>
      <c r="D188">
        <v>2009</v>
      </c>
      <c r="E188" t="s">
        <v>540</v>
      </c>
      <c r="F188" t="s">
        <v>541</v>
      </c>
      <c r="G188" t="s">
        <v>964</v>
      </c>
      <c r="H188" t="s">
        <v>543</v>
      </c>
      <c r="I188" t="s">
        <v>1772</v>
      </c>
      <c r="J188" t="s">
        <v>31</v>
      </c>
      <c r="K188" t="s">
        <v>34</v>
      </c>
      <c r="O188" s="18" t="s">
        <v>21</v>
      </c>
      <c r="P188" s="18" t="s">
        <v>78</v>
      </c>
      <c r="Q188" t="s">
        <v>38</v>
      </c>
      <c r="R188" t="s">
        <v>43</v>
      </c>
      <c r="S188" t="s">
        <v>47</v>
      </c>
      <c r="T188" t="s">
        <v>50</v>
      </c>
      <c r="U188">
        <v>177</v>
      </c>
      <c r="V188">
        <v>1</v>
      </c>
      <c r="AG188" t="s">
        <v>4</v>
      </c>
      <c r="AH188" t="s">
        <v>214</v>
      </c>
      <c r="AN188">
        <v>62</v>
      </c>
      <c r="AO188">
        <v>5.2999999999999999E-2</v>
      </c>
      <c r="AS188" t="s">
        <v>849</v>
      </c>
      <c r="AT188" t="s">
        <v>849</v>
      </c>
      <c r="AV188" t="s">
        <v>1803</v>
      </c>
      <c r="AW188" t="s">
        <v>1815</v>
      </c>
      <c r="AX188" t="s">
        <v>1817</v>
      </c>
      <c r="AY188" t="s">
        <v>1806</v>
      </c>
      <c r="AZ188" t="s">
        <v>76</v>
      </c>
    </row>
    <row r="189" spans="1:52" x14ac:dyDescent="0.2">
      <c r="A189" t="s">
        <v>548</v>
      </c>
      <c r="B189" t="s">
        <v>538</v>
      </c>
      <c r="C189" t="s">
        <v>549</v>
      </c>
      <c r="D189">
        <v>2014</v>
      </c>
      <c r="E189" t="s">
        <v>550</v>
      </c>
      <c r="F189" t="s">
        <v>551</v>
      </c>
      <c r="G189" t="s">
        <v>965</v>
      </c>
      <c r="H189" t="s">
        <v>544</v>
      </c>
      <c r="I189" t="s">
        <v>1772</v>
      </c>
      <c r="J189" t="s">
        <v>31</v>
      </c>
      <c r="K189" t="s">
        <v>35</v>
      </c>
      <c r="L189" t="s">
        <v>11</v>
      </c>
      <c r="M189" t="s">
        <v>18</v>
      </c>
      <c r="N189">
        <v>0</v>
      </c>
      <c r="O189" s="18" t="s">
        <v>20</v>
      </c>
      <c r="P189" s="18" t="s">
        <v>26</v>
      </c>
      <c r="S189" t="s">
        <v>47</v>
      </c>
      <c r="T189" t="s">
        <v>51</v>
      </c>
      <c r="W189">
        <v>38</v>
      </c>
      <c r="X189">
        <v>42</v>
      </c>
      <c r="AG189" t="s">
        <v>1788</v>
      </c>
      <c r="AH189" t="s">
        <v>213</v>
      </c>
      <c r="AI189">
        <v>-0.40699999999999997</v>
      </c>
      <c r="AS189" t="s">
        <v>849</v>
      </c>
      <c r="AT189" t="s">
        <v>849</v>
      </c>
      <c r="AV189" t="s">
        <v>1803</v>
      </c>
      <c r="AW189" t="s">
        <v>1815</v>
      </c>
      <c r="AX189" t="s">
        <v>1817</v>
      </c>
      <c r="AY189" t="s">
        <v>1806</v>
      </c>
      <c r="AZ189" t="s">
        <v>76</v>
      </c>
    </row>
    <row r="190" spans="1:52" x14ac:dyDescent="0.2">
      <c r="A190" t="s">
        <v>548</v>
      </c>
      <c r="B190" t="s">
        <v>538</v>
      </c>
      <c r="C190" t="s">
        <v>549</v>
      </c>
      <c r="D190">
        <v>2014</v>
      </c>
      <c r="E190" t="s">
        <v>550</v>
      </c>
      <c r="F190" t="s">
        <v>551</v>
      </c>
      <c r="G190" t="s">
        <v>965</v>
      </c>
      <c r="H190" t="s">
        <v>545</v>
      </c>
      <c r="I190" t="s">
        <v>1772</v>
      </c>
      <c r="J190" t="s">
        <v>31</v>
      </c>
      <c r="K190" t="s">
        <v>35</v>
      </c>
      <c r="L190" t="s">
        <v>11</v>
      </c>
      <c r="M190" t="s">
        <v>18</v>
      </c>
      <c r="N190">
        <v>0</v>
      </c>
      <c r="O190" s="18" t="s">
        <v>20</v>
      </c>
      <c r="P190" s="18" t="s">
        <v>26</v>
      </c>
      <c r="S190" t="s">
        <v>47</v>
      </c>
      <c r="T190" t="s">
        <v>51</v>
      </c>
      <c r="W190">
        <v>11</v>
      </c>
      <c r="X190">
        <v>16</v>
      </c>
      <c r="AG190" t="s">
        <v>1788</v>
      </c>
      <c r="AH190" t="s">
        <v>213</v>
      </c>
      <c r="AI190">
        <v>-1.1879999999999999</v>
      </c>
      <c r="AS190" t="s">
        <v>849</v>
      </c>
      <c r="AT190" t="s">
        <v>849</v>
      </c>
      <c r="AV190" t="s">
        <v>1803</v>
      </c>
      <c r="AW190" t="s">
        <v>1815</v>
      </c>
      <c r="AX190" t="s">
        <v>1817</v>
      </c>
      <c r="AY190" t="s">
        <v>1806</v>
      </c>
      <c r="AZ190" t="s">
        <v>76</v>
      </c>
    </row>
    <row r="191" spans="1:52" x14ac:dyDescent="0.2">
      <c r="A191" t="s">
        <v>548</v>
      </c>
      <c r="B191" t="s">
        <v>538</v>
      </c>
      <c r="C191" t="s">
        <v>549</v>
      </c>
      <c r="D191">
        <v>2014</v>
      </c>
      <c r="E191" t="s">
        <v>550</v>
      </c>
      <c r="F191" t="s">
        <v>551</v>
      </c>
      <c r="G191" t="s">
        <v>965</v>
      </c>
      <c r="H191" t="s">
        <v>546</v>
      </c>
      <c r="I191" t="s">
        <v>1772</v>
      </c>
      <c r="J191" t="s">
        <v>31</v>
      </c>
      <c r="K191" t="s">
        <v>35</v>
      </c>
      <c r="L191" t="s">
        <v>11</v>
      </c>
      <c r="M191" t="s">
        <v>18</v>
      </c>
      <c r="N191">
        <v>0</v>
      </c>
      <c r="O191" s="18" t="s">
        <v>20</v>
      </c>
      <c r="P191" s="18" t="s">
        <v>26</v>
      </c>
      <c r="S191" t="s">
        <v>47</v>
      </c>
      <c r="T191" t="s">
        <v>51</v>
      </c>
      <c r="W191">
        <v>16</v>
      </c>
      <c r="X191">
        <v>18</v>
      </c>
      <c r="AG191" t="s">
        <v>1788</v>
      </c>
      <c r="AH191" t="s">
        <v>213</v>
      </c>
      <c r="AI191">
        <v>-0.66200000000000003</v>
      </c>
      <c r="AS191" t="s">
        <v>849</v>
      </c>
      <c r="AT191" t="s">
        <v>849</v>
      </c>
      <c r="AV191" t="s">
        <v>1803</v>
      </c>
      <c r="AW191" t="s">
        <v>1815</v>
      </c>
      <c r="AX191" t="s">
        <v>1817</v>
      </c>
      <c r="AY191" t="s">
        <v>1806</v>
      </c>
      <c r="AZ191" t="s">
        <v>76</v>
      </c>
    </row>
    <row r="192" spans="1:52" x14ac:dyDescent="0.2">
      <c r="A192" t="s">
        <v>552</v>
      </c>
      <c r="B192" t="s">
        <v>553</v>
      </c>
      <c r="C192" t="s">
        <v>554</v>
      </c>
      <c r="D192">
        <v>2010</v>
      </c>
      <c r="E192" t="s">
        <v>555</v>
      </c>
      <c r="F192" t="s">
        <v>556</v>
      </c>
      <c r="G192" t="s">
        <v>966</v>
      </c>
      <c r="H192" t="s">
        <v>547</v>
      </c>
      <c r="I192" t="s">
        <v>440</v>
      </c>
      <c r="J192" t="s">
        <v>31</v>
      </c>
      <c r="K192" t="s">
        <v>35</v>
      </c>
      <c r="L192" t="s">
        <v>11</v>
      </c>
      <c r="M192" t="s">
        <v>18</v>
      </c>
      <c r="N192">
        <v>0</v>
      </c>
      <c r="O192" s="18" t="s">
        <v>21</v>
      </c>
      <c r="P192" s="18" t="s">
        <v>78</v>
      </c>
      <c r="S192" t="s">
        <v>47</v>
      </c>
      <c r="T192" t="s">
        <v>49</v>
      </c>
      <c r="U192">
        <v>650</v>
      </c>
      <c r="V192">
        <v>1</v>
      </c>
      <c r="W192">
        <v>26</v>
      </c>
      <c r="X192">
        <v>23</v>
      </c>
      <c r="AA192">
        <v>7.0909535452322796</v>
      </c>
      <c r="AB192">
        <v>0.99736323004259897</v>
      </c>
      <c r="AC192">
        <v>6.2655256723716404</v>
      </c>
      <c r="AD192">
        <v>0.82549276098097002</v>
      </c>
      <c r="AE192" t="s">
        <v>71</v>
      </c>
      <c r="AF192" t="s">
        <v>61</v>
      </c>
      <c r="AG192" t="str">
        <f t="shared" ref="AG192:AG204" si="6">IF(AE192="mean", "mean", "")</f>
        <v>mean</v>
      </c>
      <c r="AH192" t="s">
        <v>213</v>
      </c>
      <c r="AS192" t="s">
        <v>849</v>
      </c>
      <c r="AT192" t="s">
        <v>849</v>
      </c>
      <c r="AV192" t="s">
        <v>1803</v>
      </c>
      <c r="AW192" t="s">
        <v>1815</v>
      </c>
      <c r="AX192" t="s">
        <v>1805</v>
      </c>
      <c r="AY192" t="s">
        <v>1806</v>
      </c>
      <c r="AZ192" t="s">
        <v>76</v>
      </c>
    </row>
    <row r="193" spans="1:52" x14ac:dyDescent="0.2">
      <c r="A193" t="s">
        <v>552</v>
      </c>
      <c r="B193" t="s">
        <v>553</v>
      </c>
      <c r="C193" t="s">
        <v>554</v>
      </c>
      <c r="D193">
        <v>2010</v>
      </c>
      <c r="E193" t="s">
        <v>555</v>
      </c>
      <c r="F193" t="s">
        <v>556</v>
      </c>
      <c r="G193" t="s">
        <v>966</v>
      </c>
      <c r="H193" t="s">
        <v>557</v>
      </c>
      <c r="I193" t="s">
        <v>440</v>
      </c>
      <c r="J193" t="s">
        <v>31</v>
      </c>
      <c r="K193" t="s">
        <v>35</v>
      </c>
      <c r="L193" t="s">
        <v>11</v>
      </c>
      <c r="M193" t="s">
        <v>18</v>
      </c>
      <c r="N193">
        <v>0</v>
      </c>
      <c r="O193" s="18" t="s">
        <v>21</v>
      </c>
      <c r="P193" s="18" t="s">
        <v>78</v>
      </c>
      <c r="S193" t="s">
        <v>47</v>
      </c>
      <c r="T193" t="s">
        <v>49</v>
      </c>
      <c r="U193">
        <v>650</v>
      </c>
      <c r="V193">
        <v>1</v>
      </c>
      <c r="W193">
        <v>26</v>
      </c>
      <c r="X193">
        <v>23</v>
      </c>
      <c r="AA193">
        <v>1.3931930693069301</v>
      </c>
      <c r="AB193">
        <v>0.198786033017541</v>
      </c>
      <c r="AC193">
        <v>1.29071782178218</v>
      </c>
      <c r="AD193">
        <v>0.14423107180259701</v>
      </c>
      <c r="AE193" t="s">
        <v>71</v>
      </c>
      <c r="AF193" t="s">
        <v>61</v>
      </c>
      <c r="AG193" t="str">
        <f t="shared" si="6"/>
        <v>mean</v>
      </c>
      <c r="AH193" t="s">
        <v>213</v>
      </c>
      <c r="AS193" t="s">
        <v>849</v>
      </c>
      <c r="AT193" t="s">
        <v>849</v>
      </c>
      <c r="AV193" t="s">
        <v>1803</v>
      </c>
      <c r="AW193" t="s">
        <v>1815</v>
      </c>
      <c r="AX193" t="s">
        <v>1805</v>
      </c>
      <c r="AY193" t="s">
        <v>1806</v>
      </c>
      <c r="AZ193" t="s">
        <v>76</v>
      </c>
    </row>
    <row r="194" spans="1:52" x14ac:dyDescent="0.2">
      <c r="A194" t="s">
        <v>552</v>
      </c>
      <c r="B194" t="s">
        <v>553</v>
      </c>
      <c r="C194" t="s">
        <v>554</v>
      </c>
      <c r="D194">
        <v>2010</v>
      </c>
      <c r="E194" t="s">
        <v>555</v>
      </c>
      <c r="F194" t="s">
        <v>556</v>
      </c>
      <c r="G194" t="s">
        <v>967</v>
      </c>
      <c r="H194" t="s">
        <v>558</v>
      </c>
      <c r="I194" t="s">
        <v>440</v>
      </c>
      <c r="J194" t="s">
        <v>31</v>
      </c>
      <c r="K194" t="s">
        <v>35</v>
      </c>
      <c r="L194" t="s">
        <v>11</v>
      </c>
      <c r="M194" t="s">
        <v>18</v>
      </c>
      <c r="N194">
        <v>0</v>
      </c>
      <c r="O194" s="18" t="s">
        <v>20</v>
      </c>
      <c r="P194" s="18" t="s">
        <v>24</v>
      </c>
      <c r="S194" t="s">
        <v>47</v>
      </c>
      <c r="T194" t="s">
        <v>49</v>
      </c>
      <c r="U194">
        <v>651</v>
      </c>
      <c r="V194">
        <v>2</v>
      </c>
      <c r="W194">
        <v>30</v>
      </c>
      <c r="X194">
        <v>30</v>
      </c>
      <c r="AA194">
        <v>48.622754491018</v>
      </c>
      <c r="AB194">
        <v>36.733488886574001</v>
      </c>
      <c r="AC194">
        <v>62.275449101796397</v>
      </c>
      <c r="AD194">
        <v>28.862026982308301</v>
      </c>
      <c r="AE194" t="s">
        <v>71</v>
      </c>
      <c r="AF194" t="s">
        <v>61</v>
      </c>
      <c r="AG194" t="str">
        <f t="shared" si="6"/>
        <v>mean</v>
      </c>
      <c r="AH194" t="s">
        <v>213</v>
      </c>
      <c r="AS194" t="s">
        <v>849</v>
      </c>
      <c r="AT194" t="s">
        <v>849</v>
      </c>
      <c r="AV194" t="s">
        <v>1803</v>
      </c>
      <c r="AW194" t="s">
        <v>1815</v>
      </c>
      <c r="AX194" t="s">
        <v>1805</v>
      </c>
      <c r="AY194" t="s">
        <v>1806</v>
      </c>
      <c r="AZ194" t="s">
        <v>76</v>
      </c>
    </row>
    <row r="195" spans="1:52" x14ac:dyDescent="0.2">
      <c r="A195" t="s">
        <v>552</v>
      </c>
      <c r="B195" t="s">
        <v>553</v>
      </c>
      <c r="C195" t="s">
        <v>554</v>
      </c>
      <c r="D195">
        <v>2010</v>
      </c>
      <c r="E195" t="s">
        <v>555</v>
      </c>
      <c r="F195" t="s">
        <v>556</v>
      </c>
      <c r="G195" t="s">
        <v>968</v>
      </c>
      <c r="H195" t="s">
        <v>559</v>
      </c>
      <c r="I195" t="s">
        <v>440</v>
      </c>
      <c r="J195" t="s">
        <v>31</v>
      </c>
      <c r="K195" t="s">
        <v>35</v>
      </c>
      <c r="L195" t="s">
        <v>12</v>
      </c>
      <c r="O195" s="18" t="s">
        <v>20</v>
      </c>
      <c r="P195" s="18" t="s">
        <v>27</v>
      </c>
      <c r="Q195" t="s">
        <v>37</v>
      </c>
      <c r="R195" t="s">
        <v>39</v>
      </c>
      <c r="S195" t="s">
        <v>47</v>
      </c>
      <c r="T195" t="s">
        <v>49</v>
      </c>
      <c r="U195">
        <v>651</v>
      </c>
      <c r="V195" t="s">
        <v>560</v>
      </c>
      <c r="W195">
        <v>26</v>
      </c>
      <c r="X195">
        <v>32</v>
      </c>
      <c r="AA195" s="11">
        <v>3.52332361516035E-5</v>
      </c>
      <c r="AB195" s="11">
        <v>3.8097181680254802E-5</v>
      </c>
      <c r="AC195" s="11">
        <v>3.7769679300291599E-5</v>
      </c>
      <c r="AD195" s="11">
        <v>3.47863138828196E-5</v>
      </c>
      <c r="AE195" t="s">
        <v>71</v>
      </c>
      <c r="AF195" t="s">
        <v>61</v>
      </c>
      <c r="AG195" t="str">
        <f t="shared" si="6"/>
        <v>mean</v>
      </c>
      <c r="AH195" t="s">
        <v>213</v>
      </c>
      <c r="AS195" t="s">
        <v>849</v>
      </c>
      <c r="AT195" t="s">
        <v>849</v>
      </c>
      <c r="AV195" t="s">
        <v>1803</v>
      </c>
      <c r="AW195" t="s">
        <v>1815</v>
      </c>
      <c r="AX195" t="s">
        <v>1805</v>
      </c>
      <c r="AY195" t="s">
        <v>1806</v>
      </c>
      <c r="AZ195" t="s">
        <v>76</v>
      </c>
    </row>
    <row r="196" spans="1:52" x14ac:dyDescent="0.2">
      <c r="A196" t="s">
        <v>552</v>
      </c>
      <c r="B196" t="s">
        <v>553</v>
      </c>
      <c r="C196" t="s">
        <v>554</v>
      </c>
      <c r="D196">
        <v>2010</v>
      </c>
      <c r="E196" t="s">
        <v>555</v>
      </c>
      <c r="F196" t="s">
        <v>556</v>
      </c>
      <c r="G196" t="s">
        <v>968</v>
      </c>
      <c r="H196" t="s">
        <v>562</v>
      </c>
      <c r="I196" t="s">
        <v>440</v>
      </c>
      <c r="J196" t="s">
        <v>31</v>
      </c>
      <c r="K196" t="s">
        <v>35</v>
      </c>
      <c r="L196" t="s">
        <v>12</v>
      </c>
      <c r="O196" s="18" t="s">
        <v>20</v>
      </c>
      <c r="P196" s="18" t="s">
        <v>27</v>
      </c>
      <c r="Q196" t="s">
        <v>37</v>
      </c>
      <c r="R196" t="s">
        <v>39</v>
      </c>
      <c r="S196" t="s">
        <v>47</v>
      </c>
      <c r="T196" t="s">
        <v>49</v>
      </c>
      <c r="U196">
        <v>651</v>
      </c>
      <c r="V196" t="s">
        <v>560</v>
      </c>
      <c r="W196">
        <v>26</v>
      </c>
      <c r="X196">
        <v>29</v>
      </c>
      <c r="AA196" s="11">
        <v>4.7653061224489799E-5</v>
      </c>
      <c r="AB196" s="11">
        <v>3.3441402446636997E-5</v>
      </c>
      <c r="AC196" s="11">
        <v>3.7769679300291599E-5</v>
      </c>
      <c r="AD196" s="11">
        <v>3.47863138828196E-5</v>
      </c>
      <c r="AE196" t="s">
        <v>71</v>
      </c>
      <c r="AF196" t="s">
        <v>61</v>
      </c>
      <c r="AG196" t="str">
        <f t="shared" si="6"/>
        <v>mean</v>
      </c>
      <c r="AH196" t="s">
        <v>213</v>
      </c>
      <c r="AS196" t="s">
        <v>849</v>
      </c>
      <c r="AT196" t="s">
        <v>849</v>
      </c>
      <c r="AV196" t="s">
        <v>1803</v>
      </c>
      <c r="AW196" t="s">
        <v>1815</v>
      </c>
      <c r="AX196" t="s">
        <v>1805</v>
      </c>
      <c r="AY196" t="s">
        <v>1806</v>
      </c>
      <c r="AZ196" t="s">
        <v>76</v>
      </c>
    </row>
    <row r="197" spans="1:52" x14ac:dyDescent="0.2">
      <c r="A197" t="s">
        <v>552</v>
      </c>
      <c r="B197" t="s">
        <v>553</v>
      </c>
      <c r="C197" t="s">
        <v>554</v>
      </c>
      <c r="D197">
        <v>2010</v>
      </c>
      <c r="E197" t="s">
        <v>555</v>
      </c>
      <c r="F197" t="s">
        <v>556</v>
      </c>
      <c r="G197" t="s">
        <v>968</v>
      </c>
      <c r="H197" t="s">
        <v>563</v>
      </c>
      <c r="I197" t="s">
        <v>440</v>
      </c>
      <c r="J197" t="s">
        <v>31</v>
      </c>
      <c r="K197" t="s">
        <v>35</v>
      </c>
      <c r="L197" t="s">
        <v>12</v>
      </c>
      <c r="O197" s="18" t="s">
        <v>20</v>
      </c>
      <c r="P197" s="18" t="s">
        <v>27</v>
      </c>
      <c r="Q197" t="s">
        <v>37</v>
      </c>
      <c r="R197" t="s">
        <v>40</v>
      </c>
      <c r="S197" t="s">
        <v>47</v>
      </c>
      <c r="T197" t="s">
        <v>49</v>
      </c>
      <c r="U197">
        <v>651</v>
      </c>
      <c r="V197" t="s">
        <v>560</v>
      </c>
      <c r="W197">
        <v>26</v>
      </c>
      <c r="X197">
        <v>32</v>
      </c>
      <c r="AA197">
        <v>1.1613636363636401E-3</v>
      </c>
      <c r="AB197">
        <v>4.3712055564259198E-4</v>
      </c>
      <c r="AC197">
        <v>1.02727272727273E-3</v>
      </c>
      <c r="AD197">
        <v>5.2149063207198795E-4</v>
      </c>
      <c r="AE197" t="s">
        <v>71</v>
      </c>
      <c r="AF197" t="s">
        <v>61</v>
      </c>
      <c r="AG197" t="str">
        <f t="shared" si="6"/>
        <v>mean</v>
      </c>
      <c r="AH197" t="s">
        <v>213</v>
      </c>
      <c r="AS197" t="s">
        <v>849</v>
      </c>
      <c r="AT197" t="s">
        <v>849</v>
      </c>
      <c r="AV197" t="s">
        <v>1803</v>
      </c>
      <c r="AW197" t="s">
        <v>1815</v>
      </c>
      <c r="AX197" t="s">
        <v>1805</v>
      </c>
      <c r="AY197" t="s">
        <v>1806</v>
      </c>
      <c r="AZ197" t="s">
        <v>76</v>
      </c>
    </row>
    <row r="198" spans="1:52" x14ac:dyDescent="0.2">
      <c r="A198" t="s">
        <v>552</v>
      </c>
      <c r="B198" t="s">
        <v>553</v>
      </c>
      <c r="C198" t="s">
        <v>554</v>
      </c>
      <c r="D198">
        <v>2010</v>
      </c>
      <c r="E198" t="s">
        <v>555</v>
      </c>
      <c r="F198" t="s">
        <v>556</v>
      </c>
      <c r="G198" t="s">
        <v>968</v>
      </c>
      <c r="H198" t="s">
        <v>564</v>
      </c>
      <c r="I198" t="s">
        <v>440</v>
      </c>
      <c r="J198" t="s">
        <v>31</v>
      </c>
      <c r="K198" t="s">
        <v>35</v>
      </c>
      <c r="L198" t="s">
        <v>12</v>
      </c>
      <c r="O198" s="18" t="s">
        <v>20</v>
      </c>
      <c r="P198" s="18" t="s">
        <v>27</v>
      </c>
      <c r="Q198" t="s">
        <v>37</v>
      </c>
      <c r="R198" t="s">
        <v>40</v>
      </c>
      <c r="S198" t="s">
        <v>47</v>
      </c>
      <c r="T198" t="s">
        <v>49</v>
      </c>
      <c r="V198" t="s">
        <v>560</v>
      </c>
      <c r="W198">
        <v>26</v>
      </c>
      <c r="X198">
        <v>29</v>
      </c>
      <c r="AA198">
        <v>1.3977272727272701E-3</v>
      </c>
      <c r="AB198">
        <v>4.6508241516161501E-4</v>
      </c>
      <c r="AC198">
        <v>1.02727272727273E-3</v>
      </c>
      <c r="AD198">
        <v>5.2149063207198795E-4</v>
      </c>
      <c r="AE198" t="s">
        <v>71</v>
      </c>
      <c r="AF198" t="s">
        <v>61</v>
      </c>
      <c r="AG198" t="str">
        <f t="shared" si="6"/>
        <v>mean</v>
      </c>
      <c r="AH198" t="s">
        <v>213</v>
      </c>
      <c r="AS198" t="s">
        <v>849</v>
      </c>
      <c r="AT198" t="s">
        <v>849</v>
      </c>
      <c r="AV198" t="s">
        <v>1803</v>
      </c>
      <c r="AW198" t="s">
        <v>1815</v>
      </c>
      <c r="AX198" t="s">
        <v>1805</v>
      </c>
      <c r="AY198" t="s">
        <v>1806</v>
      </c>
      <c r="AZ198" t="s">
        <v>76</v>
      </c>
    </row>
    <row r="199" spans="1:52" x14ac:dyDescent="0.2">
      <c r="A199" t="s">
        <v>552</v>
      </c>
      <c r="B199" t="s">
        <v>553</v>
      </c>
      <c r="C199" t="s">
        <v>554</v>
      </c>
      <c r="D199">
        <v>2010</v>
      </c>
      <c r="E199" t="s">
        <v>555</v>
      </c>
      <c r="F199" t="s">
        <v>556</v>
      </c>
      <c r="G199" t="s">
        <v>968</v>
      </c>
      <c r="H199" t="s">
        <v>565</v>
      </c>
      <c r="I199" t="s">
        <v>440</v>
      </c>
      <c r="J199" t="s">
        <v>31</v>
      </c>
      <c r="K199" t="s">
        <v>35</v>
      </c>
      <c r="L199" t="s">
        <v>12</v>
      </c>
      <c r="O199" s="18" t="s">
        <v>20</v>
      </c>
      <c r="P199" s="18" t="s">
        <v>27</v>
      </c>
      <c r="Q199" t="s">
        <v>38</v>
      </c>
      <c r="R199" t="s">
        <v>43</v>
      </c>
      <c r="S199" t="s">
        <v>47</v>
      </c>
      <c r="T199" t="s">
        <v>49</v>
      </c>
      <c r="U199">
        <v>651</v>
      </c>
      <c r="V199" t="s">
        <v>561</v>
      </c>
      <c r="W199">
        <v>26</v>
      </c>
      <c r="X199">
        <v>32</v>
      </c>
      <c r="AA199">
        <v>41.353333333333303</v>
      </c>
      <c r="AB199">
        <v>13.9912861770778</v>
      </c>
      <c r="AC199">
        <v>38.553333333333299</v>
      </c>
      <c r="AD199">
        <v>14.0393003940921</v>
      </c>
      <c r="AE199" t="s">
        <v>71</v>
      </c>
      <c r="AF199" t="s">
        <v>61</v>
      </c>
      <c r="AG199" t="str">
        <f t="shared" si="6"/>
        <v>mean</v>
      </c>
      <c r="AH199" t="s">
        <v>213</v>
      </c>
      <c r="AS199" t="s">
        <v>849</v>
      </c>
      <c r="AT199" t="s">
        <v>849</v>
      </c>
      <c r="AV199" t="s">
        <v>1803</v>
      </c>
      <c r="AW199" t="s">
        <v>1815</v>
      </c>
      <c r="AX199" t="s">
        <v>1805</v>
      </c>
      <c r="AY199" t="s">
        <v>1806</v>
      </c>
      <c r="AZ199" t="s">
        <v>76</v>
      </c>
    </row>
    <row r="200" spans="1:52" x14ac:dyDescent="0.2">
      <c r="A200" t="s">
        <v>552</v>
      </c>
      <c r="B200" t="s">
        <v>553</v>
      </c>
      <c r="C200" t="s">
        <v>554</v>
      </c>
      <c r="D200">
        <v>2010</v>
      </c>
      <c r="E200" t="s">
        <v>555</v>
      </c>
      <c r="F200" t="s">
        <v>556</v>
      </c>
      <c r="G200" t="s">
        <v>968</v>
      </c>
      <c r="H200" t="s">
        <v>566</v>
      </c>
      <c r="I200" t="s">
        <v>440</v>
      </c>
      <c r="J200" t="s">
        <v>31</v>
      </c>
      <c r="K200" t="s">
        <v>35</v>
      </c>
      <c r="L200" t="s">
        <v>12</v>
      </c>
      <c r="O200" s="18" t="s">
        <v>20</v>
      </c>
      <c r="P200" s="18" t="s">
        <v>27</v>
      </c>
      <c r="Q200" t="s">
        <v>38</v>
      </c>
      <c r="R200" t="s">
        <v>43</v>
      </c>
      <c r="S200" t="s">
        <v>47</v>
      </c>
      <c r="T200" t="s">
        <v>49</v>
      </c>
      <c r="U200">
        <v>651</v>
      </c>
      <c r="V200" t="s">
        <v>561</v>
      </c>
      <c r="W200">
        <v>26</v>
      </c>
      <c r="X200">
        <v>29</v>
      </c>
      <c r="AA200">
        <v>41.4</v>
      </c>
      <c r="AB200">
        <v>16.083692223975</v>
      </c>
      <c r="AC200">
        <v>38.553333333333299</v>
      </c>
      <c r="AD200">
        <v>14.0393003940921</v>
      </c>
      <c r="AE200" t="s">
        <v>71</v>
      </c>
      <c r="AF200" t="s">
        <v>61</v>
      </c>
      <c r="AG200" t="str">
        <f t="shared" si="6"/>
        <v>mean</v>
      </c>
      <c r="AH200" t="s">
        <v>213</v>
      </c>
      <c r="AS200" t="s">
        <v>849</v>
      </c>
      <c r="AT200" t="s">
        <v>849</v>
      </c>
      <c r="AV200" t="s">
        <v>1803</v>
      </c>
      <c r="AW200" t="s">
        <v>1815</v>
      </c>
      <c r="AX200" t="s">
        <v>1805</v>
      </c>
      <c r="AY200" t="s">
        <v>1806</v>
      </c>
      <c r="AZ200" t="s">
        <v>76</v>
      </c>
    </row>
    <row r="201" spans="1:52" x14ac:dyDescent="0.2">
      <c r="A201" t="s">
        <v>571</v>
      </c>
      <c r="B201" t="s">
        <v>572</v>
      </c>
      <c r="C201" t="s">
        <v>573</v>
      </c>
      <c r="D201">
        <v>2013</v>
      </c>
      <c r="E201" t="s">
        <v>574</v>
      </c>
      <c r="F201" t="s">
        <v>575</v>
      </c>
      <c r="G201" t="s">
        <v>969</v>
      </c>
      <c r="H201" t="s">
        <v>567</v>
      </c>
      <c r="I201" t="s">
        <v>576</v>
      </c>
      <c r="J201" t="s">
        <v>536</v>
      </c>
      <c r="K201" t="s">
        <v>35</v>
      </c>
      <c r="L201" t="s">
        <v>11</v>
      </c>
      <c r="M201" t="s">
        <v>18</v>
      </c>
      <c r="N201">
        <v>0</v>
      </c>
      <c r="O201" s="18" t="s">
        <v>21</v>
      </c>
      <c r="P201" s="18" t="s">
        <v>78</v>
      </c>
      <c r="S201" t="s">
        <v>48</v>
      </c>
      <c r="T201" t="s">
        <v>577</v>
      </c>
      <c r="W201">
        <v>18</v>
      </c>
      <c r="X201">
        <v>21</v>
      </c>
      <c r="AA201">
        <v>159.16134833999999</v>
      </c>
      <c r="AB201">
        <v>20.954046423000001</v>
      </c>
      <c r="AC201">
        <v>179.79061154999999</v>
      </c>
      <c r="AD201">
        <v>26.611563133000001</v>
      </c>
      <c r="AE201" t="s">
        <v>71</v>
      </c>
      <c r="AF201" t="s">
        <v>62</v>
      </c>
      <c r="AG201" t="str">
        <f t="shared" si="6"/>
        <v>mean</v>
      </c>
      <c r="AH201" t="s">
        <v>213</v>
      </c>
      <c r="AS201" t="s">
        <v>849</v>
      </c>
      <c r="AT201" t="s">
        <v>849</v>
      </c>
      <c r="AV201" t="s">
        <v>1803</v>
      </c>
      <c r="AW201" t="s">
        <v>1807</v>
      </c>
      <c r="AX201" t="s">
        <v>1808</v>
      </c>
      <c r="AY201" t="s">
        <v>1811</v>
      </c>
      <c r="AZ201" t="s">
        <v>76</v>
      </c>
    </row>
    <row r="202" spans="1:52" x14ac:dyDescent="0.2">
      <c r="A202" t="s">
        <v>571</v>
      </c>
      <c r="B202" t="s">
        <v>572</v>
      </c>
      <c r="C202" t="s">
        <v>573</v>
      </c>
      <c r="D202">
        <v>2013</v>
      </c>
      <c r="E202" t="s">
        <v>574</v>
      </c>
      <c r="F202" t="s">
        <v>575</v>
      </c>
      <c r="G202" t="s">
        <v>970</v>
      </c>
      <c r="H202" t="s">
        <v>568</v>
      </c>
      <c r="I202" t="s">
        <v>576</v>
      </c>
      <c r="J202" t="s">
        <v>536</v>
      </c>
      <c r="K202" t="s">
        <v>35</v>
      </c>
      <c r="L202" t="s">
        <v>11</v>
      </c>
      <c r="M202" t="s">
        <v>18</v>
      </c>
      <c r="N202">
        <v>0</v>
      </c>
      <c r="O202" s="18" t="s">
        <v>21</v>
      </c>
      <c r="P202" s="18" t="s">
        <v>78</v>
      </c>
      <c r="S202" t="s">
        <v>48</v>
      </c>
      <c r="T202" t="s">
        <v>577</v>
      </c>
      <c r="W202">
        <v>17</v>
      </c>
      <c r="X202">
        <v>14</v>
      </c>
      <c r="AA202">
        <v>267.39259981999999</v>
      </c>
      <c r="AB202">
        <v>30.433355039999999</v>
      </c>
      <c r="AC202">
        <v>200.70575302</v>
      </c>
      <c r="AD202">
        <v>26.611563133000001</v>
      </c>
      <c r="AE202" t="s">
        <v>71</v>
      </c>
      <c r="AF202" t="s">
        <v>62</v>
      </c>
      <c r="AG202" t="str">
        <f t="shared" si="6"/>
        <v>mean</v>
      </c>
      <c r="AH202" t="s">
        <v>213</v>
      </c>
      <c r="AS202" t="s">
        <v>849</v>
      </c>
      <c r="AT202" t="s">
        <v>849</v>
      </c>
      <c r="AV202" t="s">
        <v>1803</v>
      </c>
      <c r="AW202" t="s">
        <v>1807</v>
      </c>
      <c r="AX202" t="s">
        <v>1808</v>
      </c>
      <c r="AY202" t="s">
        <v>1811</v>
      </c>
      <c r="AZ202" t="s">
        <v>76</v>
      </c>
    </row>
    <row r="203" spans="1:52" x14ac:dyDescent="0.2">
      <c r="A203" t="s">
        <v>571</v>
      </c>
      <c r="B203" t="s">
        <v>572</v>
      </c>
      <c r="C203" t="s">
        <v>573</v>
      </c>
      <c r="D203">
        <v>2013</v>
      </c>
      <c r="E203" t="s">
        <v>574</v>
      </c>
      <c r="F203" t="s">
        <v>575</v>
      </c>
      <c r="G203" t="s">
        <v>969</v>
      </c>
      <c r="H203" t="s">
        <v>569</v>
      </c>
      <c r="I203" t="s">
        <v>576</v>
      </c>
      <c r="J203" t="s">
        <v>536</v>
      </c>
      <c r="K203" t="s">
        <v>35</v>
      </c>
      <c r="L203" t="s">
        <v>11</v>
      </c>
      <c r="M203" t="s">
        <v>18</v>
      </c>
      <c r="N203">
        <v>0</v>
      </c>
      <c r="O203" s="18" t="s">
        <v>21</v>
      </c>
      <c r="P203" s="18" t="s">
        <v>78</v>
      </c>
      <c r="S203" t="s">
        <v>48</v>
      </c>
      <c r="T203" t="s">
        <v>577</v>
      </c>
      <c r="W203">
        <v>18</v>
      </c>
      <c r="X203">
        <v>21</v>
      </c>
      <c r="AA203" s="10">
        <v>447639.68797999999</v>
      </c>
      <c r="AB203" s="10">
        <v>54131.623133000001</v>
      </c>
      <c r="AC203" s="10">
        <v>533358.42301999999</v>
      </c>
      <c r="AD203" s="10">
        <v>48870.426423999997</v>
      </c>
      <c r="AE203" t="s">
        <v>71</v>
      </c>
      <c r="AF203" t="s">
        <v>62</v>
      </c>
      <c r="AG203" t="str">
        <f t="shared" si="6"/>
        <v>mean</v>
      </c>
      <c r="AH203" t="s">
        <v>213</v>
      </c>
      <c r="AS203" t="s">
        <v>849</v>
      </c>
      <c r="AT203" t="s">
        <v>849</v>
      </c>
      <c r="AV203" t="s">
        <v>1803</v>
      </c>
      <c r="AW203" t="s">
        <v>1807</v>
      </c>
      <c r="AX203" t="s">
        <v>1808</v>
      </c>
      <c r="AY203" t="s">
        <v>1811</v>
      </c>
      <c r="AZ203" t="s">
        <v>76</v>
      </c>
    </row>
    <row r="204" spans="1:52" x14ac:dyDescent="0.2">
      <c r="A204" t="s">
        <v>571</v>
      </c>
      <c r="B204" t="s">
        <v>572</v>
      </c>
      <c r="C204" t="s">
        <v>573</v>
      </c>
      <c r="D204">
        <v>2013</v>
      </c>
      <c r="E204" t="s">
        <v>574</v>
      </c>
      <c r="F204" t="s">
        <v>575</v>
      </c>
      <c r="G204" t="s">
        <v>970</v>
      </c>
      <c r="H204" t="s">
        <v>570</v>
      </c>
      <c r="I204" t="s">
        <v>576</v>
      </c>
      <c r="J204" t="s">
        <v>536</v>
      </c>
      <c r="K204" t="s">
        <v>35</v>
      </c>
      <c r="L204" t="s">
        <v>11</v>
      </c>
      <c r="M204" t="s">
        <v>18</v>
      </c>
      <c r="N204">
        <v>0</v>
      </c>
      <c r="O204" s="18" t="s">
        <v>21</v>
      </c>
      <c r="P204" s="18" t="s">
        <v>78</v>
      </c>
      <c r="S204" t="s">
        <v>48</v>
      </c>
      <c r="T204" t="s">
        <v>577</v>
      </c>
      <c r="W204">
        <v>17</v>
      </c>
      <c r="X204">
        <v>14</v>
      </c>
      <c r="AA204" s="10">
        <v>719686.36841999996</v>
      </c>
      <c r="AB204" s="10">
        <v>76549.855364000003</v>
      </c>
      <c r="AC204" s="10">
        <v>732122.59331000003</v>
      </c>
      <c r="AD204" s="10">
        <v>30325.152158000001</v>
      </c>
      <c r="AE204" t="s">
        <v>71</v>
      </c>
      <c r="AF204" t="s">
        <v>62</v>
      </c>
      <c r="AG204" t="str">
        <f t="shared" si="6"/>
        <v>mean</v>
      </c>
      <c r="AH204" t="s">
        <v>213</v>
      </c>
      <c r="AS204" t="s">
        <v>849</v>
      </c>
      <c r="AT204" t="s">
        <v>849</v>
      </c>
      <c r="AV204" t="s">
        <v>1803</v>
      </c>
      <c r="AW204" t="s">
        <v>1807</v>
      </c>
      <c r="AX204" t="s">
        <v>1808</v>
      </c>
      <c r="AY204" t="s">
        <v>1811</v>
      </c>
      <c r="AZ204" t="s">
        <v>76</v>
      </c>
    </row>
    <row r="205" spans="1:52" x14ac:dyDescent="0.2">
      <c r="A205" t="s">
        <v>578</v>
      </c>
      <c r="B205" t="s">
        <v>579</v>
      </c>
      <c r="C205" t="s">
        <v>580</v>
      </c>
      <c r="D205">
        <v>2013</v>
      </c>
      <c r="E205" t="s">
        <v>581</v>
      </c>
      <c r="F205" t="s">
        <v>582</v>
      </c>
      <c r="G205" t="s">
        <v>971</v>
      </c>
      <c r="H205" t="s">
        <v>583</v>
      </c>
      <c r="I205" t="s">
        <v>1773</v>
      </c>
      <c r="J205" t="s">
        <v>82</v>
      </c>
      <c r="K205" t="s">
        <v>34</v>
      </c>
      <c r="O205" s="18" t="s">
        <v>20</v>
      </c>
      <c r="P205" s="18" t="s">
        <v>1817</v>
      </c>
      <c r="Q205" t="s">
        <v>38</v>
      </c>
      <c r="R205" t="s">
        <v>43</v>
      </c>
      <c r="S205" t="s">
        <v>47</v>
      </c>
      <c r="T205" t="s">
        <v>49</v>
      </c>
      <c r="AA205" s="10"/>
      <c r="AB205" s="10"/>
      <c r="AC205" s="10"/>
      <c r="AD205" s="10"/>
      <c r="AG205" t="s">
        <v>4</v>
      </c>
      <c r="AH205" t="s">
        <v>213</v>
      </c>
      <c r="AN205">
        <v>43</v>
      </c>
      <c r="AO205">
        <v>-6.1774000000000004E-3</v>
      </c>
      <c r="AS205" t="s">
        <v>849</v>
      </c>
      <c r="AT205" t="s">
        <v>849</v>
      </c>
      <c r="AV205" t="s">
        <v>1812</v>
      </c>
      <c r="AW205" t="s">
        <v>1815</v>
      </c>
      <c r="AX205" t="s">
        <v>1817</v>
      </c>
      <c r="AZ205" t="s">
        <v>1820</v>
      </c>
    </row>
    <row r="206" spans="1:52" x14ac:dyDescent="0.2">
      <c r="A206" t="s">
        <v>578</v>
      </c>
      <c r="B206" t="s">
        <v>579</v>
      </c>
      <c r="C206" t="s">
        <v>580</v>
      </c>
      <c r="D206">
        <v>2013</v>
      </c>
      <c r="E206" t="s">
        <v>581</v>
      </c>
      <c r="F206" t="s">
        <v>582</v>
      </c>
      <c r="G206" t="s">
        <v>971</v>
      </c>
      <c r="H206" t="s">
        <v>584</v>
      </c>
      <c r="I206" t="s">
        <v>1773</v>
      </c>
      <c r="J206" t="s">
        <v>82</v>
      </c>
      <c r="K206" t="s">
        <v>34</v>
      </c>
      <c r="O206" s="18" t="s">
        <v>20</v>
      </c>
      <c r="P206" s="18" t="s">
        <v>1817</v>
      </c>
      <c r="Q206" t="s">
        <v>37</v>
      </c>
      <c r="R206" t="s">
        <v>39</v>
      </c>
      <c r="S206" t="s">
        <v>47</v>
      </c>
      <c r="T206" t="s">
        <v>49</v>
      </c>
      <c r="AA206" s="10"/>
      <c r="AB206" s="10"/>
      <c r="AC206" s="10"/>
      <c r="AD206" s="10"/>
      <c r="AG206" t="s">
        <v>4</v>
      </c>
      <c r="AH206" t="s">
        <v>213</v>
      </c>
      <c r="AN206">
        <v>44</v>
      </c>
      <c r="AO206">
        <v>0.32218082150430499</v>
      </c>
      <c r="AS206" t="s">
        <v>849</v>
      </c>
      <c r="AT206" t="s">
        <v>849</v>
      </c>
      <c r="AV206" t="s">
        <v>1812</v>
      </c>
      <c r="AW206" t="s">
        <v>1815</v>
      </c>
      <c r="AX206" t="s">
        <v>1817</v>
      </c>
      <c r="AZ206" t="s">
        <v>1820</v>
      </c>
    </row>
    <row r="207" spans="1:52" x14ac:dyDescent="0.2">
      <c r="A207" t="s">
        <v>578</v>
      </c>
      <c r="B207" t="s">
        <v>579</v>
      </c>
      <c r="C207" t="s">
        <v>580</v>
      </c>
      <c r="D207">
        <v>2013</v>
      </c>
      <c r="E207" t="s">
        <v>581</v>
      </c>
      <c r="F207" t="s">
        <v>582</v>
      </c>
      <c r="G207" t="s">
        <v>971</v>
      </c>
      <c r="H207" t="s">
        <v>585</v>
      </c>
      <c r="I207" t="s">
        <v>1773</v>
      </c>
      <c r="J207" t="s">
        <v>82</v>
      </c>
      <c r="K207" t="s">
        <v>34</v>
      </c>
      <c r="O207" s="18" t="s">
        <v>20</v>
      </c>
      <c r="P207" s="18" t="s">
        <v>1817</v>
      </c>
      <c r="Q207" t="s">
        <v>37</v>
      </c>
      <c r="R207" t="s">
        <v>42</v>
      </c>
      <c r="S207" t="s">
        <v>47</v>
      </c>
      <c r="T207" t="s">
        <v>49</v>
      </c>
      <c r="AA207" s="10"/>
      <c r="AB207" s="10"/>
      <c r="AC207" s="10"/>
      <c r="AD207" s="10"/>
      <c r="AG207" t="s">
        <v>4</v>
      </c>
      <c r="AH207" t="s">
        <v>213</v>
      </c>
      <c r="AN207">
        <v>39</v>
      </c>
      <c r="AO207">
        <v>-8.2771134080631102E-3</v>
      </c>
      <c r="AS207" t="s">
        <v>849</v>
      </c>
      <c r="AT207" t="s">
        <v>849</v>
      </c>
      <c r="AV207" t="s">
        <v>1812</v>
      </c>
      <c r="AW207" t="s">
        <v>1815</v>
      </c>
      <c r="AX207" t="s">
        <v>1817</v>
      </c>
      <c r="AZ207" t="s">
        <v>1820</v>
      </c>
    </row>
    <row r="208" spans="1:52" x14ac:dyDescent="0.2">
      <c r="A208" t="s">
        <v>599</v>
      </c>
      <c r="B208" t="s">
        <v>600</v>
      </c>
      <c r="C208" t="s">
        <v>601</v>
      </c>
      <c r="D208">
        <v>2014</v>
      </c>
      <c r="E208" t="s">
        <v>589</v>
      </c>
      <c r="F208" t="s">
        <v>590</v>
      </c>
      <c r="G208" t="s">
        <v>972</v>
      </c>
      <c r="H208" t="s">
        <v>586</v>
      </c>
      <c r="I208" t="s">
        <v>1090</v>
      </c>
      <c r="J208" t="s">
        <v>82</v>
      </c>
      <c r="K208" t="s">
        <v>35</v>
      </c>
      <c r="L208" t="s">
        <v>11</v>
      </c>
      <c r="M208" t="s">
        <v>19</v>
      </c>
      <c r="N208">
        <v>0</v>
      </c>
      <c r="O208" s="18" t="s">
        <v>20</v>
      </c>
      <c r="P208" s="18" t="s">
        <v>23</v>
      </c>
      <c r="S208" t="s">
        <v>47</v>
      </c>
      <c r="T208" t="s">
        <v>49</v>
      </c>
      <c r="W208">
        <v>90</v>
      </c>
      <c r="X208">
        <v>42</v>
      </c>
      <c r="AA208">
        <v>137.434554973822</v>
      </c>
      <c r="AB208">
        <v>27.318105441244999</v>
      </c>
      <c r="AC208">
        <v>192.14659685863899</v>
      </c>
      <c r="AD208">
        <v>72.950746081554399</v>
      </c>
      <c r="AE208" t="s">
        <v>71</v>
      </c>
      <c r="AF208" t="s">
        <v>61</v>
      </c>
      <c r="AG208" t="str">
        <f>IF(AE208="mean", "mean", "")</f>
        <v>mean</v>
      </c>
      <c r="AH208" t="s">
        <v>213</v>
      </c>
      <c r="AS208" t="s">
        <v>849</v>
      </c>
      <c r="AT208" t="s">
        <v>849</v>
      </c>
      <c r="AV208" t="s">
        <v>1803</v>
      </c>
      <c r="AW208" t="s">
        <v>1807</v>
      </c>
      <c r="AX208" t="s">
        <v>1808</v>
      </c>
      <c r="AY208" t="s">
        <v>1811</v>
      </c>
      <c r="AZ208" t="s">
        <v>76</v>
      </c>
    </row>
    <row r="209" spans="1:52" x14ac:dyDescent="0.2">
      <c r="A209" t="s">
        <v>599</v>
      </c>
      <c r="B209" t="s">
        <v>600</v>
      </c>
      <c r="C209" t="s">
        <v>601</v>
      </c>
      <c r="D209">
        <v>2014</v>
      </c>
      <c r="E209" t="s">
        <v>589</v>
      </c>
      <c r="F209" t="s">
        <v>590</v>
      </c>
      <c r="G209" t="s">
        <v>972</v>
      </c>
      <c r="H209" t="s">
        <v>587</v>
      </c>
      <c r="I209" t="s">
        <v>1090</v>
      </c>
      <c r="J209" t="s">
        <v>82</v>
      </c>
      <c r="K209" t="s">
        <v>35</v>
      </c>
      <c r="L209" t="s">
        <v>11</v>
      </c>
      <c r="M209" t="s">
        <v>19</v>
      </c>
      <c r="N209">
        <v>0</v>
      </c>
      <c r="O209" s="18" t="s">
        <v>20</v>
      </c>
      <c r="P209" s="18" t="s">
        <v>23</v>
      </c>
      <c r="S209" t="s">
        <v>47</v>
      </c>
      <c r="T209" t="s">
        <v>49</v>
      </c>
      <c r="W209">
        <v>90</v>
      </c>
      <c r="X209">
        <v>48</v>
      </c>
      <c r="AA209">
        <v>137.434554973822</v>
      </c>
      <c r="AB209">
        <v>27.318105441244999</v>
      </c>
      <c r="AC209">
        <v>135.07853403141399</v>
      </c>
      <c r="AD209">
        <v>21.7639892050538</v>
      </c>
      <c r="AE209" t="s">
        <v>71</v>
      </c>
      <c r="AF209" t="s">
        <v>61</v>
      </c>
      <c r="AG209" t="str">
        <f>IF(AE209="mean", "mean", "")</f>
        <v>mean</v>
      </c>
      <c r="AH209" t="s">
        <v>213</v>
      </c>
      <c r="AS209" t="s">
        <v>849</v>
      </c>
      <c r="AT209" t="s">
        <v>849</v>
      </c>
      <c r="AV209" t="s">
        <v>1803</v>
      </c>
      <c r="AW209" t="s">
        <v>1807</v>
      </c>
      <c r="AX209" t="s">
        <v>1808</v>
      </c>
      <c r="AY209" t="s">
        <v>1811</v>
      </c>
      <c r="AZ209" t="s">
        <v>76</v>
      </c>
    </row>
    <row r="210" spans="1:52" x14ac:dyDescent="0.2">
      <c r="A210" t="s">
        <v>603</v>
      </c>
      <c r="B210" t="s">
        <v>600</v>
      </c>
      <c r="C210" t="s">
        <v>604</v>
      </c>
      <c r="D210">
        <v>2015</v>
      </c>
      <c r="E210" t="s">
        <v>605</v>
      </c>
      <c r="F210" t="s">
        <v>602</v>
      </c>
      <c r="G210" t="s">
        <v>973</v>
      </c>
      <c r="H210" t="s">
        <v>591</v>
      </c>
      <c r="I210" t="s">
        <v>1054</v>
      </c>
      <c r="J210" t="s">
        <v>29</v>
      </c>
      <c r="K210" t="s">
        <v>34</v>
      </c>
      <c r="O210" s="18" t="s">
        <v>76</v>
      </c>
      <c r="P210" s="18" t="s">
        <v>27</v>
      </c>
      <c r="Q210" t="s">
        <v>38</v>
      </c>
      <c r="R210" t="s">
        <v>43</v>
      </c>
      <c r="S210" t="s">
        <v>47</v>
      </c>
      <c r="T210" t="s">
        <v>49</v>
      </c>
      <c r="W210">
        <v>26</v>
      </c>
      <c r="X210">
        <v>29</v>
      </c>
      <c r="AA210">
        <v>51.2435321270084</v>
      </c>
      <c r="AB210">
        <v>9.3289187513280307</v>
      </c>
      <c r="AC210">
        <v>55.1714979170413</v>
      </c>
      <c r="AD210">
        <v>8.1832620625684491</v>
      </c>
      <c r="AE210" t="s">
        <v>71</v>
      </c>
      <c r="AF210" t="s">
        <v>61</v>
      </c>
      <c r="AG210" t="str">
        <f>IF(AE210="mean", "mean", "")</f>
        <v>mean</v>
      </c>
      <c r="AH210" t="s">
        <v>213</v>
      </c>
      <c r="AS210" t="s">
        <v>849</v>
      </c>
      <c r="AT210" t="s">
        <v>849</v>
      </c>
      <c r="AV210" t="s">
        <v>1803</v>
      </c>
      <c r="AW210" t="s">
        <v>1804</v>
      </c>
      <c r="AX210" t="s">
        <v>1808</v>
      </c>
      <c r="AY210" t="s">
        <v>1814</v>
      </c>
      <c r="AZ210" t="s">
        <v>76</v>
      </c>
    </row>
    <row r="211" spans="1:52" x14ac:dyDescent="0.2">
      <c r="A211" t="s">
        <v>603</v>
      </c>
      <c r="B211" t="s">
        <v>600</v>
      </c>
      <c r="C211" t="s">
        <v>604</v>
      </c>
      <c r="D211">
        <v>2015</v>
      </c>
      <c r="E211" t="s">
        <v>605</v>
      </c>
      <c r="F211" t="s">
        <v>606</v>
      </c>
      <c r="G211" t="s">
        <v>974</v>
      </c>
      <c r="H211" t="s">
        <v>592</v>
      </c>
      <c r="I211" t="s">
        <v>1054</v>
      </c>
      <c r="J211" t="s">
        <v>29</v>
      </c>
      <c r="K211" t="s">
        <v>34</v>
      </c>
      <c r="O211" s="18" t="s">
        <v>76</v>
      </c>
      <c r="P211" s="18" t="s">
        <v>27</v>
      </c>
      <c r="Q211" t="s">
        <v>38</v>
      </c>
      <c r="R211" t="s">
        <v>43</v>
      </c>
      <c r="S211" t="s">
        <v>47</v>
      </c>
      <c r="T211" t="s">
        <v>49</v>
      </c>
      <c r="W211">
        <v>28</v>
      </c>
      <c r="X211">
        <v>27</v>
      </c>
      <c r="AA211">
        <v>54.516836952035803</v>
      </c>
      <c r="AB211">
        <v>3.7643005487814798</v>
      </c>
      <c r="AC211">
        <v>40.114295721915298</v>
      </c>
      <c r="AD211">
        <v>15.0572021951259</v>
      </c>
      <c r="AE211" t="s">
        <v>71</v>
      </c>
      <c r="AF211" t="s">
        <v>61</v>
      </c>
      <c r="AG211" t="str">
        <f>IF(AE211="mean", "mean", "")</f>
        <v>mean</v>
      </c>
      <c r="AH211" t="s">
        <v>213</v>
      </c>
      <c r="AS211" t="s">
        <v>849</v>
      </c>
      <c r="AT211" t="s">
        <v>849</v>
      </c>
      <c r="AV211" t="s">
        <v>1803</v>
      </c>
      <c r="AW211" t="s">
        <v>1804</v>
      </c>
      <c r="AX211" t="s">
        <v>1808</v>
      </c>
      <c r="AY211" t="s">
        <v>1814</v>
      </c>
      <c r="AZ211" t="s">
        <v>76</v>
      </c>
    </row>
    <row r="212" spans="1:52" x14ac:dyDescent="0.2">
      <c r="A212" t="s">
        <v>607</v>
      </c>
      <c r="B212" t="s">
        <v>608</v>
      </c>
      <c r="C212" t="s">
        <v>609</v>
      </c>
      <c r="D212">
        <v>2016</v>
      </c>
      <c r="E212" t="s">
        <v>610</v>
      </c>
      <c r="F212" t="s">
        <v>611</v>
      </c>
      <c r="G212" t="s">
        <v>975</v>
      </c>
      <c r="H212" t="s">
        <v>593</v>
      </c>
      <c r="I212" t="s">
        <v>514</v>
      </c>
      <c r="J212" t="s">
        <v>82</v>
      </c>
      <c r="K212" t="s">
        <v>35</v>
      </c>
      <c r="L212" t="s">
        <v>12</v>
      </c>
      <c r="O212" s="18" t="s">
        <v>76</v>
      </c>
      <c r="P212" s="18" t="s">
        <v>27</v>
      </c>
      <c r="Q212" t="s">
        <v>38</v>
      </c>
      <c r="R212" t="s">
        <v>45</v>
      </c>
      <c r="S212" t="s">
        <v>47</v>
      </c>
      <c r="T212" t="s">
        <v>49</v>
      </c>
      <c r="W212">
        <v>10</v>
      </c>
      <c r="X212">
        <v>10</v>
      </c>
      <c r="AA212">
        <v>0.62804878048780499</v>
      </c>
      <c r="AB212">
        <v>1.5618566492295001</v>
      </c>
      <c r="AC212">
        <v>0.48780487804878098</v>
      </c>
      <c r="AD212">
        <v>1.1954952129904799</v>
      </c>
      <c r="AE212" t="s">
        <v>71</v>
      </c>
      <c r="AF212" t="s">
        <v>61</v>
      </c>
      <c r="AG212" t="str">
        <f>IF(AE212="mean", "mean", "")</f>
        <v>mean</v>
      </c>
      <c r="AH212" t="s">
        <v>213</v>
      </c>
      <c r="AS212" t="s">
        <v>222</v>
      </c>
      <c r="AT212" t="s">
        <v>849</v>
      </c>
      <c r="AV212" t="s">
        <v>1803</v>
      </c>
      <c r="AW212" t="s">
        <v>1807</v>
      </c>
      <c r="AX212" t="s">
        <v>1808</v>
      </c>
      <c r="AY212" t="s">
        <v>1811</v>
      </c>
      <c r="AZ212" t="s">
        <v>76</v>
      </c>
    </row>
    <row r="213" spans="1:52" x14ac:dyDescent="0.2">
      <c r="A213" t="s">
        <v>612</v>
      </c>
      <c r="B213" t="s">
        <v>613</v>
      </c>
      <c r="C213" t="s">
        <v>614</v>
      </c>
      <c r="D213">
        <v>2008</v>
      </c>
      <c r="E213" t="s">
        <v>615</v>
      </c>
      <c r="F213" t="s">
        <v>616</v>
      </c>
      <c r="G213" t="s">
        <v>976</v>
      </c>
      <c r="H213" t="s">
        <v>594</v>
      </c>
      <c r="I213" t="s">
        <v>1774</v>
      </c>
      <c r="J213" t="s">
        <v>31</v>
      </c>
      <c r="K213" t="s">
        <v>35</v>
      </c>
      <c r="L213" t="s">
        <v>11</v>
      </c>
      <c r="M213" t="s">
        <v>18</v>
      </c>
      <c r="N213">
        <v>0</v>
      </c>
      <c r="O213" s="18" t="s">
        <v>20</v>
      </c>
      <c r="P213" s="18" t="s">
        <v>27</v>
      </c>
      <c r="S213" t="s">
        <v>47</v>
      </c>
      <c r="T213" t="s">
        <v>49</v>
      </c>
      <c r="U213">
        <v>167</v>
      </c>
      <c r="V213">
        <v>2</v>
      </c>
      <c r="W213">
        <v>43</v>
      </c>
      <c r="X213">
        <v>43</v>
      </c>
      <c r="Y213">
        <v>18.54</v>
      </c>
      <c r="Z213">
        <v>27.41</v>
      </c>
      <c r="AA213" s="10"/>
      <c r="AB213" s="10"/>
      <c r="AC213" s="10"/>
      <c r="AD213" s="10"/>
      <c r="AG213" t="s">
        <v>1790</v>
      </c>
      <c r="AH213" t="s">
        <v>213</v>
      </c>
      <c r="AS213" t="s">
        <v>849</v>
      </c>
      <c r="AT213" t="s">
        <v>222</v>
      </c>
      <c r="AV213" t="s">
        <v>1803</v>
      </c>
      <c r="AW213" t="s">
        <v>1815</v>
      </c>
      <c r="AX213" t="s">
        <v>1805</v>
      </c>
      <c r="AY213" t="s">
        <v>1806</v>
      </c>
      <c r="AZ213" t="s">
        <v>76</v>
      </c>
    </row>
    <row r="214" spans="1:52" x14ac:dyDescent="0.2">
      <c r="A214" t="s">
        <v>612</v>
      </c>
      <c r="B214" t="s">
        <v>613</v>
      </c>
      <c r="C214" t="s">
        <v>614</v>
      </c>
      <c r="D214">
        <v>2008</v>
      </c>
      <c r="E214" t="s">
        <v>615</v>
      </c>
      <c r="F214" t="s">
        <v>622</v>
      </c>
      <c r="G214" t="s">
        <v>977</v>
      </c>
      <c r="H214" t="s">
        <v>595</v>
      </c>
      <c r="I214" t="s">
        <v>1774</v>
      </c>
      <c r="J214" t="s">
        <v>31</v>
      </c>
      <c r="K214" t="s">
        <v>35</v>
      </c>
      <c r="L214" t="s">
        <v>11</v>
      </c>
      <c r="M214" t="s">
        <v>18</v>
      </c>
      <c r="N214">
        <v>0</v>
      </c>
      <c r="O214" s="18" t="s">
        <v>20</v>
      </c>
      <c r="P214" s="18" t="s">
        <v>27</v>
      </c>
      <c r="S214" t="s">
        <v>47</v>
      </c>
      <c r="T214" t="s">
        <v>49</v>
      </c>
      <c r="U214">
        <v>167</v>
      </c>
      <c r="V214">
        <v>2</v>
      </c>
      <c r="W214">
        <v>46</v>
      </c>
      <c r="X214">
        <v>47</v>
      </c>
      <c r="Y214">
        <v>24.13</v>
      </c>
      <c r="Z214">
        <v>38.020000000000003</v>
      </c>
      <c r="AA214" s="10"/>
      <c r="AB214" s="10"/>
      <c r="AC214" s="10"/>
      <c r="AD214" s="10"/>
      <c r="AG214" t="s">
        <v>1790</v>
      </c>
      <c r="AH214" t="s">
        <v>213</v>
      </c>
      <c r="AS214" t="s">
        <v>849</v>
      </c>
      <c r="AT214" t="s">
        <v>222</v>
      </c>
      <c r="AV214" t="s">
        <v>1803</v>
      </c>
      <c r="AW214" t="s">
        <v>1815</v>
      </c>
      <c r="AX214" t="s">
        <v>1805</v>
      </c>
      <c r="AY214" t="s">
        <v>1806</v>
      </c>
      <c r="AZ214" t="s">
        <v>76</v>
      </c>
    </row>
    <row r="215" spans="1:52" x14ac:dyDescent="0.2">
      <c r="A215" t="s">
        <v>612</v>
      </c>
      <c r="B215" t="s">
        <v>613</v>
      </c>
      <c r="C215" t="s">
        <v>614</v>
      </c>
      <c r="D215">
        <v>2008</v>
      </c>
      <c r="E215" t="s">
        <v>615</v>
      </c>
      <c r="F215" t="s">
        <v>623</v>
      </c>
      <c r="G215" t="s">
        <v>978</v>
      </c>
      <c r="H215" t="s">
        <v>596</v>
      </c>
      <c r="I215" t="s">
        <v>1774</v>
      </c>
      <c r="J215" t="s">
        <v>31</v>
      </c>
      <c r="K215" t="s">
        <v>35</v>
      </c>
      <c r="L215" t="s">
        <v>11</v>
      </c>
      <c r="M215" t="s">
        <v>18</v>
      </c>
      <c r="N215">
        <v>0</v>
      </c>
      <c r="O215" s="18" t="s">
        <v>20</v>
      </c>
      <c r="P215" s="18" t="s">
        <v>24</v>
      </c>
      <c r="S215" t="s">
        <v>47</v>
      </c>
      <c r="T215" t="s">
        <v>49</v>
      </c>
      <c r="U215">
        <v>168</v>
      </c>
      <c r="V215">
        <v>4</v>
      </c>
      <c r="W215">
        <v>21</v>
      </c>
      <c r="X215">
        <v>21</v>
      </c>
      <c r="AA215">
        <v>32.9166666666667</v>
      </c>
      <c r="AB215">
        <v>31.823442326082201</v>
      </c>
      <c r="AC215">
        <v>15.6944444444444</v>
      </c>
      <c r="AD215">
        <v>22.912878474779198</v>
      </c>
      <c r="AE215" t="s">
        <v>71</v>
      </c>
      <c r="AF215" t="s">
        <v>61</v>
      </c>
      <c r="AG215" t="str">
        <f>IF(AE215="mean", "mean", "")</f>
        <v>mean</v>
      </c>
      <c r="AH215" t="s">
        <v>213</v>
      </c>
      <c r="AS215" t="s">
        <v>849</v>
      </c>
      <c r="AT215" t="s">
        <v>849</v>
      </c>
      <c r="AV215" t="s">
        <v>1803</v>
      </c>
      <c r="AW215" t="s">
        <v>1815</v>
      </c>
      <c r="AX215" t="s">
        <v>1805</v>
      </c>
      <c r="AY215" t="s">
        <v>1806</v>
      </c>
      <c r="AZ215" t="s">
        <v>76</v>
      </c>
    </row>
    <row r="216" spans="1:52" x14ac:dyDescent="0.2">
      <c r="A216" t="s">
        <v>612</v>
      </c>
      <c r="B216" t="s">
        <v>613</v>
      </c>
      <c r="C216" t="s">
        <v>614</v>
      </c>
      <c r="D216">
        <v>2008</v>
      </c>
      <c r="E216" t="s">
        <v>615</v>
      </c>
      <c r="F216" t="s">
        <v>624</v>
      </c>
      <c r="G216" t="s">
        <v>979</v>
      </c>
      <c r="H216" t="s">
        <v>597</v>
      </c>
      <c r="I216" t="s">
        <v>1774</v>
      </c>
      <c r="J216" t="s">
        <v>31</v>
      </c>
      <c r="K216" t="s">
        <v>34</v>
      </c>
      <c r="O216" s="18" t="s">
        <v>20</v>
      </c>
      <c r="P216" s="18" t="s">
        <v>27</v>
      </c>
      <c r="Q216" t="s">
        <v>38</v>
      </c>
      <c r="R216" t="s">
        <v>43</v>
      </c>
      <c r="S216" t="s">
        <v>47</v>
      </c>
      <c r="T216" t="s">
        <v>51</v>
      </c>
      <c r="W216">
        <v>50</v>
      </c>
      <c r="X216">
        <v>48</v>
      </c>
      <c r="AA216" s="10">
        <v>79.900000000000006</v>
      </c>
      <c r="AB216" s="10">
        <v>2.2000000000000002</v>
      </c>
      <c r="AC216" s="10">
        <v>79.5</v>
      </c>
      <c r="AD216" s="10">
        <v>2.9</v>
      </c>
      <c r="AE216" t="s">
        <v>71</v>
      </c>
      <c r="AF216" t="s">
        <v>62</v>
      </c>
      <c r="AG216" t="str">
        <f>IF(AE216="mean", "mean", "")</f>
        <v>mean</v>
      </c>
      <c r="AH216" t="s">
        <v>213</v>
      </c>
      <c r="AS216" t="s">
        <v>849</v>
      </c>
      <c r="AT216" t="s">
        <v>849</v>
      </c>
      <c r="AV216" t="s">
        <v>1803</v>
      </c>
      <c r="AW216" t="s">
        <v>1815</v>
      </c>
      <c r="AX216" t="s">
        <v>1805</v>
      </c>
      <c r="AY216" t="s">
        <v>1806</v>
      </c>
      <c r="AZ216" t="s">
        <v>76</v>
      </c>
    </row>
    <row r="217" spans="1:52" x14ac:dyDescent="0.2">
      <c r="A217" t="s">
        <v>612</v>
      </c>
      <c r="B217" t="s">
        <v>613</v>
      </c>
      <c r="C217" t="s">
        <v>614</v>
      </c>
      <c r="D217">
        <v>2008</v>
      </c>
      <c r="E217" t="s">
        <v>615</v>
      </c>
      <c r="F217" t="s">
        <v>624</v>
      </c>
      <c r="G217" t="s">
        <v>979</v>
      </c>
      <c r="H217" t="s">
        <v>598</v>
      </c>
      <c r="I217" t="s">
        <v>1774</v>
      </c>
      <c r="J217" t="s">
        <v>31</v>
      </c>
      <c r="K217" t="s">
        <v>34</v>
      </c>
      <c r="O217" s="18" t="s">
        <v>20</v>
      </c>
      <c r="P217" s="18" t="s">
        <v>27</v>
      </c>
      <c r="Q217" t="s">
        <v>37</v>
      </c>
      <c r="R217" t="s">
        <v>39</v>
      </c>
      <c r="S217" t="s">
        <v>47</v>
      </c>
      <c r="T217" t="s">
        <v>49</v>
      </c>
      <c r="U217">
        <v>168</v>
      </c>
      <c r="V217">
        <v>5</v>
      </c>
      <c r="W217">
        <v>50</v>
      </c>
      <c r="X217">
        <v>48</v>
      </c>
      <c r="AA217">
        <v>3.6577181208053702</v>
      </c>
      <c r="AB217">
        <v>1.54234700594381</v>
      </c>
      <c r="AC217" s="10">
        <v>2.83557047</v>
      </c>
      <c r="AD217" s="10">
        <v>1.3949402479999999</v>
      </c>
      <c r="AE217" t="s">
        <v>71</v>
      </c>
      <c r="AF217" t="s">
        <v>61</v>
      </c>
      <c r="AG217" t="str">
        <f>IF(AE217="mean", "mean", "")</f>
        <v>mean</v>
      </c>
      <c r="AH217" t="s">
        <v>213</v>
      </c>
      <c r="AS217" t="s">
        <v>849</v>
      </c>
      <c r="AT217" t="s">
        <v>849</v>
      </c>
      <c r="AV217" t="s">
        <v>1803</v>
      </c>
      <c r="AW217" t="s">
        <v>1815</v>
      </c>
      <c r="AX217" t="s">
        <v>1805</v>
      </c>
      <c r="AY217" t="s">
        <v>1806</v>
      </c>
      <c r="AZ217" t="s">
        <v>76</v>
      </c>
    </row>
    <row r="218" spans="1:52" x14ac:dyDescent="0.2">
      <c r="A218" t="s">
        <v>627</v>
      </c>
      <c r="B218" t="s">
        <v>628</v>
      </c>
      <c r="C218" t="s">
        <v>629</v>
      </c>
      <c r="D218">
        <v>2016</v>
      </c>
      <c r="E218" t="s">
        <v>630</v>
      </c>
      <c r="F218" t="s">
        <v>631</v>
      </c>
      <c r="G218" t="s">
        <v>980</v>
      </c>
      <c r="H218" t="s">
        <v>617</v>
      </c>
      <c r="I218" t="s">
        <v>1775</v>
      </c>
      <c r="J218" t="s">
        <v>29</v>
      </c>
      <c r="K218" t="s">
        <v>34</v>
      </c>
      <c r="O218" s="18" t="s">
        <v>20</v>
      </c>
      <c r="P218" s="18" t="s">
        <v>25</v>
      </c>
      <c r="Q218" t="s">
        <v>38</v>
      </c>
      <c r="R218" t="s">
        <v>43</v>
      </c>
      <c r="S218" t="s">
        <v>47</v>
      </c>
      <c r="T218" t="s">
        <v>632</v>
      </c>
      <c r="AA218" s="10"/>
      <c r="AB218" s="10"/>
      <c r="AC218" s="10"/>
      <c r="AD218" s="10"/>
      <c r="AG218" t="s">
        <v>4</v>
      </c>
      <c r="AH218" t="s">
        <v>213</v>
      </c>
      <c r="AN218">
        <v>28</v>
      </c>
      <c r="AO218">
        <v>0.31645332566426182</v>
      </c>
      <c r="AS218" t="s">
        <v>849</v>
      </c>
      <c r="AT218" t="s">
        <v>849</v>
      </c>
      <c r="AV218" t="s">
        <v>1803</v>
      </c>
      <c r="AW218" t="s">
        <v>1815</v>
      </c>
      <c r="AX218" t="s">
        <v>1808</v>
      </c>
      <c r="AY218" t="s">
        <v>1814</v>
      </c>
      <c r="AZ218" t="s">
        <v>76</v>
      </c>
    </row>
    <row r="219" spans="1:52" x14ac:dyDescent="0.2">
      <c r="A219" t="s">
        <v>635</v>
      </c>
      <c r="B219" t="s">
        <v>2276</v>
      </c>
      <c r="C219" t="s">
        <v>636</v>
      </c>
      <c r="D219">
        <v>2012</v>
      </c>
      <c r="E219" t="s">
        <v>637</v>
      </c>
      <c r="F219" t="s">
        <v>638</v>
      </c>
      <c r="G219" t="s">
        <v>981</v>
      </c>
      <c r="H219" t="s">
        <v>618</v>
      </c>
      <c r="I219" t="s">
        <v>1090</v>
      </c>
      <c r="J219" t="s">
        <v>82</v>
      </c>
      <c r="K219" t="s">
        <v>35</v>
      </c>
      <c r="L219" t="s">
        <v>11</v>
      </c>
      <c r="M219" t="s">
        <v>18</v>
      </c>
      <c r="N219">
        <v>0</v>
      </c>
      <c r="O219" s="18" t="s">
        <v>20</v>
      </c>
      <c r="P219" s="18" t="s">
        <v>23</v>
      </c>
      <c r="S219" t="s">
        <v>47</v>
      </c>
      <c r="T219" t="s">
        <v>49</v>
      </c>
      <c r="U219">
        <v>25</v>
      </c>
      <c r="V219">
        <v>4</v>
      </c>
      <c r="W219">
        <v>30</v>
      </c>
      <c r="X219">
        <v>30</v>
      </c>
      <c r="AA219">
        <v>73.918128654970801</v>
      </c>
      <c r="AB219">
        <v>66.623562550335905</v>
      </c>
      <c r="AC219">
        <v>106.666666666667</v>
      </c>
      <c r="AD219">
        <v>107.622677965927</v>
      </c>
      <c r="AE219" t="s">
        <v>71</v>
      </c>
      <c r="AF219" t="s">
        <v>61</v>
      </c>
      <c r="AG219" t="str">
        <f>IF(AE219="mean", "mean", "")</f>
        <v>mean</v>
      </c>
      <c r="AH219" t="s">
        <v>213</v>
      </c>
      <c r="AS219" t="s">
        <v>849</v>
      </c>
      <c r="AT219" t="s">
        <v>849</v>
      </c>
      <c r="AV219" t="s">
        <v>1803</v>
      </c>
      <c r="AW219" t="s">
        <v>1807</v>
      </c>
      <c r="AX219" t="s">
        <v>1808</v>
      </c>
      <c r="AY219" t="s">
        <v>1811</v>
      </c>
      <c r="AZ219" t="s">
        <v>76</v>
      </c>
    </row>
    <row r="220" spans="1:52" x14ac:dyDescent="0.2">
      <c r="A220" t="s">
        <v>635</v>
      </c>
      <c r="B220" t="s">
        <v>2276</v>
      </c>
      <c r="C220" t="s">
        <v>636</v>
      </c>
      <c r="D220">
        <v>2012</v>
      </c>
      <c r="E220" t="s">
        <v>637</v>
      </c>
      <c r="F220" t="s">
        <v>638</v>
      </c>
      <c r="G220" t="s">
        <v>982</v>
      </c>
      <c r="H220" t="s">
        <v>619</v>
      </c>
      <c r="I220" t="s">
        <v>1090</v>
      </c>
      <c r="J220" t="s">
        <v>82</v>
      </c>
      <c r="K220" t="s">
        <v>35</v>
      </c>
      <c r="L220" t="s">
        <v>11</v>
      </c>
      <c r="M220" t="s">
        <v>18</v>
      </c>
      <c r="N220">
        <v>0</v>
      </c>
      <c r="O220" s="18" t="s">
        <v>20</v>
      </c>
      <c r="P220" s="18" t="s">
        <v>23</v>
      </c>
      <c r="S220" t="s">
        <v>47</v>
      </c>
      <c r="T220" t="s">
        <v>49</v>
      </c>
      <c r="U220">
        <v>25</v>
      </c>
      <c r="V220">
        <v>5</v>
      </c>
      <c r="W220">
        <v>28</v>
      </c>
      <c r="X220">
        <v>28</v>
      </c>
      <c r="AA220">
        <v>43.461538461538503</v>
      </c>
      <c r="AB220">
        <v>19.522780329507899</v>
      </c>
      <c r="AC220">
        <v>56.623931623931597</v>
      </c>
      <c r="AD220">
        <v>20.050423041116201</v>
      </c>
      <c r="AE220" t="s">
        <v>71</v>
      </c>
      <c r="AF220" t="s">
        <v>61</v>
      </c>
      <c r="AG220" t="str">
        <f>IF(AE220="mean", "mean", "")</f>
        <v>mean</v>
      </c>
      <c r="AH220" t="s">
        <v>213</v>
      </c>
      <c r="AS220" t="s">
        <v>849</v>
      </c>
      <c r="AT220" t="s">
        <v>849</v>
      </c>
      <c r="AV220" t="s">
        <v>1803</v>
      </c>
      <c r="AW220" t="s">
        <v>1807</v>
      </c>
      <c r="AX220" t="s">
        <v>1808</v>
      </c>
      <c r="AY220" t="s">
        <v>1811</v>
      </c>
      <c r="AZ220" t="s">
        <v>76</v>
      </c>
    </row>
    <row r="221" spans="1:52" x14ac:dyDescent="0.2">
      <c r="A221" t="s">
        <v>639</v>
      </c>
      <c r="B221" t="s">
        <v>640</v>
      </c>
      <c r="C221" t="s">
        <v>641</v>
      </c>
      <c r="D221">
        <v>2016</v>
      </c>
      <c r="E221" t="s">
        <v>642</v>
      </c>
      <c r="F221" t="s">
        <v>643</v>
      </c>
      <c r="G221" t="s">
        <v>983</v>
      </c>
      <c r="H221" t="s">
        <v>620</v>
      </c>
      <c r="I221" t="s">
        <v>512</v>
      </c>
      <c r="J221" t="s">
        <v>83</v>
      </c>
      <c r="K221" t="s">
        <v>35</v>
      </c>
      <c r="L221" t="s">
        <v>11</v>
      </c>
      <c r="M221" t="s">
        <v>16</v>
      </c>
      <c r="N221">
        <v>0</v>
      </c>
      <c r="O221" s="18" t="s">
        <v>76</v>
      </c>
      <c r="P221" s="18" t="s">
        <v>1825</v>
      </c>
      <c r="S221" t="s">
        <v>47</v>
      </c>
      <c r="T221" t="s">
        <v>632</v>
      </c>
      <c r="W221">
        <v>199</v>
      </c>
      <c r="X221">
        <v>207</v>
      </c>
      <c r="AA221">
        <v>130.86934673366835</v>
      </c>
      <c r="AB221">
        <v>84.18259984247193</v>
      </c>
      <c r="AC221">
        <v>134.66666666666666</v>
      </c>
      <c r="AD221">
        <v>86.660984379317043</v>
      </c>
      <c r="AE221" t="s">
        <v>71</v>
      </c>
      <c r="AF221" t="s">
        <v>61</v>
      </c>
      <c r="AG221" t="str">
        <f>IF(AE221="mean", "mean", "")</f>
        <v>mean</v>
      </c>
      <c r="AH221" t="s">
        <v>213</v>
      </c>
      <c r="AS221" t="s">
        <v>849</v>
      </c>
      <c r="AT221" t="s">
        <v>849</v>
      </c>
      <c r="AV221" t="s">
        <v>1803</v>
      </c>
      <c r="AW221" t="s">
        <v>1815</v>
      </c>
      <c r="AX221" t="s">
        <v>1816</v>
      </c>
      <c r="AY221" t="s">
        <v>1814</v>
      </c>
      <c r="AZ221" t="s">
        <v>76</v>
      </c>
    </row>
    <row r="222" spans="1:52" x14ac:dyDescent="0.2">
      <c r="A222" t="s">
        <v>649</v>
      </c>
      <c r="B222" t="s">
        <v>650</v>
      </c>
      <c r="C222" t="s">
        <v>651</v>
      </c>
      <c r="D222">
        <v>2012</v>
      </c>
      <c r="E222" t="s">
        <v>647</v>
      </c>
      <c r="F222" t="s">
        <v>648</v>
      </c>
      <c r="G222" t="s">
        <v>984</v>
      </c>
      <c r="H222" t="s">
        <v>621</v>
      </c>
      <c r="I222" t="s">
        <v>512</v>
      </c>
      <c r="J222" t="s">
        <v>83</v>
      </c>
      <c r="K222" t="s">
        <v>35</v>
      </c>
      <c r="L222" t="s">
        <v>11</v>
      </c>
      <c r="M222" t="s">
        <v>15</v>
      </c>
      <c r="N222">
        <v>1</v>
      </c>
      <c r="O222" s="18" t="s">
        <v>21</v>
      </c>
      <c r="P222" s="18" t="s">
        <v>78</v>
      </c>
      <c r="S222" t="s">
        <v>47</v>
      </c>
      <c r="T222" t="s">
        <v>49</v>
      </c>
      <c r="U222">
        <v>3580</v>
      </c>
      <c r="V222">
        <v>1</v>
      </c>
      <c r="W222">
        <v>25</v>
      </c>
      <c r="X222">
        <v>25</v>
      </c>
      <c r="AA222">
        <v>0.94701298701298697</v>
      </c>
      <c r="AB222">
        <v>9.3506493506493302E-2</v>
      </c>
      <c r="AC222">
        <v>0.76467532467532395</v>
      </c>
      <c r="AD222">
        <v>0.128571428571429</v>
      </c>
      <c r="AE222" t="s">
        <v>71</v>
      </c>
      <c r="AF222" t="s">
        <v>61</v>
      </c>
      <c r="AG222" t="str">
        <f>IF(AE222="mean", "mean", "")</f>
        <v>mean</v>
      </c>
      <c r="AH222" t="s">
        <v>213</v>
      </c>
      <c r="AS222" t="s">
        <v>849</v>
      </c>
      <c r="AT222" t="s">
        <v>849</v>
      </c>
      <c r="AV222" t="s">
        <v>1803</v>
      </c>
      <c r="AW222" t="s">
        <v>1815</v>
      </c>
      <c r="AX222" t="s">
        <v>1816</v>
      </c>
      <c r="AY222" t="s">
        <v>1814</v>
      </c>
      <c r="AZ222" t="s">
        <v>76</v>
      </c>
    </row>
    <row r="223" spans="1:52" x14ac:dyDescent="0.2">
      <c r="A223" t="s">
        <v>652</v>
      </c>
      <c r="B223" t="s">
        <v>653</v>
      </c>
      <c r="C223" t="s">
        <v>654</v>
      </c>
      <c r="D223">
        <v>2006</v>
      </c>
      <c r="E223" t="s">
        <v>655</v>
      </c>
      <c r="F223" t="s">
        <v>656</v>
      </c>
      <c r="G223" t="s">
        <v>985</v>
      </c>
      <c r="H223" t="s">
        <v>633</v>
      </c>
      <c r="I223" t="s">
        <v>1776</v>
      </c>
      <c r="J223" t="s">
        <v>82</v>
      </c>
      <c r="K223" t="s">
        <v>34</v>
      </c>
      <c r="O223" s="18" t="s">
        <v>20</v>
      </c>
      <c r="P223" s="18" t="s">
        <v>1817</v>
      </c>
      <c r="Q223" t="s">
        <v>37</v>
      </c>
      <c r="R223" t="s">
        <v>39</v>
      </c>
      <c r="S223" t="s">
        <v>47</v>
      </c>
      <c r="T223" t="s">
        <v>49</v>
      </c>
      <c r="U223">
        <v>470</v>
      </c>
      <c r="V223">
        <v>2</v>
      </c>
      <c r="AA223" s="10"/>
      <c r="AB223" s="10"/>
      <c r="AC223" s="10"/>
      <c r="AD223" s="10"/>
      <c r="AG223" t="s">
        <v>4</v>
      </c>
      <c r="AH223" t="s">
        <v>213</v>
      </c>
      <c r="AN223">
        <v>97</v>
      </c>
      <c r="AO223">
        <v>0.15546964678031899</v>
      </c>
      <c r="AS223" t="s">
        <v>849</v>
      </c>
      <c r="AT223" t="s">
        <v>849</v>
      </c>
      <c r="AV223" t="s">
        <v>1803</v>
      </c>
      <c r="AW223" t="s">
        <v>1815</v>
      </c>
      <c r="AX223" t="s">
        <v>1817</v>
      </c>
      <c r="AY223" t="s">
        <v>1806</v>
      </c>
      <c r="AZ223" t="s">
        <v>76</v>
      </c>
    </row>
    <row r="224" spans="1:52" x14ac:dyDescent="0.2">
      <c r="A224" t="s">
        <v>652</v>
      </c>
      <c r="B224" t="s">
        <v>653</v>
      </c>
      <c r="C224" t="s">
        <v>654</v>
      </c>
      <c r="D224">
        <v>2006</v>
      </c>
      <c r="E224" t="s">
        <v>655</v>
      </c>
      <c r="F224" t="s">
        <v>656</v>
      </c>
      <c r="G224" t="s">
        <v>986</v>
      </c>
      <c r="H224" t="s">
        <v>634</v>
      </c>
      <c r="I224" t="s">
        <v>1776</v>
      </c>
      <c r="J224" t="s">
        <v>82</v>
      </c>
      <c r="K224" t="s">
        <v>34</v>
      </c>
      <c r="O224" s="18" t="s">
        <v>20</v>
      </c>
      <c r="P224" s="18" t="s">
        <v>1817</v>
      </c>
      <c r="Q224" t="s">
        <v>37</v>
      </c>
      <c r="R224" t="s">
        <v>39</v>
      </c>
      <c r="S224" t="s">
        <v>47</v>
      </c>
      <c r="T224" t="s">
        <v>49</v>
      </c>
      <c r="U224">
        <v>470</v>
      </c>
      <c r="V224">
        <v>2</v>
      </c>
      <c r="AA224" s="10"/>
      <c r="AB224" s="10"/>
      <c r="AC224" s="10"/>
      <c r="AD224" s="10"/>
      <c r="AG224" t="s">
        <v>4</v>
      </c>
      <c r="AH224" t="s">
        <v>213</v>
      </c>
      <c r="AN224">
        <v>92</v>
      </c>
      <c r="AO224">
        <v>0.208458815974187</v>
      </c>
      <c r="AS224" t="s">
        <v>849</v>
      </c>
      <c r="AT224" t="s">
        <v>849</v>
      </c>
      <c r="AV224" t="s">
        <v>1803</v>
      </c>
      <c r="AW224" t="s">
        <v>1815</v>
      </c>
      <c r="AX224" t="s">
        <v>1817</v>
      </c>
      <c r="AY224" t="s">
        <v>1806</v>
      </c>
      <c r="AZ224" t="s">
        <v>76</v>
      </c>
    </row>
    <row r="225" spans="1:52" x14ac:dyDescent="0.2">
      <c r="A225" t="s">
        <v>657</v>
      </c>
      <c r="B225" t="s">
        <v>658</v>
      </c>
      <c r="C225" t="s">
        <v>659</v>
      </c>
      <c r="D225">
        <v>2002</v>
      </c>
      <c r="E225" t="s">
        <v>660</v>
      </c>
      <c r="F225" t="s">
        <v>661</v>
      </c>
      <c r="G225" t="s">
        <v>987</v>
      </c>
      <c r="H225" t="s">
        <v>644</v>
      </c>
      <c r="I225" t="s">
        <v>1090</v>
      </c>
      <c r="J225" t="s">
        <v>82</v>
      </c>
      <c r="K225" t="s">
        <v>34</v>
      </c>
      <c r="O225" s="18" t="s">
        <v>20</v>
      </c>
      <c r="P225" s="18" t="s">
        <v>23</v>
      </c>
      <c r="Q225" t="s">
        <v>38</v>
      </c>
      <c r="R225" t="s">
        <v>43</v>
      </c>
      <c r="S225" t="s">
        <v>47</v>
      </c>
      <c r="T225" t="s">
        <v>51</v>
      </c>
      <c r="U225">
        <v>1683</v>
      </c>
      <c r="V225">
        <v>1</v>
      </c>
      <c r="W225">
        <v>73</v>
      </c>
      <c r="X225">
        <v>73</v>
      </c>
      <c r="AA225" s="10">
        <v>39.799999999999997</v>
      </c>
      <c r="AB225" s="10">
        <v>13.2</v>
      </c>
      <c r="AC225" s="10">
        <v>59.1</v>
      </c>
      <c r="AD225" s="10">
        <v>15.6</v>
      </c>
      <c r="AE225" t="s">
        <v>71</v>
      </c>
      <c r="AF225" t="s">
        <v>61</v>
      </c>
      <c r="AG225" t="str">
        <f t="shared" ref="AG225:AG232" si="7">IF(AE225="mean", "mean", "")</f>
        <v>mean</v>
      </c>
      <c r="AH225" t="s">
        <v>213</v>
      </c>
      <c r="AS225" t="s">
        <v>849</v>
      </c>
      <c r="AT225" t="s">
        <v>849</v>
      </c>
      <c r="AV225" t="s">
        <v>1803</v>
      </c>
      <c r="AW225" t="s">
        <v>1807</v>
      </c>
      <c r="AX225" t="s">
        <v>1808</v>
      </c>
      <c r="AY225" t="s">
        <v>1811</v>
      </c>
      <c r="AZ225" t="s">
        <v>76</v>
      </c>
    </row>
    <row r="226" spans="1:52" x14ac:dyDescent="0.2">
      <c r="A226" t="s">
        <v>657</v>
      </c>
      <c r="B226" t="s">
        <v>658</v>
      </c>
      <c r="C226" t="s">
        <v>659</v>
      </c>
      <c r="D226">
        <v>2002</v>
      </c>
      <c r="E226" t="s">
        <v>660</v>
      </c>
      <c r="F226" t="s">
        <v>661</v>
      </c>
      <c r="G226" t="s">
        <v>987</v>
      </c>
      <c r="H226" t="s">
        <v>645</v>
      </c>
      <c r="I226" t="s">
        <v>1090</v>
      </c>
      <c r="J226" t="s">
        <v>82</v>
      </c>
      <c r="K226" t="s">
        <v>34</v>
      </c>
      <c r="O226" s="18" t="s">
        <v>20</v>
      </c>
      <c r="P226" s="18" t="s">
        <v>23</v>
      </c>
      <c r="Q226" t="s">
        <v>37</v>
      </c>
      <c r="R226" t="s">
        <v>39</v>
      </c>
      <c r="S226" t="s">
        <v>47</v>
      </c>
      <c r="T226" t="s">
        <v>51</v>
      </c>
      <c r="W226">
        <v>82</v>
      </c>
      <c r="X226">
        <v>82</v>
      </c>
      <c r="AA226" s="10">
        <v>12.1</v>
      </c>
      <c r="AB226" s="10">
        <v>27.6</v>
      </c>
      <c r="AC226" s="10">
        <v>49.9</v>
      </c>
      <c r="AD226" s="10">
        <v>56.7</v>
      </c>
      <c r="AE226" t="s">
        <v>71</v>
      </c>
      <c r="AF226" t="s">
        <v>61</v>
      </c>
      <c r="AG226" t="str">
        <f t="shared" si="7"/>
        <v>mean</v>
      </c>
      <c r="AH226" t="s">
        <v>213</v>
      </c>
      <c r="AS226" t="s">
        <v>849</v>
      </c>
      <c r="AT226" t="s">
        <v>849</v>
      </c>
      <c r="AV226" t="s">
        <v>1803</v>
      </c>
      <c r="AW226" t="s">
        <v>1807</v>
      </c>
      <c r="AX226" t="s">
        <v>1808</v>
      </c>
      <c r="AY226" t="s">
        <v>1811</v>
      </c>
      <c r="AZ226" t="s">
        <v>76</v>
      </c>
    </row>
    <row r="227" spans="1:52" x14ac:dyDescent="0.2">
      <c r="A227" t="s">
        <v>657</v>
      </c>
      <c r="B227" t="s">
        <v>658</v>
      </c>
      <c r="C227" t="s">
        <v>659</v>
      </c>
      <c r="D227">
        <v>2002</v>
      </c>
      <c r="E227" t="s">
        <v>660</v>
      </c>
      <c r="F227" t="s">
        <v>661</v>
      </c>
      <c r="G227" t="s">
        <v>988</v>
      </c>
      <c r="H227" t="s">
        <v>662</v>
      </c>
      <c r="I227" t="s">
        <v>1090</v>
      </c>
      <c r="J227" t="s">
        <v>82</v>
      </c>
      <c r="K227" t="s">
        <v>34</v>
      </c>
      <c r="O227" s="18" t="s">
        <v>20</v>
      </c>
      <c r="P227" s="18" t="s">
        <v>23</v>
      </c>
      <c r="Q227" t="s">
        <v>38</v>
      </c>
      <c r="R227" t="s">
        <v>43</v>
      </c>
      <c r="S227" t="s">
        <v>47</v>
      </c>
      <c r="T227" t="s">
        <v>51</v>
      </c>
      <c r="W227">
        <v>38</v>
      </c>
      <c r="X227">
        <v>38</v>
      </c>
      <c r="AA227" s="10">
        <v>84.17</v>
      </c>
      <c r="AB227" s="10">
        <v>21.8</v>
      </c>
      <c r="AC227" s="10">
        <v>120.3</v>
      </c>
      <c r="AD227" s="10">
        <v>21.8</v>
      </c>
      <c r="AE227" t="s">
        <v>71</v>
      </c>
      <c r="AF227" t="s">
        <v>61</v>
      </c>
      <c r="AG227" t="str">
        <f t="shared" si="7"/>
        <v>mean</v>
      </c>
      <c r="AH227" t="s">
        <v>213</v>
      </c>
      <c r="AS227" t="s">
        <v>849</v>
      </c>
      <c r="AT227" t="s">
        <v>849</v>
      </c>
      <c r="AV227" t="s">
        <v>1803</v>
      </c>
      <c r="AW227" t="s">
        <v>1807</v>
      </c>
      <c r="AX227" t="s">
        <v>1808</v>
      </c>
      <c r="AY227" t="s">
        <v>1811</v>
      </c>
      <c r="AZ227" t="s">
        <v>76</v>
      </c>
    </row>
    <row r="228" spans="1:52" x14ac:dyDescent="0.2">
      <c r="A228" t="s">
        <v>657</v>
      </c>
      <c r="B228" t="s">
        <v>658</v>
      </c>
      <c r="C228" t="s">
        <v>659</v>
      </c>
      <c r="D228">
        <v>2002</v>
      </c>
      <c r="E228" t="s">
        <v>660</v>
      </c>
      <c r="F228" t="s">
        <v>661</v>
      </c>
      <c r="G228" t="s">
        <v>988</v>
      </c>
      <c r="H228" t="s">
        <v>663</v>
      </c>
      <c r="I228" t="s">
        <v>1090</v>
      </c>
      <c r="J228" t="s">
        <v>82</v>
      </c>
      <c r="K228" t="s">
        <v>34</v>
      </c>
      <c r="O228" s="18" t="s">
        <v>20</v>
      </c>
      <c r="P228" s="18" t="s">
        <v>23</v>
      </c>
      <c r="Q228" t="s">
        <v>37</v>
      </c>
      <c r="R228" t="s">
        <v>39</v>
      </c>
      <c r="S228" t="s">
        <v>47</v>
      </c>
      <c r="T228" t="s">
        <v>51</v>
      </c>
      <c r="W228">
        <v>35</v>
      </c>
      <c r="X228">
        <v>35</v>
      </c>
      <c r="AA228" s="10">
        <v>54.5</v>
      </c>
      <c r="AB228" s="10">
        <v>36</v>
      </c>
      <c r="AC228" s="10">
        <v>171.6</v>
      </c>
      <c r="AD228" s="10">
        <v>113.6</v>
      </c>
      <c r="AE228" t="s">
        <v>71</v>
      </c>
      <c r="AF228" t="s">
        <v>61</v>
      </c>
      <c r="AG228" t="str">
        <f t="shared" si="7"/>
        <v>mean</v>
      </c>
      <c r="AH228" t="s">
        <v>213</v>
      </c>
      <c r="AS228" t="s">
        <v>849</v>
      </c>
      <c r="AT228" t="s">
        <v>849</v>
      </c>
      <c r="AV228" t="s">
        <v>1803</v>
      </c>
      <c r="AW228" t="s">
        <v>1807</v>
      </c>
      <c r="AX228" t="s">
        <v>1808</v>
      </c>
      <c r="AY228" t="s">
        <v>1811</v>
      </c>
      <c r="AZ228" t="s">
        <v>76</v>
      </c>
    </row>
    <row r="229" spans="1:52" x14ac:dyDescent="0.2">
      <c r="A229" t="s">
        <v>664</v>
      </c>
      <c r="B229" t="s">
        <v>665</v>
      </c>
      <c r="C229" t="s">
        <v>666</v>
      </c>
      <c r="D229">
        <v>2004</v>
      </c>
      <c r="E229" t="s">
        <v>667</v>
      </c>
      <c r="F229" t="s">
        <v>668</v>
      </c>
      <c r="G229" t="s">
        <v>989</v>
      </c>
      <c r="H229" t="s">
        <v>669</v>
      </c>
      <c r="I229" t="s">
        <v>230</v>
      </c>
      <c r="J229" t="s">
        <v>31</v>
      </c>
      <c r="K229" t="s">
        <v>34</v>
      </c>
      <c r="O229" s="18" t="s">
        <v>20</v>
      </c>
      <c r="P229" s="18" t="s">
        <v>26</v>
      </c>
      <c r="Q229" t="s">
        <v>38</v>
      </c>
      <c r="R229" t="s">
        <v>43</v>
      </c>
      <c r="S229" t="s">
        <v>47</v>
      </c>
      <c r="T229" t="s">
        <v>49</v>
      </c>
      <c r="U229">
        <v>189</v>
      </c>
      <c r="V229" t="s">
        <v>671</v>
      </c>
      <c r="W229">
        <v>25</v>
      </c>
      <c r="X229">
        <v>25</v>
      </c>
      <c r="AA229">
        <v>53.655589123867102</v>
      </c>
      <c r="AB229">
        <v>17.5226586102719</v>
      </c>
      <c r="AC229">
        <v>65.135951661631395</v>
      </c>
      <c r="AD229">
        <v>18.731117824773399</v>
      </c>
      <c r="AE229" t="s">
        <v>71</v>
      </c>
      <c r="AF229" t="s">
        <v>61</v>
      </c>
      <c r="AG229" t="str">
        <f t="shared" si="7"/>
        <v>mean</v>
      </c>
      <c r="AH229" t="s">
        <v>213</v>
      </c>
      <c r="AS229" t="s">
        <v>849</v>
      </c>
      <c r="AT229" t="s">
        <v>849</v>
      </c>
      <c r="AV229" t="s">
        <v>1803</v>
      </c>
      <c r="AW229" t="s">
        <v>1815</v>
      </c>
      <c r="AX229" t="s">
        <v>1805</v>
      </c>
      <c r="AY229" t="s">
        <v>1806</v>
      </c>
      <c r="AZ229" t="s">
        <v>76</v>
      </c>
    </row>
    <row r="230" spans="1:52" x14ac:dyDescent="0.2">
      <c r="A230" t="s">
        <v>664</v>
      </c>
      <c r="B230" t="s">
        <v>665</v>
      </c>
      <c r="C230" t="s">
        <v>666</v>
      </c>
      <c r="D230">
        <v>2004</v>
      </c>
      <c r="E230" t="s">
        <v>667</v>
      </c>
      <c r="F230" t="s">
        <v>668</v>
      </c>
      <c r="G230" t="s">
        <v>989</v>
      </c>
      <c r="H230" t="s">
        <v>670</v>
      </c>
      <c r="I230" t="s">
        <v>230</v>
      </c>
      <c r="J230" t="s">
        <v>31</v>
      </c>
      <c r="K230" t="s">
        <v>34</v>
      </c>
      <c r="O230" s="18" t="s">
        <v>20</v>
      </c>
      <c r="P230" s="18" t="s">
        <v>26</v>
      </c>
      <c r="Q230" t="s">
        <v>37</v>
      </c>
      <c r="R230" t="s">
        <v>40</v>
      </c>
      <c r="S230" t="s">
        <v>47</v>
      </c>
      <c r="T230" t="s">
        <v>49</v>
      </c>
      <c r="U230">
        <v>189</v>
      </c>
      <c r="V230" t="s">
        <v>672</v>
      </c>
      <c r="W230">
        <v>25</v>
      </c>
      <c r="X230">
        <v>25</v>
      </c>
      <c r="AA230">
        <v>0.14155495978552299</v>
      </c>
      <c r="AB230">
        <v>3.88739946380698E-2</v>
      </c>
      <c r="AC230">
        <v>0.16648793565683601</v>
      </c>
      <c r="AD230">
        <v>7.2386058981233306E-2</v>
      </c>
      <c r="AE230" t="s">
        <v>71</v>
      </c>
      <c r="AF230" t="s">
        <v>61</v>
      </c>
      <c r="AG230" t="str">
        <f t="shared" si="7"/>
        <v>mean</v>
      </c>
      <c r="AH230" t="s">
        <v>213</v>
      </c>
      <c r="AS230" t="s">
        <v>849</v>
      </c>
      <c r="AT230" t="s">
        <v>849</v>
      </c>
      <c r="AV230" t="s">
        <v>1803</v>
      </c>
      <c r="AW230" t="s">
        <v>1815</v>
      </c>
      <c r="AX230" t="s">
        <v>1805</v>
      </c>
      <c r="AY230" t="s">
        <v>1806</v>
      </c>
      <c r="AZ230" t="s">
        <v>76</v>
      </c>
    </row>
    <row r="231" spans="1:52" x14ac:dyDescent="0.2">
      <c r="A231" t="s">
        <v>684</v>
      </c>
      <c r="B231" t="s">
        <v>685</v>
      </c>
      <c r="C231" t="s">
        <v>686</v>
      </c>
      <c r="D231">
        <v>2015</v>
      </c>
      <c r="E231" t="s">
        <v>673</v>
      </c>
      <c r="F231" t="s">
        <v>677</v>
      </c>
      <c r="G231" t="s">
        <v>990</v>
      </c>
      <c r="H231" t="s">
        <v>678</v>
      </c>
      <c r="I231" t="s">
        <v>1777</v>
      </c>
      <c r="J231" t="s">
        <v>83</v>
      </c>
      <c r="K231" t="s">
        <v>34</v>
      </c>
      <c r="O231" s="18" t="s">
        <v>76</v>
      </c>
      <c r="P231" s="18" t="s">
        <v>27</v>
      </c>
      <c r="Q231" t="s">
        <v>37</v>
      </c>
      <c r="R231" t="s">
        <v>39</v>
      </c>
      <c r="S231" t="s">
        <v>47</v>
      </c>
      <c r="T231" t="s">
        <v>49</v>
      </c>
      <c r="U231">
        <v>5</v>
      </c>
      <c r="V231">
        <v>2</v>
      </c>
      <c r="W231">
        <v>20</v>
      </c>
      <c r="X231">
        <v>30</v>
      </c>
      <c r="AA231">
        <v>1.2258064516128999</v>
      </c>
      <c r="AB231">
        <v>0.17741935483870999</v>
      </c>
      <c r="AC231">
        <v>2</v>
      </c>
      <c r="AD231">
        <v>0.36021505376344098</v>
      </c>
      <c r="AE231" t="s">
        <v>71</v>
      </c>
      <c r="AF231" t="s">
        <v>62</v>
      </c>
      <c r="AG231" t="str">
        <f t="shared" si="7"/>
        <v>mean</v>
      </c>
      <c r="AH231" t="s">
        <v>213</v>
      </c>
      <c r="AS231" t="s">
        <v>849</v>
      </c>
      <c r="AT231" t="s">
        <v>849</v>
      </c>
      <c r="AV231" t="s">
        <v>1810</v>
      </c>
      <c r="AW231" t="s">
        <v>1804</v>
      </c>
      <c r="AX231" t="s">
        <v>23</v>
      </c>
      <c r="AY231" t="s">
        <v>1811</v>
      </c>
      <c r="AZ231" t="s">
        <v>76</v>
      </c>
    </row>
    <row r="232" spans="1:52" x14ac:dyDescent="0.2">
      <c r="A232" t="s">
        <v>684</v>
      </c>
      <c r="B232" t="s">
        <v>685</v>
      </c>
      <c r="C232" t="s">
        <v>686</v>
      </c>
      <c r="D232">
        <v>2015</v>
      </c>
      <c r="E232" t="s">
        <v>673</v>
      </c>
      <c r="F232" t="s">
        <v>677</v>
      </c>
      <c r="G232" t="s">
        <v>990</v>
      </c>
      <c r="H232" t="s">
        <v>687</v>
      </c>
      <c r="I232" t="s">
        <v>1777</v>
      </c>
      <c r="J232" t="s">
        <v>83</v>
      </c>
      <c r="K232" t="s">
        <v>34</v>
      </c>
      <c r="O232" s="18" t="s">
        <v>76</v>
      </c>
      <c r="P232" s="18" t="s">
        <v>27</v>
      </c>
      <c r="Q232" t="s">
        <v>38</v>
      </c>
      <c r="R232" t="s">
        <v>626</v>
      </c>
      <c r="S232" t="s">
        <v>47</v>
      </c>
      <c r="T232" t="s">
        <v>49</v>
      </c>
      <c r="U232">
        <v>6</v>
      </c>
      <c r="V232">
        <v>4</v>
      </c>
      <c r="W232">
        <v>20</v>
      </c>
      <c r="X232">
        <v>30</v>
      </c>
      <c r="AA232">
        <v>0.155544794188862</v>
      </c>
      <c r="AB232">
        <v>1.5012106537530301E-2</v>
      </c>
      <c r="AC232">
        <v>0.100338983050847</v>
      </c>
      <c r="AD232">
        <v>7.7481840193704497E-3</v>
      </c>
      <c r="AE232" t="s">
        <v>71</v>
      </c>
      <c r="AF232" t="s">
        <v>62</v>
      </c>
      <c r="AG232" t="str">
        <f t="shared" si="7"/>
        <v>mean</v>
      </c>
      <c r="AH232" t="s">
        <v>213</v>
      </c>
      <c r="AS232" t="s">
        <v>222</v>
      </c>
      <c r="AT232" t="s">
        <v>849</v>
      </c>
      <c r="AV232" t="s">
        <v>1810</v>
      </c>
      <c r="AW232" t="s">
        <v>1804</v>
      </c>
      <c r="AX232" t="s">
        <v>23</v>
      </c>
      <c r="AY232" t="s">
        <v>1811</v>
      </c>
      <c r="AZ232" t="s">
        <v>76</v>
      </c>
    </row>
    <row r="233" spans="1:52" x14ac:dyDescent="0.2">
      <c r="A233" t="s">
        <v>688</v>
      </c>
      <c r="B233" t="s">
        <v>752</v>
      </c>
      <c r="C233" t="s">
        <v>689</v>
      </c>
      <c r="D233">
        <v>2005</v>
      </c>
      <c r="E233" t="s">
        <v>676</v>
      </c>
      <c r="F233" t="s">
        <v>690</v>
      </c>
      <c r="G233" t="s">
        <v>991</v>
      </c>
      <c r="H233" t="s">
        <v>691</v>
      </c>
      <c r="I233" t="s">
        <v>1094</v>
      </c>
      <c r="J233" t="s">
        <v>31</v>
      </c>
      <c r="K233" t="s">
        <v>34</v>
      </c>
      <c r="O233" s="18" t="s">
        <v>21</v>
      </c>
      <c r="P233" s="18" t="s">
        <v>78</v>
      </c>
      <c r="Q233" t="s">
        <v>38</v>
      </c>
      <c r="R233" t="s">
        <v>43</v>
      </c>
      <c r="S233" t="s">
        <v>47</v>
      </c>
      <c r="T233" t="s">
        <v>50</v>
      </c>
      <c r="U233">
        <v>2031</v>
      </c>
      <c r="V233">
        <v>2</v>
      </c>
      <c r="AA233" s="10"/>
      <c r="AB233" s="10"/>
      <c r="AC233" s="10"/>
      <c r="AD233" s="10"/>
      <c r="AG233" t="s">
        <v>4</v>
      </c>
      <c r="AH233" t="s">
        <v>214</v>
      </c>
      <c r="AN233">
        <v>485</v>
      </c>
      <c r="AO233">
        <v>0.22700000000000001</v>
      </c>
      <c r="AS233" t="s">
        <v>849</v>
      </c>
      <c r="AT233" t="s">
        <v>849</v>
      </c>
      <c r="AV233" t="s">
        <v>1803</v>
      </c>
      <c r="AW233" t="s">
        <v>1815</v>
      </c>
      <c r="AX233" t="s">
        <v>1821</v>
      </c>
      <c r="AY233" t="s">
        <v>1806</v>
      </c>
      <c r="AZ233" t="s">
        <v>76</v>
      </c>
    </row>
    <row r="234" spans="1:52" x14ac:dyDescent="0.2">
      <c r="A234" t="s">
        <v>688</v>
      </c>
      <c r="B234" t="s">
        <v>752</v>
      </c>
      <c r="C234" t="s">
        <v>689</v>
      </c>
      <c r="D234">
        <v>2005</v>
      </c>
      <c r="E234" t="s">
        <v>676</v>
      </c>
      <c r="F234" t="s">
        <v>690</v>
      </c>
      <c r="G234" t="s">
        <v>991</v>
      </c>
      <c r="H234" t="s">
        <v>693</v>
      </c>
      <c r="I234" t="s">
        <v>1094</v>
      </c>
      <c r="J234" t="s">
        <v>31</v>
      </c>
      <c r="K234" t="s">
        <v>34</v>
      </c>
      <c r="O234" s="18" t="s">
        <v>21</v>
      </c>
      <c r="P234" s="18" t="s">
        <v>78</v>
      </c>
      <c r="Q234" t="s">
        <v>37</v>
      </c>
      <c r="R234" t="s">
        <v>42</v>
      </c>
      <c r="S234" t="s">
        <v>47</v>
      </c>
      <c r="T234" t="s">
        <v>50</v>
      </c>
      <c r="U234">
        <v>2031</v>
      </c>
      <c r="V234">
        <v>2</v>
      </c>
      <c r="AA234" s="10"/>
      <c r="AB234" s="10"/>
      <c r="AC234" s="10"/>
      <c r="AD234" s="10"/>
      <c r="AG234" t="s">
        <v>4</v>
      </c>
      <c r="AH234" t="s">
        <v>214</v>
      </c>
      <c r="AN234">
        <v>485</v>
      </c>
      <c r="AO234">
        <v>0.29399999999999998</v>
      </c>
      <c r="AS234" t="s">
        <v>849</v>
      </c>
      <c r="AT234" t="s">
        <v>849</v>
      </c>
      <c r="AV234" t="s">
        <v>1803</v>
      </c>
      <c r="AW234" t="s">
        <v>1815</v>
      </c>
      <c r="AX234" t="s">
        <v>1821</v>
      </c>
      <c r="AY234" t="s">
        <v>1806</v>
      </c>
      <c r="AZ234" t="s">
        <v>76</v>
      </c>
    </row>
    <row r="235" spans="1:52" x14ac:dyDescent="0.2">
      <c r="A235" t="s">
        <v>688</v>
      </c>
      <c r="B235" t="s">
        <v>752</v>
      </c>
      <c r="C235" t="s">
        <v>689</v>
      </c>
      <c r="D235">
        <v>2005</v>
      </c>
      <c r="E235" t="s">
        <v>676</v>
      </c>
      <c r="F235" t="s">
        <v>690</v>
      </c>
      <c r="G235" t="s">
        <v>991</v>
      </c>
      <c r="H235" t="s">
        <v>694</v>
      </c>
      <c r="I235" t="s">
        <v>1094</v>
      </c>
      <c r="J235" t="s">
        <v>31</v>
      </c>
      <c r="K235" t="s">
        <v>34</v>
      </c>
      <c r="O235" s="18" t="s">
        <v>21</v>
      </c>
      <c r="P235" s="18" t="s">
        <v>78</v>
      </c>
      <c r="Q235" t="s">
        <v>37</v>
      </c>
      <c r="R235" t="s">
        <v>40</v>
      </c>
      <c r="S235" t="s">
        <v>47</v>
      </c>
      <c r="T235" t="s">
        <v>50</v>
      </c>
      <c r="U235">
        <v>2031</v>
      </c>
      <c r="V235">
        <v>2</v>
      </c>
      <c r="AA235" s="10"/>
      <c r="AB235" s="10"/>
      <c r="AC235" s="10"/>
      <c r="AD235" s="10"/>
      <c r="AG235" t="s">
        <v>4</v>
      </c>
      <c r="AH235" t="s">
        <v>214</v>
      </c>
      <c r="AN235">
        <v>485</v>
      </c>
      <c r="AO235">
        <v>-0.224</v>
      </c>
      <c r="AS235" t="s">
        <v>849</v>
      </c>
      <c r="AT235" t="s">
        <v>849</v>
      </c>
      <c r="AV235" t="s">
        <v>1803</v>
      </c>
      <c r="AW235" t="s">
        <v>1815</v>
      </c>
      <c r="AX235" t="s">
        <v>1821</v>
      </c>
      <c r="AY235" t="s">
        <v>1806</v>
      </c>
      <c r="AZ235" t="s">
        <v>76</v>
      </c>
    </row>
    <row r="236" spans="1:52" x14ac:dyDescent="0.2">
      <c r="A236" t="s">
        <v>697</v>
      </c>
      <c r="B236" t="s">
        <v>698</v>
      </c>
      <c r="C236" t="s">
        <v>699</v>
      </c>
      <c r="D236">
        <v>2011</v>
      </c>
      <c r="E236" t="s">
        <v>700</v>
      </c>
      <c r="F236" t="s">
        <v>692</v>
      </c>
      <c r="G236" t="s">
        <v>992</v>
      </c>
      <c r="H236" t="s">
        <v>695</v>
      </c>
      <c r="I236" t="s">
        <v>1094</v>
      </c>
      <c r="J236" t="s">
        <v>31</v>
      </c>
      <c r="K236" t="s">
        <v>35</v>
      </c>
      <c r="L236" t="s">
        <v>11</v>
      </c>
      <c r="M236" t="s">
        <v>18</v>
      </c>
      <c r="N236">
        <v>0</v>
      </c>
      <c r="O236" s="18" t="s">
        <v>21</v>
      </c>
      <c r="P236" s="18" t="s">
        <v>78</v>
      </c>
      <c r="S236" t="s">
        <v>48</v>
      </c>
      <c r="T236" t="s">
        <v>49</v>
      </c>
      <c r="U236">
        <v>170</v>
      </c>
      <c r="V236">
        <v>2</v>
      </c>
      <c r="W236">
        <v>37.5</v>
      </c>
      <c r="X236">
        <v>37.5</v>
      </c>
      <c r="AA236">
        <v>84.012448132780094</v>
      </c>
      <c r="AB236">
        <v>6.81471320821794</v>
      </c>
      <c r="AC236">
        <v>80.091286307053906</v>
      </c>
      <c r="AD236">
        <v>6.81471320821794</v>
      </c>
      <c r="AE236" t="s">
        <v>71</v>
      </c>
      <c r="AF236" t="s">
        <v>61</v>
      </c>
      <c r="AG236" t="str">
        <f>IF(AE236="mean", "mean", "")</f>
        <v>mean</v>
      </c>
      <c r="AH236" t="s">
        <v>213</v>
      </c>
      <c r="AS236" t="s">
        <v>849</v>
      </c>
      <c r="AT236" t="s">
        <v>849</v>
      </c>
      <c r="AV236" t="s">
        <v>1803</v>
      </c>
      <c r="AW236" t="s">
        <v>1815</v>
      </c>
      <c r="AX236" t="s">
        <v>1821</v>
      </c>
      <c r="AY236" t="s">
        <v>1806</v>
      </c>
      <c r="AZ236" t="s">
        <v>76</v>
      </c>
    </row>
    <row r="237" spans="1:52" x14ac:dyDescent="0.2">
      <c r="A237" t="s">
        <v>702</v>
      </c>
      <c r="B237" t="s">
        <v>703</v>
      </c>
      <c r="C237" t="s">
        <v>704</v>
      </c>
      <c r="D237">
        <v>2000</v>
      </c>
      <c r="E237" t="s">
        <v>705</v>
      </c>
      <c r="F237" t="s">
        <v>706</v>
      </c>
      <c r="G237" t="s">
        <v>993</v>
      </c>
      <c r="H237" t="s">
        <v>696</v>
      </c>
      <c r="I237" t="s">
        <v>1054</v>
      </c>
      <c r="J237" t="s">
        <v>29</v>
      </c>
      <c r="K237" t="s">
        <v>34</v>
      </c>
      <c r="O237" s="18" t="s">
        <v>20</v>
      </c>
      <c r="P237" s="18" t="s">
        <v>25</v>
      </c>
      <c r="Q237" t="s">
        <v>38</v>
      </c>
      <c r="R237" t="s">
        <v>45</v>
      </c>
      <c r="S237" t="s">
        <v>47</v>
      </c>
      <c r="T237" t="s">
        <v>49</v>
      </c>
      <c r="U237">
        <v>2525</v>
      </c>
      <c r="V237">
        <v>2</v>
      </c>
      <c r="AA237" s="10"/>
      <c r="AB237" s="10"/>
      <c r="AC237" s="10"/>
      <c r="AD237" s="10"/>
      <c r="AG237" t="s">
        <v>80</v>
      </c>
      <c r="AH237" t="s">
        <v>214</v>
      </c>
      <c r="AN237">
        <v>22</v>
      </c>
      <c r="AP237">
        <v>0.27600000000000002</v>
      </c>
      <c r="AQ237">
        <v>1</v>
      </c>
      <c r="AS237" t="s">
        <v>222</v>
      </c>
      <c r="AT237" t="s">
        <v>222</v>
      </c>
      <c r="AV237" t="s">
        <v>1803</v>
      </c>
      <c r="AW237" t="s">
        <v>1804</v>
      </c>
      <c r="AX237" t="s">
        <v>1808</v>
      </c>
      <c r="AY237" t="s">
        <v>1814</v>
      </c>
      <c r="AZ237" t="s">
        <v>76</v>
      </c>
    </row>
    <row r="238" spans="1:52" x14ac:dyDescent="0.2">
      <c r="A238" t="s">
        <v>702</v>
      </c>
      <c r="B238" t="s">
        <v>703</v>
      </c>
      <c r="C238" t="s">
        <v>704</v>
      </c>
      <c r="D238">
        <v>2000</v>
      </c>
      <c r="E238" t="s">
        <v>705</v>
      </c>
      <c r="F238" t="s">
        <v>706</v>
      </c>
      <c r="G238" t="s">
        <v>993</v>
      </c>
      <c r="H238" t="s">
        <v>701</v>
      </c>
      <c r="I238" t="s">
        <v>1054</v>
      </c>
      <c r="J238" t="s">
        <v>29</v>
      </c>
      <c r="K238" t="s">
        <v>34</v>
      </c>
      <c r="O238" s="18" t="s">
        <v>20</v>
      </c>
      <c r="P238" s="18" t="s">
        <v>25</v>
      </c>
      <c r="Q238" t="s">
        <v>38</v>
      </c>
      <c r="R238" t="s">
        <v>39</v>
      </c>
      <c r="S238" t="s">
        <v>47</v>
      </c>
      <c r="AA238" s="10"/>
      <c r="AB238" s="10"/>
      <c r="AC238" s="10"/>
      <c r="AD238" s="10"/>
      <c r="AG238" t="s">
        <v>80</v>
      </c>
      <c r="AH238" t="s">
        <v>214</v>
      </c>
      <c r="AN238">
        <v>50</v>
      </c>
      <c r="AP238">
        <v>0.24299999999999999</v>
      </c>
      <c r="AQ238">
        <v>1</v>
      </c>
      <c r="AS238" t="s">
        <v>849</v>
      </c>
      <c r="AT238" t="s">
        <v>222</v>
      </c>
      <c r="AV238" t="s">
        <v>1803</v>
      </c>
      <c r="AW238" t="s">
        <v>1804</v>
      </c>
      <c r="AX238" t="s">
        <v>1808</v>
      </c>
      <c r="AY238" t="s">
        <v>1814</v>
      </c>
      <c r="AZ238" t="s">
        <v>76</v>
      </c>
    </row>
    <row r="239" spans="1:52" x14ac:dyDescent="0.2">
      <c r="A239" t="s">
        <v>709</v>
      </c>
      <c r="B239" t="s">
        <v>710</v>
      </c>
      <c r="C239" t="s">
        <v>711</v>
      </c>
      <c r="D239">
        <v>2000</v>
      </c>
      <c r="E239" t="s">
        <v>707</v>
      </c>
      <c r="F239" t="s">
        <v>708</v>
      </c>
      <c r="G239" t="s">
        <v>994</v>
      </c>
      <c r="H239" t="s">
        <v>712</v>
      </c>
      <c r="I239" t="s">
        <v>1090</v>
      </c>
      <c r="J239" t="s">
        <v>82</v>
      </c>
      <c r="K239" t="s">
        <v>35</v>
      </c>
      <c r="L239" t="s">
        <v>11</v>
      </c>
      <c r="M239" t="s">
        <v>19</v>
      </c>
      <c r="N239">
        <v>0</v>
      </c>
      <c r="O239" s="18" t="s">
        <v>20</v>
      </c>
      <c r="P239" s="18" t="s">
        <v>23</v>
      </c>
      <c r="S239" t="s">
        <v>47</v>
      </c>
      <c r="T239" t="s">
        <v>51</v>
      </c>
      <c r="U239">
        <v>68</v>
      </c>
      <c r="W239">
        <v>50</v>
      </c>
      <c r="X239">
        <v>50</v>
      </c>
      <c r="AA239" s="10">
        <v>111.3</v>
      </c>
      <c r="AB239" s="10">
        <v>16.7</v>
      </c>
      <c r="AC239" s="10">
        <v>124.1</v>
      </c>
      <c r="AD239" s="10">
        <v>16.399999999999999</v>
      </c>
      <c r="AE239" t="s">
        <v>71</v>
      </c>
      <c r="AF239" t="s">
        <v>62</v>
      </c>
      <c r="AG239" t="str">
        <f>IF(AE239="mean", "mean", "")</f>
        <v>mean</v>
      </c>
      <c r="AH239" t="s">
        <v>213</v>
      </c>
      <c r="AS239" t="s">
        <v>849</v>
      </c>
      <c r="AT239" t="s">
        <v>849</v>
      </c>
      <c r="AV239" t="s">
        <v>1803</v>
      </c>
      <c r="AW239" t="s">
        <v>1807</v>
      </c>
      <c r="AX239" t="s">
        <v>1808</v>
      </c>
      <c r="AY239" t="s">
        <v>1811</v>
      </c>
      <c r="AZ239" t="s">
        <v>76</v>
      </c>
    </row>
    <row r="240" spans="1:52" x14ac:dyDescent="0.2">
      <c r="A240" t="s">
        <v>714</v>
      </c>
      <c r="B240" t="s">
        <v>715</v>
      </c>
      <c r="C240" t="s">
        <v>716</v>
      </c>
      <c r="D240">
        <v>2005</v>
      </c>
      <c r="E240" t="s">
        <v>717</v>
      </c>
      <c r="F240" t="s">
        <v>718</v>
      </c>
      <c r="G240" t="s">
        <v>995</v>
      </c>
      <c r="H240" t="s">
        <v>713</v>
      </c>
      <c r="I240" t="s">
        <v>1090</v>
      </c>
      <c r="J240" t="s">
        <v>82</v>
      </c>
      <c r="K240" t="s">
        <v>35</v>
      </c>
      <c r="L240" t="s">
        <v>11</v>
      </c>
      <c r="M240" t="s">
        <v>13</v>
      </c>
      <c r="N240">
        <v>1</v>
      </c>
      <c r="O240" s="18" t="s">
        <v>20</v>
      </c>
      <c r="P240" s="19" t="s">
        <v>1824</v>
      </c>
      <c r="S240" t="s">
        <v>47</v>
      </c>
      <c r="T240" t="s">
        <v>51</v>
      </c>
      <c r="U240">
        <v>1049</v>
      </c>
      <c r="W240">
        <v>37</v>
      </c>
      <c r="X240">
        <v>37</v>
      </c>
      <c r="AA240" s="10">
        <v>1774.4</v>
      </c>
      <c r="AB240" s="10">
        <v>1488</v>
      </c>
      <c r="AC240" s="10">
        <v>966.9</v>
      </c>
      <c r="AD240" s="10">
        <v>1144</v>
      </c>
      <c r="AE240" t="s">
        <v>71</v>
      </c>
      <c r="AF240" t="s">
        <v>62</v>
      </c>
      <c r="AG240" t="str">
        <f>IF(AE240="mean", "mean", "")</f>
        <v>mean</v>
      </c>
      <c r="AH240" t="s">
        <v>213</v>
      </c>
      <c r="AS240" t="s">
        <v>849</v>
      </c>
      <c r="AT240" t="s">
        <v>849</v>
      </c>
      <c r="AV240" t="s">
        <v>1803</v>
      </c>
      <c r="AW240" t="s">
        <v>1807</v>
      </c>
      <c r="AX240" t="s">
        <v>1808</v>
      </c>
      <c r="AY240" t="s">
        <v>1811</v>
      </c>
      <c r="AZ240" t="s">
        <v>76</v>
      </c>
    </row>
    <row r="241" spans="1:52" x14ac:dyDescent="0.2">
      <c r="A241" t="s">
        <v>714</v>
      </c>
      <c r="B241" t="s">
        <v>715</v>
      </c>
      <c r="C241" t="s">
        <v>716</v>
      </c>
      <c r="D241">
        <v>2005</v>
      </c>
      <c r="E241" t="s">
        <v>717</v>
      </c>
      <c r="F241" t="s">
        <v>718</v>
      </c>
      <c r="G241" t="s">
        <v>995</v>
      </c>
      <c r="H241" t="s">
        <v>719</v>
      </c>
      <c r="I241" t="s">
        <v>1090</v>
      </c>
      <c r="J241" t="s">
        <v>82</v>
      </c>
      <c r="K241" t="s">
        <v>35</v>
      </c>
      <c r="L241" t="s">
        <v>11</v>
      </c>
      <c r="M241" t="s">
        <v>13</v>
      </c>
      <c r="N241">
        <v>1</v>
      </c>
      <c r="O241" s="18" t="s">
        <v>20</v>
      </c>
      <c r="P241" s="18" t="s">
        <v>27</v>
      </c>
      <c r="S241" t="s">
        <v>47</v>
      </c>
      <c r="T241" t="s">
        <v>51</v>
      </c>
      <c r="U241">
        <v>1050</v>
      </c>
      <c r="W241">
        <v>33</v>
      </c>
      <c r="X241">
        <v>33</v>
      </c>
      <c r="Y241">
        <v>23</v>
      </c>
      <c r="Z241">
        <v>10</v>
      </c>
      <c r="AA241" s="10"/>
      <c r="AB241" s="10"/>
      <c r="AC241" s="10"/>
      <c r="AD241" s="10"/>
      <c r="AG241" t="s">
        <v>1790</v>
      </c>
      <c r="AH241" t="s">
        <v>213</v>
      </c>
      <c r="AS241" t="s">
        <v>849</v>
      </c>
      <c r="AT241" t="s">
        <v>849</v>
      </c>
      <c r="AV241" t="s">
        <v>1803</v>
      </c>
      <c r="AW241" t="s">
        <v>1807</v>
      </c>
      <c r="AX241" t="s">
        <v>1808</v>
      </c>
      <c r="AY241" t="s">
        <v>1811</v>
      </c>
      <c r="AZ241" t="s">
        <v>76</v>
      </c>
    </row>
    <row r="242" spans="1:52" x14ac:dyDescent="0.2">
      <c r="A242" t="s">
        <v>714</v>
      </c>
      <c r="B242" t="s">
        <v>715</v>
      </c>
      <c r="C242" t="s">
        <v>716</v>
      </c>
      <c r="D242">
        <v>2005</v>
      </c>
      <c r="E242" t="s">
        <v>717</v>
      </c>
      <c r="F242" t="s">
        <v>718</v>
      </c>
      <c r="G242" t="s">
        <v>995</v>
      </c>
      <c r="H242" t="s">
        <v>720</v>
      </c>
      <c r="I242" t="s">
        <v>1090</v>
      </c>
      <c r="J242" t="s">
        <v>82</v>
      </c>
      <c r="K242" t="s">
        <v>34</v>
      </c>
      <c r="O242" s="18" t="s">
        <v>20</v>
      </c>
      <c r="P242" s="18" t="s">
        <v>27</v>
      </c>
      <c r="Q242" t="s">
        <v>38</v>
      </c>
      <c r="R242" t="s">
        <v>45</v>
      </c>
      <c r="S242" t="s">
        <v>47</v>
      </c>
      <c r="T242" t="s">
        <v>51</v>
      </c>
      <c r="U242">
        <v>1050</v>
      </c>
      <c r="AA242" s="10"/>
      <c r="AB242" s="10"/>
      <c r="AC242" s="10"/>
      <c r="AD242" s="10"/>
      <c r="AG242" t="s">
        <v>4</v>
      </c>
      <c r="AH242" t="s">
        <v>214</v>
      </c>
      <c r="AN242">
        <v>33</v>
      </c>
      <c r="AO242">
        <v>0.1</v>
      </c>
      <c r="AS242" t="s">
        <v>222</v>
      </c>
      <c r="AT242" t="s">
        <v>849</v>
      </c>
      <c r="AV242" t="s">
        <v>1803</v>
      </c>
      <c r="AW242" t="s">
        <v>1807</v>
      </c>
      <c r="AX242" t="s">
        <v>1808</v>
      </c>
      <c r="AY242" t="s">
        <v>1811</v>
      </c>
      <c r="AZ242" t="s">
        <v>76</v>
      </c>
    </row>
    <row r="243" spans="1:52" x14ac:dyDescent="0.2">
      <c r="A243" t="s">
        <v>714</v>
      </c>
      <c r="B243" t="s">
        <v>715</v>
      </c>
      <c r="C243" t="s">
        <v>716</v>
      </c>
      <c r="D243">
        <v>2005</v>
      </c>
      <c r="E243" t="s">
        <v>717</v>
      </c>
      <c r="F243" t="s">
        <v>718</v>
      </c>
      <c r="G243" t="s">
        <v>995</v>
      </c>
      <c r="H243" t="s">
        <v>721</v>
      </c>
      <c r="I243" t="s">
        <v>1090</v>
      </c>
      <c r="J243" t="s">
        <v>82</v>
      </c>
      <c r="K243" t="s">
        <v>35</v>
      </c>
      <c r="L243" t="s">
        <v>11</v>
      </c>
      <c r="M243" t="s">
        <v>13</v>
      </c>
      <c r="N243">
        <v>1</v>
      </c>
      <c r="O243" s="18" t="s">
        <v>21</v>
      </c>
      <c r="P243" s="19" t="s">
        <v>78</v>
      </c>
      <c r="S243" t="s">
        <v>47</v>
      </c>
      <c r="T243" t="s">
        <v>51</v>
      </c>
      <c r="U243">
        <v>1050</v>
      </c>
      <c r="W243">
        <v>9</v>
      </c>
      <c r="X243">
        <v>9</v>
      </c>
      <c r="AA243" s="7">
        <v>1461.1398999999999</v>
      </c>
      <c r="AB243" s="7">
        <v>870.46632099999999</v>
      </c>
      <c r="AC243">
        <v>455.95854922279801</v>
      </c>
      <c r="AD243">
        <v>373.05699481865298</v>
      </c>
      <c r="AE243" t="s">
        <v>71</v>
      </c>
      <c r="AF243" t="s">
        <v>62</v>
      </c>
      <c r="AG243" s="7" t="s">
        <v>71</v>
      </c>
      <c r="AH243" t="s">
        <v>213</v>
      </c>
      <c r="AS243" t="s">
        <v>849</v>
      </c>
      <c r="AT243" t="s">
        <v>849</v>
      </c>
      <c r="AV243" t="s">
        <v>1803</v>
      </c>
      <c r="AW243" t="s">
        <v>1807</v>
      </c>
      <c r="AX243" t="s">
        <v>1808</v>
      </c>
      <c r="AY243" t="s">
        <v>1811</v>
      </c>
      <c r="AZ243" t="s">
        <v>76</v>
      </c>
    </row>
    <row r="244" spans="1:52" x14ac:dyDescent="0.2">
      <c r="A244" t="s">
        <v>714</v>
      </c>
      <c r="B244" t="s">
        <v>715</v>
      </c>
      <c r="C244" t="s">
        <v>716</v>
      </c>
      <c r="D244">
        <v>2005</v>
      </c>
      <c r="E244" t="s">
        <v>717</v>
      </c>
      <c r="F244" t="s">
        <v>718</v>
      </c>
      <c r="G244" t="s">
        <v>995</v>
      </c>
      <c r="H244" t="s">
        <v>722</v>
      </c>
      <c r="I244" t="s">
        <v>1090</v>
      </c>
      <c r="J244" t="s">
        <v>82</v>
      </c>
      <c r="K244" t="s">
        <v>35</v>
      </c>
      <c r="L244" t="s">
        <v>11</v>
      </c>
      <c r="M244" t="s">
        <v>13</v>
      </c>
      <c r="N244">
        <v>1</v>
      </c>
      <c r="O244" s="18" t="s">
        <v>21</v>
      </c>
      <c r="P244" s="19" t="s">
        <v>78</v>
      </c>
      <c r="S244" t="s">
        <v>47</v>
      </c>
      <c r="T244" t="s">
        <v>51</v>
      </c>
      <c r="U244">
        <v>1051</v>
      </c>
      <c r="W244">
        <v>23</v>
      </c>
      <c r="X244">
        <v>10</v>
      </c>
      <c r="Y244">
        <v>6</v>
      </c>
      <c r="Z244">
        <v>6</v>
      </c>
      <c r="AA244" s="10"/>
      <c r="AB244" s="10"/>
      <c r="AC244" s="10"/>
      <c r="AD244" s="10"/>
      <c r="AG244" t="s">
        <v>1790</v>
      </c>
      <c r="AH244" t="s">
        <v>213</v>
      </c>
      <c r="AS244" t="s">
        <v>849</v>
      </c>
      <c r="AT244" t="s">
        <v>222</v>
      </c>
      <c r="AV244" t="s">
        <v>1803</v>
      </c>
      <c r="AW244" t="s">
        <v>1807</v>
      </c>
      <c r="AX244" t="s">
        <v>1808</v>
      </c>
      <c r="AY244" t="s">
        <v>1811</v>
      </c>
      <c r="AZ244" t="s">
        <v>76</v>
      </c>
    </row>
    <row r="245" spans="1:52" x14ac:dyDescent="0.2">
      <c r="A245" t="s">
        <v>723</v>
      </c>
      <c r="B245" t="s">
        <v>724</v>
      </c>
      <c r="C245" t="s">
        <v>725</v>
      </c>
      <c r="D245">
        <v>2014</v>
      </c>
      <c r="E245" t="s">
        <v>726</v>
      </c>
      <c r="F245" t="s">
        <v>727</v>
      </c>
      <c r="G245" t="s">
        <v>996</v>
      </c>
      <c r="H245" t="s">
        <v>728</v>
      </c>
      <c r="I245" t="s">
        <v>1778</v>
      </c>
      <c r="J245" t="s">
        <v>31</v>
      </c>
      <c r="K245" t="s">
        <v>35</v>
      </c>
      <c r="L245" t="s">
        <v>12</v>
      </c>
      <c r="O245" s="18" t="s">
        <v>20</v>
      </c>
      <c r="P245" s="18" t="s">
        <v>27</v>
      </c>
      <c r="Q245" t="s">
        <v>37</v>
      </c>
      <c r="R245" t="s">
        <v>39</v>
      </c>
      <c r="S245" t="s">
        <v>47</v>
      </c>
      <c r="T245" t="s">
        <v>49</v>
      </c>
      <c r="U245">
        <v>4</v>
      </c>
      <c r="V245">
        <v>2</v>
      </c>
      <c r="W245">
        <v>48</v>
      </c>
      <c r="X245">
        <v>48</v>
      </c>
      <c r="AA245">
        <v>3.8783783783783798</v>
      </c>
      <c r="AB245">
        <v>9.1751880617162307</v>
      </c>
      <c r="AC245">
        <v>1.13513513513513</v>
      </c>
      <c r="AD245">
        <v>8.5198174858793703</v>
      </c>
      <c r="AE245" t="s">
        <v>71</v>
      </c>
      <c r="AF245" t="s">
        <v>61</v>
      </c>
      <c r="AG245" t="str">
        <f>IF(AE245="mean", "mean", "")</f>
        <v>mean</v>
      </c>
      <c r="AH245" t="s">
        <v>213</v>
      </c>
      <c r="AS245" t="s">
        <v>849</v>
      </c>
      <c r="AT245" t="s">
        <v>849</v>
      </c>
      <c r="AV245" t="s">
        <v>1803</v>
      </c>
      <c r="AW245" t="s">
        <v>1815</v>
      </c>
      <c r="AX245" t="s">
        <v>1821</v>
      </c>
      <c r="AY245" t="s">
        <v>1811</v>
      </c>
      <c r="AZ245" t="s">
        <v>76</v>
      </c>
    </row>
    <row r="246" spans="1:52" x14ac:dyDescent="0.2">
      <c r="A246" t="s">
        <v>723</v>
      </c>
      <c r="B246" t="s">
        <v>724</v>
      </c>
      <c r="C246" t="s">
        <v>725</v>
      </c>
      <c r="D246">
        <v>2014</v>
      </c>
      <c r="E246" t="s">
        <v>726</v>
      </c>
      <c r="F246" t="s">
        <v>727</v>
      </c>
      <c r="G246" t="s">
        <v>997</v>
      </c>
      <c r="H246" t="s">
        <v>729</v>
      </c>
      <c r="I246" t="s">
        <v>1778</v>
      </c>
      <c r="J246" t="s">
        <v>31</v>
      </c>
      <c r="K246" t="s">
        <v>35</v>
      </c>
      <c r="L246" t="s">
        <v>12</v>
      </c>
      <c r="O246" s="18" t="s">
        <v>20</v>
      </c>
      <c r="P246" s="18" t="s">
        <v>27</v>
      </c>
      <c r="Q246" t="s">
        <v>38</v>
      </c>
      <c r="R246" t="s">
        <v>43</v>
      </c>
      <c r="S246" t="s">
        <v>47</v>
      </c>
      <c r="T246" t="s">
        <v>49</v>
      </c>
      <c r="U246">
        <v>4</v>
      </c>
      <c r="V246">
        <v>2</v>
      </c>
      <c r="W246">
        <v>33</v>
      </c>
      <c r="X246">
        <v>33</v>
      </c>
      <c r="AA246">
        <v>64.899328859060404</v>
      </c>
      <c r="AB246">
        <v>13.8794802198234</v>
      </c>
      <c r="AC246">
        <v>97.114093959731505</v>
      </c>
      <c r="AD246">
        <v>13.8794802198234</v>
      </c>
      <c r="AE246" t="s">
        <v>71</v>
      </c>
      <c r="AF246" t="s">
        <v>61</v>
      </c>
      <c r="AG246" t="str">
        <f>IF(AE246="mean", "mean", "")</f>
        <v>mean</v>
      </c>
      <c r="AH246" t="s">
        <v>213</v>
      </c>
      <c r="AS246" t="s">
        <v>849</v>
      </c>
      <c r="AT246" t="s">
        <v>849</v>
      </c>
      <c r="AV246" t="s">
        <v>1803</v>
      </c>
      <c r="AW246" t="s">
        <v>1815</v>
      </c>
      <c r="AX246" t="s">
        <v>1821</v>
      </c>
      <c r="AY246" t="s">
        <v>1811</v>
      </c>
      <c r="AZ246" t="s">
        <v>76</v>
      </c>
    </row>
    <row r="247" spans="1:52" x14ac:dyDescent="0.2">
      <c r="A247" t="s">
        <v>417</v>
      </c>
      <c r="B247" t="s">
        <v>418</v>
      </c>
      <c r="C247" t="s">
        <v>419</v>
      </c>
      <c r="D247">
        <v>2012</v>
      </c>
      <c r="E247" t="s">
        <v>730</v>
      </c>
      <c r="F247" t="s">
        <v>731</v>
      </c>
      <c r="G247" t="s">
        <v>998</v>
      </c>
      <c r="H247" t="s">
        <v>732</v>
      </c>
      <c r="I247" t="s">
        <v>433</v>
      </c>
      <c r="J247" t="s">
        <v>31</v>
      </c>
      <c r="K247" t="s">
        <v>35</v>
      </c>
      <c r="L247" t="s">
        <v>11</v>
      </c>
      <c r="M247" t="s">
        <v>18</v>
      </c>
      <c r="N247">
        <v>0</v>
      </c>
      <c r="O247" s="18" t="s">
        <v>20</v>
      </c>
      <c r="P247" s="18" t="s">
        <v>24</v>
      </c>
      <c r="S247" t="s">
        <v>47</v>
      </c>
      <c r="T247" t="s">
        <v>49</v>
      </c>
      <c r="U247">
        <v>4744</v>
      </c>
      <c r="V247">
        <v>3</v>
      </c>
      <c r="W247">
        <v>45</v>
      </c>
      <c r="X247">
        <v>45</v>
      </c>
      <c r="AA247">
        <v>-0.281588447653429</v>
      </c>
      <c r="AB247">
        <v>2.0923784107146002</v>
      </c>
      <c r="AC247">
        <v>-0.168953068592058</v>
      </c>
      <c r="AD247">
        <v>1.91801354315506</v>
      </c>
      <c r="AE247" t="s">
        <v>71</v>
      </c>
      <c r="AF247" t="s">
        <v>61</v>
      </c>
      <c r="AG247" t="str">
        <f t="shared" ref="AG247:AG266" si="8">IF(AE247="mean", "mean", "")</f>
        <v>mean</v>
      </c>
      <c r="AH247" t="s">
        <v>213</v>
      </c>
      <c r="AS247" t="s">
        <v>849</v>
      </c>
      <c r="AT247" t="s">
        <v>222</v>
      </c>
      <c r="AV247" t="s">
        <v>1803</v>
      </c>
      <c r="AW247" t="s">
        <v>1804</v>
      </c>
      <c r="AX247" t="s">
        <v>1805</v>
      </c>
      <c r="AY247" t="s">
        <v>1806</v>
      </c>
      <c r="AZ247" t="s">
        <v>76</v>
      </c>
    </row>
    <row r="248" spans="1:52" x14ac:dyDescent="0.2">
      <c r="A248" t="s">
        <v>417</v>
      </c>
      <c r="B248" t="s">
        <v>418</v>
      </c>
      <c r="C248" t="s">
        <v>419</v>
      </c>
      <c r="D248">
        <v>2012</v>
      </c>
      <c r="E248" t="s">
        <v>730</v>
      </c>
      <c r="F248" t="s">
        <v>731</v>
      </c>
      <c r="G248" t="s">
        <v>998</v>
      </c>
      <c r="H248" t="s">
        <v>733</v>
      </c>
      <c r="I248" t="s">
        <v>433</v>
      </c>
      <c r="J248" t="s">
        <v>31</v>
      </c>
      <c r="K248" t="s">
        <v>35</v>
      </c>
      <c r="L248" t="s">
        <v>11</v>
      </c>
      <c r="M248" t="s">
        <v>18</v>
      </c>
      <c r="N248">
        <v>0</v>
      </c>
      <c r="O248" s="18" t="s">
        <v>20</v>
      </c>
      <c r="P248" s="18" t="s">
        <v>24</v>
      </c>
      <c r="S248" t="s">
        <v>47</v>
      </c>
      <c r="T248" t="s">
        <v>49</v>
      </c>
      <c r="U248">
        <v>4744</v>
      </c>
      <c r="V248">
        <v>3</v>
      </c>
      <c r="W248">
        <v>45</v>
      </c>
      <c r="X248">
        <v>45</v>
      </c>
      <c r="AA248">
        <v>-0.281588447653429</v>
      </c>
      <c r="AB248">
        <v>2.0923784107146002</v>
      </c>
      <c r="AC248">
        <v>3.0324909747292399E-2</v>
      </c>
      <c r="AD248">
        <v>1.9761351656749</v>
      </c>
      <c r="AE248" t="s">
        <v>71</v>
      </c>
      <c r="AF248" t="s">
        <v>61</v>
      </c>
      <c r="AG248" t="str">
        <f t="shared" si="8"/>
        <v>mean</v>
      </c>
      <c r="AH248" t="s">
        <v>213</v>
      </c>
      <c r="AS248" t="s">
        <v>849</v>
      </c>
      <c r="AT248" t="s">
        <v>222</v>
      </c>
      <c r="AV248" t="s">
        <v>1803</v>
      </c>
      <c r="AW248" t="s">
        <v>1804</v>
      </c>
      <c r="AX248" t="s">
        <v>1805</v>
      </c>
      <c r="AY248" t="s">
        <v>1806</v>
      </c>
      <c r="AZ248" t="s">
        <v>76</v>
      </c>
    </row>
    <row r="249" spans="1:52" x14ac:dyDescent="0.2">
      <c r="A249" t="s">
        <v>417</v>
      </c>
      <c r="B249" t="s">
        <v>418</v>
      </c>
      <c r="C249" t="s">
        <v>419</v>
      </c>
      <c r="D249">
        <v>2012</v>
      </c>
      <c r="E249" t="s">
        <v>730</v>
      </c>
      <c r="F249" t="s">
        <v>731</v>
      </c>
      <c r="G249" t="s">
        <v>998</v>
      </c>
      <c r="H249" t="s">
        <v>734</v>
      </c>
      <c r="I249" t="s">
        <v>433</v>
      </c>
      <c r="J249" t="s">
        <v>31</v>
      </c>
      <c r="K249" t="s">
        <v>35</v>
      </c>
      <c r="L249" t="s">
        <v>11</v>
      </c>
      <c r="M249" t="s">
        <v>18</v>
      </c>
      <c r="N249">
        <v>0</v>
      </c>
      <c r="O249" s="18" t="s">
        <v>20</v>
      </c>
      <c r="P249" s="18" t="s">
        <v>24</v>
      </c>
      <c r="S249" t="s">
        <v>47</v>
      </c>
      <c r="T249" t="s">
        <v>49</v>
      </c>
      <c r="U249">
        <v>4744</v>
      </c>
      <c r="V249">
        <v>3</v>
      </c>
      <c r="W249">
        <v>45</v>
      </c>
      <c r="X249">
        <v>45</v>
      </c>
      <c r="AA249">
        <v>-0.281588447653429</v>
      </c>
      <c r="AB249">
        <v>2.0923784107146002</v>
      </c>
      <c r="AC249">
        <v>-0.26425992779783403</v>
      </c>
      <c r="AD249">
        <v>1.8598919206352</v>
      </c>
      <c r="AE249" t="s">
        <v>71</v>
      </c>
      <c r="AF249" t="s">
        <v>61</v>
      </c>
      <c r="AG249" t="str">
        <f t="shared" si="8"/>
        <v>mean</v>
      </c>
      <c r="AH249" t="s">
        <v>213</v>
      </c>
      <c r="AS249" t="s">
        <v>849</v>
      </c>
      <c r="AT249" t="s">
        <v>222</v>
      </c>
      <c r="AV249" t="s">
        <v>1803</v>
      </c>
      <c r="AW249" t="s">
        <v>1804</v>
      </c>
      <c r="AX249" t="s">
        <v>1805</v>
      </c>
      <c r="AY249" t="s">
        <v>1806</v>
      </c>
      <c r="AZ249" t="s">
        <v>76</v>
      </c>
    </row>
    <row r="250" spans="1:52" x14ac:dyDescent="0.2">
      <c r="A250" t="s">
        <v>417</v>
      </c>
      <c r="B250" t="s">
        <v>418</v>
      </c>
      <c r="C250" t="s">
        <v>419</v>
      </c>
      <c r="D250">
        <v>2012</v>
      </c>
      <c r="E250" t="s">
        <v>730</v>
      </c>
      <c r="F250" t="s">
        <v>731</v>
      </c>
      <c r="G250" t="s">
        <v>998</v>
      </c>
      <c r="H250" t="s">
        <v>735</v>
      </c>
      <c r="I250" t="s">
        <v>433</v>
      </c>
      <c r="J250" t="s">
        <v>31</v>
      </c>
      <c r="K250" t="s">
        <v>35</v>
      </c>
      <c r="L250" t="s">
        <v>11</v>
      </c>
      <c r="M250" t="s">
        <v>18</v>
      </c>
      <c r="N250">
        <v>0</v>
      </c>
      <c r="O250" s="18" t="s">
        <v>20</v>
      </c>
      <c r="P250" s="18" t="s">
        <v>24</v>
      </c>
      <c r="S250" t="s">
        <v>47</v>
      </c>
      <c r="T250" t="s">
        <v>49</v>
      </c>
      <c r="U250">
        <v>4744</v>
      </c>
      <c r="V250">
        <v>3</v>
      </c>
      <c r="W250">
        <v>45</v>
      </c>
      <c r="X250">
        <v>45</v>
      </c>
      <c r="AA250">
        <v>-0.281588447653429</v>
      </c>
      <c r="AB250">
        <v>2.0923784107146002</v>
      </c>
      <c r="AC250">
        <v>9.9638989169675396E-2</v>
      </c>
      <c r="AD250">
        <v>1.8017702981153501</v>
      </c>
      <c r="AE250" t="s">
        <v>71</v>
      </c>
      <c r="AF250" t="s">
        <v>61</v>
      </c>
      <c r="AG250" t="str">
        <f t="shared" si="8"/>
        <v>mean</v>
      </c>
      <c r="AH250" t="s">
        <v>213</v>
      </c>
      <c r="AS250" t="s">
        <v>849</v>
      </c>
      <c r="AT250" t="s">
        <v>222</v>
      </c>
      <c r="AV250" t="s">
        <v>1803</v>
      </c>
      <c r="AW250" t="s">
        <v>1804</v>
      </c>
      <c r="AX250" t="s">
        <v>1805</v>
      </c>
      <c r="AY250" t="s">
        <v>1806</v>
      </c>
      <c r="AZ250" t="s">
        <v>76</v>
      </c>
    </row>
    <row r="251" spans="1:52" x14ac:dyDescent="0.2">
      <c r="A251" t="s">
        <v>417</v>
      </c>
      <c r="B251" t="s">
        <v>418</v>
      </c>
      <c r="C251" t="s">
        <v>419</v>
      </c>
      <c r="D251">
        <v>2012</v>
      </c>
      <c r="E251" t="s">
        <v>730</v>
      </c>
      <c r="F251" t="s">
        <v>731</v>
      </c>
      <c r="G251" t="s">
        <v>998</v>
      </c>
      <c r="H251" t="s">
        <v>736</v>
      </c>
      <c r="I251" t="s">
        <v>433</v>
      </c>
      <c r="J251" t="s">
        <v>31</v>
      </c>
      <c r="K251" t="s">
        <v>35</v>
      </c>
      <c r="L251" t="s">
        <v>11</v>
      </c>
      <c r="M251" t="s">
        <v>18</v>
      </c>
      <c r="N251">
        <v>0</v>
      </c>
      <c r="O251" s="18" t="s">
        <v>20</v>
      </c>
      <c r="P251" s="18" t="s">
        <v>24</v>
      </c>
      <c r="S251" t="s">
        <v>47</v>
      </c>
      <c r="T251" t="s">
        <v>49</v>
      </c>
      <c r="U251">
        <v>4744</v>
      </c>
      <c r="V251">
        <v>3</v>
      </c>
      <c r="W251">
        <v>45</v>
      </c>
      <c r="X251">
        <v>45</v>
      </c>
      <c r="AA251">
        <v>-0.281588447653429</v>
      </c>
      <c r="AB251">
        <v>2.0923784107146002</v>
      </c>
      <c r="AC251">
        <v>0.48086642599278001</v>
      </c>
      <c r="AD251">
        <v>2.0923784107146002</v>
      </c>
      <c r="AE251" t="s">
        <v>71</v>
      </c>
      <c r="AF251" t="s">
        <v>61</v>
      </c>
      <c r="AG251" t="str">
        <f t="shared" si="8"/>
        <v>mean</v>
      </c>
      <c r="AH251" t="s">
        <v>213</v>
      </c>
      <c r="AS251" t="s">
        <v>849</v>
      </c>
      <c r="AT251" t="s">
        <v>222</v>
      </c>
      <c r="AV251" t="s">
        <v>1803</v>
      </c>
      <c r="AW251" t="s">
        <v>1804</v>
      </c>
      <c r="AX251" t="s">
        <v>1805</v>
      </c>
      <c r="AY251" t="s">
        <v>1806</v>
      </c>
      <c r="AZ251" t="s">
        <v>76</v>
      </c>
    </row>
    <row r="252" spans="1:52" x14ac:dyDescent="0.2">
      <c r="A252" t="s">
        <v>417</v>
      </c>
      <c r="B252" t="s">
        <v>418</v>
      </c>
      <c r="C252" t="s">
        <v>419</v>
      </c>
      <c r="D252">
        <v>2012</v>
      </c>
      <c r="E252" t="s">
        <v>730</v>
      </c>
      <c r="F252" t="s">
        <v>731</v>
      </c>
      <c r="G252" t="s">
        <v>998</v>
      </c>
      <c r="H252" t="s">
        <v>737</v>
      </c>
      <c r="I252" t="s">
        <v>433</v>
      </c>
      <c r="J252" t="s">
        <v>31</v>
      </c>
      <c r="K252" t="s">
        <v>35</v>
      </c>
      <c r="L252" t="s">
        <v>11</v>
      </c>
      <c r="M252" t="s">
        <v>18</v>
      </c>
      <c r="N252">
        <v>0</v>
      </c>
      <c r="O252" s="18" t="s">
        <v>20</v>
      </c>
      <c r="P252" s="18" t="s">
        <v>24</v>
      </c>
      <c r="S252" t="s">
        <v>47</v>
      </c>
      <c r="T252" t="s">
        <v>49</v>
      </c>
      <c r="U252">
        <v>4744</v>
      </c>
      <c r="V252">
        <v>3</v>
      </c>
      <c r="W252">
        <v>25</v>
      </c>
      <c r="X252">
        <v>25</v>
      </c>
      <c r="AA252">
        <v>0.26425992779783403</v>
      </c>
      <c r="AB252">
        <v>1.8194945848375399</v>
      </c>
      <c r="AC252">
        <v>0.76678700361010799</v>
      </c>
      <c r="AD252">
        <v>1.6462093862815901</v>
      </c>
      <c r="AE252" t="s">
        <v>71</v>
      </c>
      <c r="AF252" t="s">
        <v>61</v>
      </c>
      <c r="AG252" t="str">
        <f t="shared" si="8"/>
        <v>mean</v>
      </c>
      <c r="AH252" t="s">
        <v>213</v>
      </c>
      <c r="AS252" t="s">
        <v>849</v>
      </c>
      <c r="AT252" t="s">
        <v>222</v>
      </c>
      <c r="AV252" t="s">
        <v>1803</v>
      </c>
      <c r="AW252" t="s">
        <v>1804</v>
      </c>
      <c r="AX252" t="s">
        <v>1805</v>
      </c>
      <c r="AY252" t="s">
        <v>1806</v>
      </c>
      <c r="AZ252" t="s">
        <v>76</v>
      </c>
    </row>
    <row r="253" spans="1:52" x14ac:dyDescent="0.2">
      <c r="A253" t="s">
        <v>417</v>
      </c>
      <c r="B253" t="s">
        <v>418</v>
      </c>
      <c r="C253" t="s">
        <v>419</v>
      </c>
      <c r="D253">
        <v>2012</v>
      </c>
      <c r="E253" t="s">
        <v>730</v>
      </c>
      <c r="F253" t="s">
        <v>731</v>
      </c>
      <c r="G253" t="s">
        <v>999</v>
      </c>
      <c r="H253" t="s">
        <v>738</v>
      </c>
      <c r="I253" t="s">
        <v>433</v>
      </c>
      <c r="J253" t="s">
        <v>31</v>
      </c>
      <c r="K253" t="s">
        <v>35</v>
      </c>
      <c r="L253" t="s">
        <v>11</v>
      </c>
      <c r="M253" t="s">
        <v>18</v>
      </c>
      <c r="N253">
        <v>0</v>
      </c>
      <c r="O253" s="18" t="s">
        <v>20</v>
      </c>
      <c r="P253" s="18" t="s">
        <v>24</v>
      </c>
      <c r="S253" t="s">
        <v>47</v>
      </c>
      <c r="T253" t="s">
        <v>49</v>
      </c>
      <c r="U253">
        <v>4744</v>
      </c>
      <c r="V253">
        <v>3</v>
      </c>
      <c r="W253">
        <v>25</v>
      </c>
      <c r="X253">
        <v>25</v>
      </c>
      <c r="AA253">
        <v>0.26425992779783403</v>
      </c>
      <c r="AB253">
        <v>1.8194945848375399</v>
      </c>
      <c r="AC253">
        <v>0.44620938628158802</v>
      </c>
      <c r="AD253">
        <v>1.5162454873646201</v>
      </c>
      <c r="AE253" t="s">
        <v>71</v>
      </c>
      <c r="AF253" t="s">
        <v>61</v>
      </c>
      <c r="AG253" t="str">
        <f t="shared" si="8"/>
        <v>mean</v>
      </c>
      <c r="AH253" t="s">
        <v>213</v>
      </c>
      <c r="AS253" t="s">
        <v>849</v>
      </c>
      <c r="AT253" t="s">
        <v>222</v>
      </c>
      <c r="AV253" t="s">
        <v>1803</v>
      </c>
      <c r="AW253" t="s">
        <v>1804</v>
      </c>
      <c r="AX253" t="s">
        <v>1805</v>
      </c>
      <c r="AY253" t="s">
        <v>1806</v>
      </c>
      <c r="AZ253" t="s">
        <v>76</v>
      </c>
    </row>
    <row r="254" spans="1:52" x14ac:dyDescent="0.2">
      <c r="A254" t="s">
        <v>417</v>
      </c>
      <c r="B254" t="s">
        <v>418</v>
      </c>
      <c r="C254" t="s">
        <v>419</v>
      </c>
      <c r="D254">
        <v>2012</v>
      </c>
      <c r="E254" t="s">
        <v>730</v>
      </c>
      <c r="F254" t="s">
        <v>731</v>
      </c>
      <c r="G254" t="s">
        <v>999</v>
      </c>
      <c r="H254" t="s">
        <v>739</v>
      </c>
      <c r="I254" t="s">
        <v>433</v>
      </c>
      <c r="J254" t="s">
        <v>31</v>
      </c>
      <c r="K254" t="s">
        <v>35</v>
      </c>
      <c r="L254" t="s">
        <v>11</v>
      </c>
      <c r="M254" t="s">
        <v>18</v>
      </c>
      <c r="N254">
        <v>0</v>
      </c>
      <c r="O254" s="18" t="s">
        <v>20</v>
      </c>
      <c r="P254" s="18" t="s">
        <v>24</v>
      </c>
      <c r="S254" t="s">
        <v>47</v>
      </c>
      <c r="T254" t="s">
        <v>49</v>
      </c>
      <c r="U254">
        <v>4744</v>
      </c>
      <c r="V254">
        <v>3</v>
      </c>
      <c r="W254">
        <v>25</v>
      </c>
      <c r="X254">
        <v>25</v>
      </c>
      <c r="AA254">
        <v>0.26425992779783403</v>
      </c>
      <c r="AB254">
        <v>1.8194945848375399</v>
      </c>
      <c r="AC254">
        <v>-0.55884476534296001</v>
      </c>
      <c r="AD254">
        <v>1.5595667870036101</v>
      </c>
      <c r="AE254" t="s">
        <v>71</v>
      </c>
      <c r="AF254" t="s">
        <v>61</v>
      </c>
      <c r="AG254" t="str">
        <f t="shared" si="8"/>
        <v>mean</v>
      </c>
      <c r="AH254" t="s">
        <v>213</v>
      </c>
      <c r="AS254" t="s">
        <v>849</v>
      </c>
      <c r="AT254" t="s">
        <v>222</v>
      </c>
      <c r="AV254" t="s">
        <v>1803</v>
      </c>
      <c r="AW254" t="s">
        <v>1804</v>
      </c>
      <c r="AX254" t="s">
        <v>1805</v>
      </c>
      <c r="AY254" t="s">
        <v>1806</v>
      </c>
      <c r="AZ254" t="s">
        <v>76</v>
      </c>
    </row>
    <row r="255" spans="1:52" x14ac:dyDescent="0.2">
      <c r="A255" t="s">
        <v>417</v>
      </c>
      <c r="B255" t="s">
        <v>418</v>
      </c>
      <c r="C255" t="s">
        <v>419</v>
      </c>
      <c r="D255">
        <v>2012</v>
      </c>
      <c r="E255" t="s">
        <v>730</v>
      </c>
      <c r="F255" t="s">
        <v>731</v>
      </c>
      <c r="G255" t="s">
        <v>999</v>
      </c>
      <c r="H255" t="s">
        <v>740</v>
      </c>
      <c r="I255" t="s">
        <v>433</v>
      </c>
      <c r="J255" t="s">
        <v>31</v>
      </c>
      <c r="K255" t="s">
        <v>35</v>
      </c>
      <c r="L255" t="s">
        <v>11</v>
      </c>
      <c r="M255" t="s">
        <v>18</v>
      </c>
      <c r="N255">
        <v>0</v>
      </c>
      <c r="O255" s="18" t="s">
        <v>20</v>
      </c>
      <c r="P255" s="18" t="s">
        <v>24</v>
      </c>
      <c r="S255" t="s">
        <v>47</v>
      </c>
      <c r="T255" t="s">
        <v>49</v>
      </c>
      <c r="U255">
        <v>4744</v>
      </c>
      <c r="V255">
        <v>3</v>
      </c>
      <c r="W255">
        <v>25</v>
      </c>
      <c r="X255">
        <v>25</v>
      </c>
      <c r="AA255">
        <v>0.26425992779783403</v>
      </c>
      <c r="AB255">
        <v>1.8194945848375399</v>
      </c>
      <c r="AC255">
        <v>-0.16028880866426001</v>
      </c>
      <c r="AD255">
        <v>1.8628158844765399</v>
      </c>
      <c r="AE255" t="s">
        <v>71</v>
      </c>
      <c r="AF255" t="s">
        <v>61</v>
      </c>
      <c r="AG255" t="str">
        <f t="shared" si="8"/>
        <v>mean</v>
      </c>
      <c r="AH255" t="s">
        <v>213</v>
      </c>
      <c r="AS255" t="s">
        <v>849</v>
      </c>
      <c r="AT255" t="s">
        <v>222</v>
      </c>
      <c r="AV255" t="s">
        <v>1803</v>
      </c>
      <c r="AW255" t="s">
        <v>1804</v>
      </c>
      <c r="AX255" t="s">
        <v>1805</v>
      </c>
      <c r="AY255" t="s">
        <v>1806</v>
      </c>
      <c r="AZ255" t="s">
        <v>76</v>
      </c>
    </row>
    <row r="256" spans="1:52" x14ac:dyDescent="0.2">
      <c r="A256" t="s">
        <v>417</v>
      </c>
      <c r="B256" t="s">
        <v>418</v>
      </c>
      <c r="C256" t="s">
        <v>419</v>
      </c>
      <c r="D256">
        <v>2012</v>
      </c>
      <c r="E256" t="s">
        <v>730</v>
      </c>
      <c r="F256" t="s">
        <v>731</v>
      </c>
      <c r="G256" t="s">
        <v>999</v>
      </c>
      <c r="H256" t="s">
        <v>741</v>
      </c>
      <c r="I256" t="s">
        <v>433</v>
      </c>
      <c r="J256" t="s">
        <v>31</v>
      </c>
      <c r="K256" t="s">
        <v>35</v>
      </c>
      <c r="L256" t="s">
        <v>11</v>
      </c>
      <c r="M256" t="s">
        <v>18</v>
      </c>
      <c r="N256">
        <v>0</v>
      </c>
      <c r="O256" s="18" t="s">
        <v>20</v>
      </c>
      <c r="P256" s="18" t="s">
        <v>24</v>
      </c>
      <c r="S256" t="s">
        <v>47</v>
      </c>
      <c r="T256" t="s">
        <v>49</v>
      </c>
      <c r="U256">
        <v>4744</v>
      </c>
      <c r="V256">
        <v>3</v>
      </c>
      <c r="W256">
        <v>25</v>
      </c>
      <c r="X256">
        <v>25</v>
      </c>
      <c r="AA256">
        <v>0.26425992779783403</v>
      </c>
      <c r="AB256">
        <v>1.8194945848375399</v>
      </c>
      <c r="AC256">
        <v>-0.55884476534296001</v>
      </c>
      <c r="AD256">
        <v>1.6028880866426001</v>
      </c>
      <c r="AE256" t="s">
        <v>71</v>
      </c>
      <c r="AF256" t="s">
        <v>61</v>
      </c>
      <c r="AG256" t="str">
        <f t="shared" si="8"/>
        <v>mean</v>
      </c>
      <c r="AH256" t="s">
        <v>213</v>
      </c>
      <c r="AS256" t="s">
        <v>849</v>
      </c>
      <c r="AT256" t="s">
        <v>222</v>
      </c>
      <c r="AV256" t="s">
        <v>1803</v>
      </c>
      <c r="AW256" t="s">
        <v>1804</v>
      </c>
      <c r="AX256" t="s">
        <v>1805</v>
      </c>
      <c r="AY256" t="s">
        <v>1806</v>
      </c>
      <c r="AZ256" t="s">
        <v>76</v>
      </c>
    </row>
    <row r="257" spans="1:52" x14ac:dyDescent="0.2">
      <c r="A257" t="s">
        <v>417</v>
      </c>
      <c r="B257" t="s">
        <v>418</v>
      </c>
      <c r="C257" t="s">
        <v>419</v>
      </c>
      <c r="D257">
        <v>2012</v>
      </c>
      <c r="E257" t="s">
        <v>730</v>
      </c>
      <c r="F257" t="s">
        <v>731</v>
      </c>
      <c r="G257" t="s">
        <v>999</v>
      </c>
      <c r="H257" t="s">
        <v>742</v>
      </c>
      <c r="I257" t="s">
        <v>433</v>
      </c>
      <c r="J257" t="s">
        <v>31</v>
      </c>
      <c r="K257" t="s">
        <v>35</v>
      </c>
      <c r="L257" t="s">
        <v>11</v>
      </c>
      <c r="M257" t="s">
        <v>18</v>
      </c>
      <c r="N257">
        <v>0</v>
      </c>
      <c r="O257" s="18" t="s">
        <v>20</v>
      </c>
      <c r="P257" s="18" t="s">
        <v>1042</v>
      </c>
      <c r="S257" t="s">
        <v>47</v>
      </c>
      <c r="T257" t="s">
        <v>49</v>
      </c>
      <c r="U257">
        <v>4744</v>
      </c>
      <c r="V257">
        <v>4</v>
      </c>
      <c r="W257">
        <v>45</v>
      </c>
      <c r="X257">
        <v>45</v>
      </c>
      <c r="AA257">
        <v>9.0681003584229405</v>
      </c>
      <c r="AB257">
        <v>13.753020248708401</v>
      </c>
      <c r="AC257">
        <v>18.530465949820801</v>
      </c>
      <c r="AD257">
        <v>12.1661332969343</v>
      </c>
      <c r="AE257" t="s">
        <v>71</v>
      </c>
      <c r="AF257" t="s">
        <v>61</v>
      </c>
      <c r="AG257" t="str">
        <f t="shared" si="8"/>
        <v>mean</v>
      </c>
      <c r="AH257" t="s">
        <v>213</v>
      </c>
      <c r="AS257" t="s">
        <v>849</v>
      </c>
      <c r="AT257" t="s">
        <v>849</v>
      </c>
      <c r="AV257" t="s">
        <v>1803</v>
      </c>
      <c r="AW257" t="s">
        <v>1804</v>
      </c>
      <c r="AX257" t="s">
        <v>1805</v>
      </c>
      <c r="AY257" t="s">
        <v>1806</v>
      </c>
      <c r="AZ257" t="s">
        <v>76</v>
      </c>
    </row>
    <row r="258" spans="1:52" x14ac:dyDescent="0.2">
      <c r="A258" t="s">
        <v>417</v>
      </c>
      <c r="B258" t="s">
        <v>418</v>
      </c>
      <c r="C258" t="s">
        <v>419</v>
      </c>
      <c r="D258">
        <v>2012</v>
      </c>
      <c r="E258" t="s">
        <v>730</v>
      </c>
      <c r="F258" t="s">
        <v>731</v>
      </c>
      <c r="G258" t="s">
        <v>998</v>
      </c>
      <c r="H258" t="s">
        <v>743</v>
      </c>
      <c r="I258" t="s">
        <v>433</v>
      </c>
      <c r="J258" t="s">
        <v>31</v>
      </c>
      <c r="K258" t="s">
        <v>35</v>
      </c>
      <c r="L258" t="s">
        <v>11</v>
      </c>
      <c r="M258" t="s">
        <v>18</v>
      </c>
      <c r="N258">
        <v>0</v>
      </c>
      <c r="O258" s="18" t="s">
        <v>20</v>
      </c>
      <c r="P258" s="18" t="s">
        <v>1042</v>
      </c>
      <c r="S258" t="s">
        <v>47</v>
      </c>
      <c r="T258" t="s">
        <v>49</v>
      </c>
      <c r="U258">
        <v>4744</v>
      </c>
      <c r="V258">
        <v>4</v>
      </c>
      <c r="W258">
        <v>45</v>
      </c>
      <c r="X258">
        <v>45</v>
      </c>
      <c r="AA258">
        <v>9.0681003584229405</v>
      </c>
      <c r="AB258">
        <v>13.753020248708401</v>
      </c>
      <c r="AC258">
        <v>12.8530465949821</v>
      </c>
      <c r="AD258">
        <v>10.5792463451603</v>
      </c>
      <c r="AE258" t="s">
        <v>71</v>
      </c>
      <c r="AF258" t="s">
        <v>61</v>
      </c>
      <c r="AG258" t="str">
        <f t="shared" si="8"/>
        <v>mean</v>
      </c>
      <c r="AH258" t="s">
        <v>213</v>
      </c>
      <c r="AS258" t="s">
        <v>849</v>
      </c>
      <c r="AT258" t="s">
        <v>849</v>
      </c>
      <c r="AV258" t="s">
        <v>1803</v>
      </c>
      <c r="AW258" t="s">
        <v>1804</v>
      </c>
      <c r="AX258" t="s">
        <v>1805</v>
      </c>
      <c r="AY258" t="s">
        <v>1806</v>
      </c>
      <c r="AZ258" t="s">
        <v>76</v>
      </c>
    </row>
    <row r="259" spans="1:52" x14ac:dyDescent="0.2">
      <c r="A259" t="s">
        <v>417</v>
      </c>
      <c r="B259" t="s">
        <v>418</v>
      </c>
      <c r="C259" t="s">
        <v>419</v>
      </c>
      <c r="D259">
        <v>2012</v>
      </c>
      <c r="E259" t="s">
        <v>730</v>
      </c>
      <c r="F259" t="s">
        <v>731</v>
      </c>
      <c r="G259" t="s">
        <v>998</v>
      </c>
      <c r="H259" t="s">
        <v>744</v>
      </c>
      <c r="I259" t="s">
        <v>433</v>
      </c>
      <c r="J259" t="s">
        <v>31</v>
      </c>
      <c r="K259" t="s">
        <v>35</v>
      </c>
      <c r="L259" t="s">
        <v>11</v>
      </c>
      <c r="M259" t="s">
        <v>18</v>
      </c>
      <c r="N259">
        <v>0</v>
      </c>
      <c r="O259" s="18" t="s">
        <v>20</v>
      </c>
      <c r="P259" s="18" t="s">
        <v>1042</v>
      </c>
      <c r="S259" t="s">
        <v>47</v>
      </c>
      <c r="T259" t="s">
        <v>49</v>
      </c>
      <c r="U259">
        <v>4744</v>
      </c>
      <c r="V259">
        <v>4</v>
      </c>
      <c r="W259">
        <v>45</v>
      </c>
      <c r="X259">
        <v>45</v>
      </c>
      <c r="AA259">
        <v>9.0681003584229405</v>
      </c>
      <c r="AB259">
        <v>13.753020248708401</v>
      </c>
      <c r="AC259">
        <v>13.010752688171999</v>
      </c>
      <c r="AD259">
        <v>11.108208662418299</v>
      </c>
      <c r="AE259" t="s">
        <v>71</v>
      </c>
      <c r="AF259" t="s">
        <v>61</v>
      </c>
      <c r="AG259" t="str">
        <f t="shared" si="8"/>
        <v>mean</v>
      </c>
      <c r="AH259" t="s">
        <v>213</v>
      </c>
      <c r="AS259" t="s">
        <v>849</v>
      </c>
      <c r="AT259" t="s">
        <v>849</v>
      </c>
      <c r="AV259" t="s">
        <v>1803</v>
      </c>
      <c r="AW259" t="s">
        <v>1804</v>
      </c>
      <c r="AX259" t="s">
        <v>1805</v>
      </c>
      <c r="AY259" t="s">
        <v>1806</v>
      </c>
      <c r="AZ259" t="s">
        <v>76</v>
      </c>
    </row>
    <row r="260" spans="1:52" x14ac:dyDescent="0.2">
      <c r="A260" t="s">
        <v>417</v>
      </c>
      <c r="B260" t="s">
        <v>418</v>
      </c>
      <c r="C260" t="s">
        <v>419</v>
      </c>
      <c r="D260">
        <v>2012</v>
      </c>
      <c r="E260" t="s">
        <v>730</v>
      </c>
      <c r="F260" t="s">
        <v>731</v>
      </c>
      <c r="G260" t="s">
        <v>998</v>
      </c>
      <c r="H260" t="s">
        <v>745</v>
      </c>
      <c r="I260" t="s">
        <v>433</v>
      </c>
      <c r="J260" t="s">
        <v>31</v>
      </c>
      <c r="K260" t="s">
        <v>35</v>
      </c>
      <c r="L260" t="s">
        <v>11</v>
      </c>
      <c r="M260" t="s">
        <v>18</v>
      </c>
      <c r="N260">
        <v>0</v>
      </c>
      <c r="O260" s="18" t="s">
        <v>20</v>
      </c>
      <c r="P260" s="18" t="s">
        <v>1042</v>
      </c>
      <c r="S260" t="s">
        <v>47</v>
      </c>
      <c r="T260" t="s">
        <v>49</v>
      </c>
      <c r="U260">
        <v>4744</v>
      </c>
      <c r="V260">
        <v>4</v>
      </c>
      <c r="W260">
        <v>45</v>
      </c>
      <c r="X260">
        <v>45</v>
      </c>
      <c r="AA260">
        <v>9.0681003584229405</v>
      </c>
      <c r="AB260">
        <v>13.753020248708401</v>
      </c>
      <c r="AC260">
        <v>11.0394265232975</v>
      </c>
      <c r="AD260">
        <v>12.1661332969343</v>
      </c>
      <c r="AE260" t="s">
        <v>71</v>
      </c>
      <c r="AF260" t="s">
        <v>61</v>
      </c>
      <c r="AG260" t="str">
        <f t="shared" si="8"/>
        <v>mean</v>
      </c>
      <c r="AH260" t="s">
        <v>213</v>
      </c>
      <c r="AS260" t="s">
        <v>849</v>
      </c>
      <c r="AT260" t="s">
        <v>849</v>
      </c>
      <c r="AV260" t="s">
        <v>1803</v>
      </c>
      <c r="AW260" t="s">
        <v>1804</v>
      </c>
      <c r="AX260" t="s">
        <v>1805</v>
      </c>
      <c r="AY260" t="s">
        <v>1806</v>
      </c>
      <c r="AZ260" t="s">
        <v>76</v>
      </c>
    </row>
    <row r="261" spans="1:52" x14ac:dyDescent="0.2">
      <c r="A261" t="s">
        <v>417</v>
      </c>
      <c r="B261" t="s">
        <v>418</v>
      </c>
      <c r="C261" t="s">
        <v>419</v>
      </c>
      <c r="D261">
        <v>2012</v>
      </c>
      <c r="E261" t="s">
        <v>730</v>
      </c>
      <c r="F261" t="s">
        <v>731</v>
      </c>
      <c r="G261" t="s">
        <v>998</v>
      </c>
      <c r="H261" t="s">
        <v>746</v>
      </c>
      <c r="I261" t="s">
        <v>433</v>
      </c>
      <c r="J261" t="s">
        <v>31</v>
      </c>
      <c r="K261" t="s">
        <v>35</v>
      </c>
      <c r="L261" t="s">
        <v>11</v>
      </c>
      <c r="M261" t="s">
        <v>18</v>
      </c>
      <c r="N261">
        <v>0</v>
      </c>
      <c r="O261" s="18" t="s">
        <v>20</v>
      </c>
      <c r="P261" s="18" t="s">
        <v>1042</v>
      </c>
      <c r="S261" t="s">
        <v>47</v>
      </c>
      <c r="T261" t="s">
        <v>49</v>
      </c>
      <c r="U261">
        <v>4744</v>
      </c>
      <c r="V261">
        <v>4</v>
      </c>
      <c r="W261">
        <v>45</v>
      </c>
      <c r="X261">
        <v>45</v>
      </c>
      <c r="AA261">
        <v>9.0681003584229405</v>
      </c>
      <c r="AB261">
        <v>13.753020248708401</v>
      </c>
      <c r="AC261">
        <v>8.4372759856630903</v>
      </c>
      <c r="AD261">
        <v>16.397831834998499</v>
      </c>
      <c r="AE261" t="s">
        <v>71</v>
      </c>
      <c r="AF261" t="s">
        <v>61</v>
      </c>
      <c r="AG261" t="str">
        <f t="shared" si="8"/>
        <v>mean</v>
      </c>
      <c r="AH261" t="s">
        <v>213</v>
      </c>
      <c r="AS261" t="s">
        <v>849</v>
      </c>
      <c r="AT261" t="s">
        <v>849</v>
      </c>
      <c r="AV261" t="s">
        <v>1803</v>
      </c>
      <c r="AW261" t="s">
        <v>1804</v>
      </c>
      <c r="AX261" t="s">
        <v>1805</v>
      </c>
      <c r="AY261" t="s">
        <v>1806</v>
      </c>
      <c r="AZ261" t="s">
        <v>76</v>
      </c>
    </row>
    <row r="262" spans="1:52" x14ac:dyDescent="0.2">
      <c r="A262" t="s">
        <v>417</v>
      </c>
      <c r="B262" t="s">
        <v>418</v>
      </c>
      <c r="C262" t="s">
        <v>419</v>
      </c>
      <c r="D262">
        <v>2012</v>
      </c>
      <c r="E262" t="s">
        <v>730</v>
      </c>
      <c r="F262" t="s">
        <v>731</v>
      </c>
      <c r="G262" t="s">
        <v>998</v>
      </c>
      <c r="H262" t="s">
        <v>747</v>
      </c>
      <c r="I262" t="s">
        <v>433</v>
      </c>
      <c r="J262" t="s">
        <v>31</v>
      </c>
      <c r="K262" t="s">
        <v>35</v>
      </c>
      <c r="L262" t="s">
        <v>11</v>
      </c>
      <c r="M262" t="s">
        <v>18</v>
      </c>
      <c r="N262">
        <v>0</v>
      </c>
      <c r="O262" s="18" t="s">
        <v>20</v>
      </c>
      <c r="P262" s="18" t="s">
        <v>1042</v>
      </c>
      <c r="S262" t="s">
        <v>47</v>
      </c>
      <c r="T262" t="s">
        <v>49</v>
      </c>
      <c r="U262">
        <v>4744</v>
      </c>
      <c r="V262">
        <v>4</v>
      </c>
      <c r="W262">
        <v>25</v>
      </c>
      <c r="X262">
        <v>25</v>
      </c>
      <c r="AA262">
        <v>10.566308243727599</v>
      </c>
      <c r="AB262">
        <v>11.0394265232975</v>
      </c>
      <c r="AC262">
        <v>7.4121863799283201</v>
      </c>
      <c r="AD262">
        <v>11.8279569892473</v>
      </c>
      <c r="AE262" t="s">
        <v>71</v>
      </c>
      <c r="AF262" t="s">
        <v>61</v>
      </c>
      <c r="AG262" t="str">
        <f t="shared" si="8"/>
        <v>mean</v>
      </c>
      <c r="AH262" t="s">
        <v>213</v>
      </c>
      <c r="AS262" t="s">
        <v>849</v>
      </c>
      <c r="AT262" t="s">
        <v>849</v>
      </c>
      <c r="AV262" t="s">
        <v>1803</v>
      </c>
      <c r="AW262" t="s">
        <v>1804</v>
      </c>
      <c r="AX262" t="s">
        <v>1805</v>
      </c>
      <c r="AY262" t="s">
        <v>1806</v>
      </c>
      <c r="AZ262" t="s">
        <v>76</v>
      </c>
    </row>
    <row r="263" spans="1:52" x14ac:dyDescent="0.2">
      <c r="A263" t="s">
        <v>417</v>
      </c>
      <c r="B263" t="s">
        <v>418</v>
      </c>
      <c r="C263" t="s">
        <v>419</v>
      </c>
      <c r="D263">
        <v>2012</v>
      </c>
      <c r="E263" t="s">
        <v>730</v>
      </c>
      <c r="F263" t="s">
        <v>731</v>
      </c>
      <c r="G263" t="s">
        <v>999</v>
      </c>
      <c r="H263" t="s">
        <v>748</v>
      </c>
      <c r="I263" t="s">
        <v>433</v>
      </c>
      <c r="J263" t="s">
        <v>31</v>
      </c>
      <c r="K263" t="s">
        <v>35</v>
      </c>
      <c r="L263" t="s">
        <v>11</v>
      </c>
      <c r="M263" t="s">
        <v>18</v>
      </c>
      <c r="N263">
        <v>0</v>
      </c>
      <c r="O263" s="18" t="s">
        <v>20</v>
      </c>
      <c r="P263" s="18" t="s">
        <v>1042</v>
      </c>
      <c r="S263" t="s">
        <v>47</v>
      </c>
      <c r="T263" t="s">
        <v>49</v>
      </c>
      <c r="U263">
        <v>4744</v>
      </c>
      <c r="V263">
        <v>4</v>
      </c>
      <c r="W263">
        <v>25</v>
      </c>
      <c r="X263">
        <v>25</v>
      </c>
      <c r="AA263">
        <v>10.566308243727599</v>
      </c>
      <c r="AB263">
        <v>11.0394265232975</v>
      </c>
      <c r="AC263">
        <v>2.2078853046594999</v>
      </c>
      <c r="AD263">
        <v>10.250896057347701</v>
      </c>
      <c r="AE263" t="s">
        <v>71</v>
      </c>
      <c r="AF263" t="s">
        <v>61</v>
      </c>
      <c r="AG263" t="str">
        <f t="shared" si="8"/>
        <v>mean</v>
      </c>
      <c r="AH263" t="s">
        <v>213</v>
      </c>
      <c r="AS263" t="s">
        <v>849</v>
      </c>
      <c r="AT263" t="s">
        <v>849</v>
      </c>
      <c r="AV263" t="s">
        <v>1803</v>
      </c>
      <c r="AW263" t="s">
        <v>1804</v>
      </c>
      <c r="AX263" t="s">
        <v>1805</v>
      </c>
      <c r="AY263" t="s">
        <v>1806</v>
      </c>
      <c r="AZ263" t="s">
        <v>76</v>
      </c>
    </row>
    <row r="264" spans="1:52" x14ac:dyDescent="0.2">
      <c r="A264" t="s">
        <v>417</v>
      </c>
      <c r="B264" t="s">
        <v>418</v>
      </c>
      <c r="C264" t="s">
        <v>419</v>
      </c>
      <c r="D264">
        <v>2012</v>
      </c>
      <c r="E264" t="s">
        <v>730</v>
      </c>
      <c r="F264" t="s">
        <v>731</v>
      </c>
      <c r="G264" t="s">
        <v>999</v>
      </c>
      <c r="H264" t="s">
        <v>749</v>
      </c>
      <c r="I264" t="s">
        <v>433</v>
      </c>
      <c r="J264" t="s">
        <v>31</v>
      </c>
      <c r="K264" t="s">
        <v>35</v>
      </c>
      <c r="L264" t="s">
        <v>11</v>
      </c>
      <c r="M264" t="s">
        <v>18</v>
      </c>
      <c r="N264">
        <v>0</v>
      </c>
      <c r="O264" s="18" t="s">
        <v>20</v>
      </c>
      <c r="P264" s="18" t="s">
        <v>1042</v>
      </c>
      <c r="S264" t="s">
        <v>47</v>
      </c>
      <c r="T264" t="s">
        <v>49</v>
      </c>
      <c r="U264">
        <v>4744</v>
      </c>
      <c r="V264">
        <v>4</v>
      </c>
      <c r="W264">
        <v>25</v>
      </c>
      <c r="X264">
        <v>25</v>
      </c>
      <c r="AA264">
        <v>10.566308243727599</v>
      </c>
      <c r="AB264">
        <v>11.0394265232975</v>
      </c>
      <c r="AC264">
        <v>7.7275985663082496</v>
      </c>
      <c r="AD264">
        <v>9.8566308243727505</v>
      </c>
      <c r="AE264" t="s">
        <v>71</v>
      </c>
      <c r="AF264" t="s">
        <v>61</v>
      </c>
      <c r="AG264" t="str">
        <f t="shared" si="8"/>
        <v>mean</v>
      </c>
      <c r="AH264" t="s">
        <v>213</v>
      </c>
      <c r="AS264" t="s">
        <v>849</v>
      </c>
      <c r="AT264" t="s">
        <v>849</v>
      </c>
      <c r="AV264" t="s">
        <v>1803</v>
      </c>
      <c r="AW264" t="s">
        <v>1804</v>
      </c>
      <c r="AX264" t="s">
        <v>1805</v>
      </c>
      <c r="AY264" t="s">
        <v>1806</v>
      </c>
      <c r="AZ264" t="s">
        <v>76</v>
      </c>
    </row>
    <row r="265" spans="1:52" x14ac:dyDescent="0.2">
      <c r="A265" t="s">
        <v>417</v>
      </c>
      <c r="B265" t="s">
        <v>418</v>
      </c>
      <c r="C265" t="s">
        <v>419</v>
      </c>
      <c r="D265">
        <v>2012</v>
      </c>
      <c r="E265" t="s">
        <v>730</v>
      </c>
      <c r="F265" t="s">
        <v>731</v>
      </c>
      <c r="G265" t="s">
        <v>999</v>
      </c>
      <c r="H265" t="s">
        <v>750</v>
      </c>
      <c r="I265" t="s">
        <v>433</v>
      </c>
      <c r="J265" t="s">
        <v>31</v>
      </c>
      <c r="K265" t="s">
        <v>35</v>
      </c>
      <c r="L265" t="s">
        <v>11</v>
      </c>
      <c r="M265" t="s">
        <v>18</v>
      </c>
      <c r="N265">
        <v>0</v>
      </c>
      <c r="O265" s="18" t="s">
        <v>20</v>
      </c>
      <c r="P265" s="18" t="s">
        <v>1042</v>
      </c>
      <c r="S265" t="s">
        <v>47</v>
      </c>
      <c r="T265" t="s">
        <v>49</v>
      </c>
      <c r="U265">
        <v>4744</v>
      </c>
      <c r="V265">
        <v>4</v>
      </c>
      <c r="W265">
        <v>25</v>
      </c>
      <c r="X265">
        <v>25</v>
      </c>
      <c r="AA265">
        <v>10.566308243727599</v>
      </c>
      <c r="AB265">
        <v>11.0394265232975</v>
      </c>
      <c r="AC265">
        <v>6.15053763440861</v>
      </c>
      <c r="AD265">
        <v>9.4623655913978304</v>
      </c>
      <c r="AE265" t="s">
        <v>71</v>
      </c>
      <c r="AF265" t="s">
        <v>61</v>
      </c>
      <c r="AG265" t="str">
        <f t="shared" si="8"/>
        <v>mean</v>
      </c>
      <c r="AH265" t="s">
        <v>213</v>
      </c>
      <c r="AS265" t="s">
        <v>849</v>
      </c>
      <c r="AT265" t="s">
        <v>849</v>
      </c>
      <c r="AV265" t="s">
        <v>1803</v>
      </c>
      <c r="AW265" t="s">
        <v>1804</v>
      </c>
      <c r="AX265" t="s">
        <v>1805</v>
      </c>
      <c r="AY265" t="s">
        <v>1806</v>
      </c>
      <c r="AZ265" t="s">
        <v>76</v>
      </c>
    </row>
    <row r="266" spans="1:52" x14ac:dyDescent="0.2">
      <c r="A266" t="s">
        <v>417</v>
      </c>
      <c r="B266" t="s">
        <v>418</v>
      </c>
      <c r="C266" t="s">
        <v>419</v>
      </c>
      <c r="D266">
        <v>2012</v>
      </c>
      <c r="E266" t="s">
        <v>730</v>
      </c>
      <c r="F266" t="s">
        <v>731</v>
      </c>
      <c r="G266" t="s">
        <v>999</v>
      </c>
      <c r="H266" t="s">
        <v>751</v>
      </c>
      <c r="I266" t="s">
        <v>433</v>
      </c>
      <c r="J266" t="s">
        <v>31</v>
      </c>
      <c r="K266" t="s">
        <v>35</v>
      </c>
      <c r="L266" t="s">
        <v>11</v>
      </c>
      <c r="M266" t="s">
        <v>18</v>
      </c>
      <c r="N266">
        <v>0</v>
      </c>
      <c r="O266" s="18" t="s">
        <v>20</v>
      </c>
      <c r="P266" s="18" t="s">
        <v>1042</v>
      </c>
      <c r="S266" t="s">
        <v>47</v>
      </c>
      <c r="T266" t="s">
        <v>49</v>
      </c>
      <c r="U266">
        <v>4744</v>
      </c>
      <c r="V266">
        <v>4</v>
      </c>
      <c r="W266">
        <v>25</v>
      </c>
      <c r="X266">
        <v>25</v>
      </c>
      <c r="AA266">
        <v>10.566308243727599</v>
      </c>
      <c r="AB266">
        <v>11.0394265232975</v>
      </c>
      <c r="AC266">
        <v>3.78494623655914</v>
      </c>
      <c r="AD266">
        <v>8.2795698924731091</v>
      </c>
      <c r="AE266" t="s">
        <v>71</v>
      </c>
      <c r="AF266" t="s">
        <v>61</v>
      </c>
      <c r="AG266" t="str">
        <f t="shared" si="8"/>
        <v>mean</v>
      </c>
      <c r="AH266" t="s">
        <v>213</v>
      </c>
      <c r="AS266" t="s">
        <v>849</v>
      </c>
      <c r="AT266" t="s">
        <v>849</v>
      </c>
      <c r="AV266" t="s">
        <v>1803</v>
      </c>
      <c r="AW266" t="s">
        <v>1804</v>
      </c>
      <c r="AX266" t="s">
        <v>1805</v>
      </c>
      <c r="AY266" t="s">
        <v>1806</v>
      </c>
      <c r="AZ266" t="s">
        <v>76</v>
      </c>
    </row>
    <row r="267" spans="1:52" x14ac:dyDescent="0.2">
      <c r="A267" t="s">
        <v>425</v>
      </c>
      <c r="B267" t="s">
        <v>426</v>
      </c>
      <c r="C267" t="s">
        <v>427</v>
      </c>
      <c r="D267">
        <v>2012</v>
      </c>
      <c r="E267" t="s">
        <v>428</v>
      </c>
      <c r="F267" t="s">
        <v>2301</v>
      </c>
      <c r="G267" t="s">
        <v>1000</v>
      </c>
      <c r="H267" t="s">
        <v>753</v>
      </c>
      <c r="I267" t="s">
        <v>1765</v>
      </c>
      <c r="J267" t="s">
        <v>82</v>
      </c>
      <c r="K267" t="s">
        <v>34</v>
      </c>
      <c r="O267" s="18" t="s">
        <v>20</v>
      </c>
      <c r="P267" s="18" t="s">
        <v>1817</v>
      </c>
      <c r="Q267" t="s">
        <v>37</v>
      </c>
      <c r="R267" t="s">
        <v>39</v>
      </c>
      <c r="S267" t="s">
        <v>48</v>
      </c>
      <c r="T267" t="s">
        <v>51</v>
      </c>
      <c r="U267">
        <v>6</v>
      </c>
      <c r="AG267" t="s">
        <v>80</v>
      </c>
      <c r="AH267" t="s">
        <v>214</v>
      </c>
      <c r="AN267">
        <v>129</v>
      </c>
      <c r="AP267">
        <v>7.2999999999999995E-2</v>
      </c>
      <c r="AQ267">
        <v>1</v>
      </c>
      <c r="AS267" t="s">
        <v>849</v>
      </c>
      <c r="AT267" t="s">
        <v>849</v>
      </c>
      <c r="AV267" t="s">
        <v>1803</v>
      </c>
      <c r="AW267" t="s">
        <v>1815</v>
      </c>
      <c r="AX267" t="s">
        <v>1817</v>
      </c>
      <c r="AY267" t="s">
        <v>1806</v>
      </c>
      <c r="AZ267" t="s">
        <v>76</v>
      </c>
    </row>
    <row r="268" spans="1:52" x14ac:dyDescent="0.2">
      <c r="A268" t="s">
        <v>755</v>
      </c>
      <c r="B268" t="s">
        <v>756</v>
      </c>
      <c r="C268" t="s">
        <v>588</v>
      </c>
      <c r="D268">
        <v>2017</v>
      </c>
      <c r="E268" t="s">
        <v>757</v>
      </c>
      <c r="F268" t="s">
        <v>758</v>
      </c>
      <c r="G268" t="s">
        <v>1001</v>
      </c>
      <c r="H268" t="s">
        <v>754</v>
      </c>
      <c r="I268" t="s">
        <v>1779</v>
      </c>
      <c r="J268" t="s">
        <v>30</v>
      </c>
      <c r="K268" t="s">
        <v>34</v>
      </c>
      <c r="O268" s="18" t="s">
        <v>20</v>
      </c>
      <c r="P268" s="18" t="s">
        <v>1817</v>
      </c>
      <c r="Q268" t="s">
        <v>37</v>
      </c>
      <c r="R268" t="s">
        <v>42</v>
      </c>
      <c r="S268" t="s">
        <v>47</v>
      </c>
      <c r="T268" t="s">
        <v>632</v>
      </c>
      <c r="AA268" s="10"/>
      <c r="AB268" s="10"/>
      <c r="AC268" s="10"/>
      <c r="AD268" s="10"/>
      <c r="AG268" t="s">
        <v>4</v>
      </c>
      <c r="AH268" t="s">
        <v>214</v>
      </c>
      <c r="AN268">
        <v>122</v>
      </c>
      <c r="AO268">
        <v>0.12590000000000001</v>
      </c>
      <c r="AS268" t="s">
        <v>849</v>
      </c>
      <c r="AT268" t="s">
        <v>849</v>
      </c>
      <c r="AV268" t="s">
        <v>1810</v>
      </c>
      <c r="AW268" t="s">
        <v>1815</v>
      </c>
      <c r="AX268" t="s">
        <v>1817</v>
      </c>
      <c r="AY268" t="s">
        <v>1806</v>
      </c>
      <c r="AZ268" t="s">
        <v>76</v>
      </c>
    </row>
    <row r="269" spans="1:52" x14ac:dyDescent="0.2">
      <c r="A269" t="s">
        <v>755</v>
      </c>
      <c r="B269" t="s">
        <v>756</v>
      </c>
      <c r="C269" t="s">
        <v>588</v>
      </c>
      <c r="D269">
        <v>2017</v>
      </c>
      <c r="E269" t="s">
        <v>757</v>
      </c>
      <c r="F269" t="s">
        <v>758</v>
      </c>
      <c r="G269" t="s">
        <v>1001</v>
      </c>
      <c r="H269" t="s">
        <v>759</v>
      </c>
      <c r="I269" t="s">
        <v>1779</v>
      </c>
      <c r="J269" t="s">
        <v>30</v>
      </c>
      <c r="K269" t="s">
        <v>34</v>
      </c>
      <c r="O269" s="18" t="s">
        <v>20</v>
      </c>
      <c r="P269" s="18" t="s">
        <v>1817</v>
      </c>
      <c r="Q269" t="s">
        <v>37</v>
      </c>
      <c r="R269" t="s">
        <v>39</v>
      </c>
      <c r="S269" t="s">
        <v>47</v>
      </c>
      <c r="T269" t="s">
        <v>632</v>
      </c>
      <c r="AA269" s="10"/>
      <c r="AB269" s="10"/>
      <c r="AC269" s="10"/>
      <c r="AD269" s="10"/>
      <c r="AG269" t="s">
        <v>4</v>
      </c>
      <c r="AH269" t="s">
        <v>214</v>
      </c>
      <c r="AN269">
        <v>118</v>
      </c>
      <c r="AO269">
        <v>1.41E-2</v>
      </c>
      <c r="AS269" t="s">
        <v>849</v>
      </c>
      <c r="AT269" t="s">
        <v>849</v>
      </c>
      <c r="AV269" t="s">
        <v>1810</v>
      </c>
      <c r="AW269" t="s">
        <v>1815</v>
      </c>
      <c r="AX269" t="s">
        <v>1817</v>
      </c>
      <c r="AY269" t="s">
        <v>1806</v>
      </c>
      <c r="AZ269" t="s">
        <v>76</v>
      </c>
    </row>
    <row r="270" spans="1:52" x14ac:dyDescent="0.2">
      <c r="A270" t="s">
        <v>755</v>
      </c>
      <c r="B270" t="s">
        <v>756</v>
      </c>
      <c r="C270" t="s">
        <v>588</v>
      </c>
      <c r="D270">
        <v>2017</v>
      </c>
      <c r="E270" t="s">
        <v>757</v>
      </c>
      <c r="F270" t="s">
        <v>758</v>
      </c>
      <c r="G270" t="s">
        <v>1001</v>
      </c>
      <c r="H270" t="s">
        <v>760</v>
      </c>
      <c r="I270" t="s">
        <v>1779</v>
      </c>
      <c r="J270" t="s">
        <v>30</v>
      </c>
      <c r="K270" t="s">
        <v>34</v>
      </c>
      <c r="O270" s="18" t="s">
        <v>20</v>
      </c>
      <c r="P270" s="18" t="s">
        <v>1817</v>
      </c>
      <c r="Q270" t="s">
        <v>37</v>
      </c>
      <c r="R270" t="s">
        <v>39</v>
      </c>
      <c r="S270" t="s">
        <v>47</v>
      </c>
      <c r="T270" t="s">
        <v>632</v>
      </c>
      <c r="AA270" s="10"/>
      <c r="AB270" s="10"/>
      <c r="AC270" s="10"/>
      <c r="AD270" s="10"/>
      <c r="AG270" t="s">
        <v>4</v>
      </c>
      <c r="AH270" t="s">
        <v>214</v>
      </c>
      <c r="AN270">
        <v>122</v>
      </c>
      <c r="AO270">
        <v>1.34E-2</v>
      </c>
      <c r="AS270" t="s">
        <v>849</v>
      </c>
      <c r="AT270" t="s">
        <v>849</v>
      </c>
      <c r="AV270" t="s">
        <v>1810</v>
      </c>
      <c r="AW270" t="s">
        <v>1815</v>
      </c>
      <c r="AX270" t="s">
        <v>1817</v>
      </c>
      <c r="AY270" t="s">
        <v>1806</v>
      </c>
      <c r="AZ270" t="s">
        <v>76</v>
      </c>
    </row>
    <row r="271" spans="1:52" x14ac:dyDescent="0.2">
      <c r="A271" t="s">
        <v>755</v>
      </c>
      <c r="B271" t="s">
        <v>756</v>
      </c>
      <c r="C271" t="s">
        <v>588</v>
      </c>
      <c r="D271">
        <v>2017</v>
      </c>
      <c r="E271" t="s">
        <v>757</v>
      </c>
      <c r="F271" t="s">
        <v>758</v>
      </c>
      <c r="G271" t="s">
        <v>1002</v>
      </c>
      <c r="H271" t="s">
        <v>761</v>
      </c>
      <c r="I271" t="s">
        <v>1779</v>
      </c>
      <c r="J271" t="s">
        <v>30</v>
      </c>
      <c r="K271" t="s">
        <v>34</v>
      </c>
      <c r="O271" s="18" t="s">
        <v>20</v>
      </c>
      <c r="P271" s="18" t="s">
        <v>1817</v>
      </c>
      <c r="Q271" t="s">
        <v>37</v>
      </c>
      <c r="R271" t="s">
        <v>42</v>
      </c>
      <c r="S271" t="s">
        <v>47</v>
      </c>
      <c r="T271" t="s">
        <v>632</v>
      </c>
      <c r="AA271" s="10"/>
      <c r="AB271" s="10"/>
      <c r="AC271" s="10"/>
      <c r="AD271" s="10"/>
      <c r="AG271" t="s">
        <v>4</v>
      </c>
      <c r="AH271" t="s">
        <v>214</v>
      </c>
      <c r="AN271">
        <v>104</v>
      </c>
      <c r="AO271">
        <v>2.6499999999999999E-2</v>
      </c>
      <c r="AS271" t="s">
        <v>849</v>
      </c>
      <c r="AT271" t="s">
        <v>849</v>
      </c>
      <c r="AV271" t="s">
        <v>1810</v>
      </c>
      <c r="AW271" t="s">
        <v>1815</v>
      </c>
      <c r="AX271" t="s">
        <v>1817</v>
      </c>
      <c r="AY271" t="s">
        <v>1806</v>
      </c>
      <c r="AZ271" t="s">
        <v>76</v>
      </c>
    </row>
    <row r="272" spans="1:52" x14ac:dyDescent="0.2">
      <c r="A272" t="s">
        <v>755</v>
      </c>
      <c r="B272" t="s">
        <v>756</v>
      </c>
      <c r="C272" t="s">
        <v>588</v>
      </c>
      <c r="D272">
        <v>2017</v>
      </c>
      <c r="E272" t="s">
        <v>757</v>
      </c>
      <c r="F272" t="s">
        <v>758</v>
      </c>
      <c r="G272" t="s">
        <v>1002</v>
      </c>
      <c r="H272" t="s">
        <v>762</v>
      </c>
      <c r="I272" t="s">
        <v>1779</v>
      </c>
      <c r="J272" t="s">
        <v>30</v>
      </c>
      <c r="K272" t="s">
        <v>34</v>
      </c>
      <c r="O272" s="18" t="s">
        <v>20</v>
      </c>
      <c r="P272" s="18" t="s">
        <v>1817</v>
      </c>
      <c r="Q272" t="s">
        <v>37</v>
      </c>
      <c r="R272" t="s">
        <v>39</v>
      </c>
      <c r="S272" t="s">
        <v>47</v>
      </c>
      <c r="T272" t="s">
        <v>632</v>
      </c>
      <c r="AA272" s="10"/>
      <c r="AB272" s="10"/>
      <c r="AC272" s="10"/>
      <c r="AD272" s="10"/>
      <c r="AG272" t="s">
        <v>4</v>
      </c>
      <c r="AH272" t="s">
        <v>214</v>
      </c>
      <c r="AN272">
        <v>99</v>
      </c>
      <c r="AO272">
        <v>4.4999999999999997E-3</v>
      </c>
      <c r="AS272" t="s">
        <v>849</v>
      </c>
      <c r="AT272" t="s">
        <v>849</v>
      </c>
      <c r="AV272" t="s">
        <v>1810</v>
      </c>
      <c r="AW272" t="s">
        <v>1815</v>
      </c>
      <c r="AX272" t="s">
        <v>1817</v>
      </c>
      <c r="AY272" t="s">
        <v>1806</v>
      </c>
      <c r="AZ272" t="s">
        <v>76</v>
      </c>
    </row>
    <row r="273" spans="1:52" x14ac:dyDescent="0.2">
      <c r="A273" t="s">
        <v>755</v>
      </c>
      <c r="B273" t="s">
        <v>756</v>
      </c>
      <c r="C273" t="s">
        <v>588</v>
      </c>
      <c r="D273">
        <v>2017</v>
      </c>
      <c r="E273" t="s">
        <v>757</v>
      </c>
      <c r="F273" t="s">
        <v>758</v>
      </c>
      <c r="G273" t="s">
        <v>1002</v>
      </c>
      <c r="H273" t="s">
        <v>763</v>
      </c>
      <c r="I273" t="s">
        <v>1779</v>
      </c>
      <c r="J273" t="s">
        <v>30</v>
      </c>
      <c r="K273" t="s">
        <v>34</v>
      </c>
      <c r="O273" s="18" t="s">
        <v>20</v>
      </c>
      <c r="P273" s="18" t="s">
        <v>1817</v>
      </c>
      <c r="Q273" t="s">
        <v>37</v>
      </c>
      <c r="R273" t="s">
        <v>39</v>
      </c>
      <c r="S273" t="s">
        <v>47</v>
      </c>
      <c r="T273" t="s">
        <v>632</v>
      </c>
      <c r="AA273" s="10"/>
      <c r="AB273" s="10"/>
      <c r="AC273" s="10"/>
      <c r="AD273" s="10"/>
      <c r="AG273" t="s">
        <v>4</v>
      </c>
      <c r="AH273" t="s">
        <v>214</v>
      </c>
      <c r="AN273">
        <v>104</v>
      </c>
      <c r="AO273">
        <v>-6.13E-2</v>
      </c>
      <c r="AS273" t="s">
        <v>849</v>
      </c>
      <c r="AT273" t="s">
        <v>849</v>
      </c>
      <c r="AV273" t="s">
        <v>1810</v>
      </c>
      <c r="AW273" t="s">
        <v>1815</v>
      </c>
      <c r="AX273" t="s">
        <v>1817</v>
      </c>
      <c r="AY273" t="s">
        <v>1806</v>
      </c>
      <c r="AZ273" t="s">
        <v>76</v>
      </c>
    </row>
    <row r="274" spans="1:52" x14ac:dyDescent="0.2">
      <c r="A274" t="s">
        <v>755</v>
      </c>
      <c r="B274" t="s">
        <v>756</v>
      </c>
      <c r="C274" t="s">
        <v>588</v>
      </c>
      <c r="D274">
        <v>2017</v>
      </c>
      <c r="E274" t="s">
        <v>757</v>
      </c>
      <c r="F274" t="s">
        <v>758</v>
      </c>
      <c r="G274" t="s">
        <v>1003</v>
      </c>
      <c r="H274" t="s">
        <v>764</v>
      </c>
      <c r="I274" t="s">
        <v>1779</v>
      </c>
      <c r="J274" t="s">
        <v>30</v>
      </c>
      <c r="K274" t="s">
        <v>34</v>
      </c>
      <c r="O274" s="18" t="s">
        <v>20</v>
      </c>
      <c r="P274" s="18" t="s">
        <v>1817</v>
      </c>
      <c r="Q274" t="s">
        <v>38</v>
      </c>
      <c r="R274" t="s">
        <v>42</v>
      </c>
      <c r="S274" t="s">
        <v>47</v>
      </c>
      <c r="T274" t="s">
        <v>632</v>
      </c>
      <c r="AC274" s="10"/>
      <c r="AD274" s="10"/>
      <c r="AG274" t="s">
        <v>4</v>
      </c>
      <c r="AH274" t="s">
        <v>214</v>
      </c>
      <c r="AN274">
        <v>31</v>
      </c>
      <c r="AO274">
        <v>-0.35980000000000001</v>
      </c>
      <c r="AS274" t="s">
        <v>849</v>
      </c>
      <c r="AT274" t="s">
        <v>849</v>
      </c>
      <c r="AV274" t="s">
        <v>1810</v>
      </c>
      <c r="AW274" t="s">
        <v>1815</v>
      </c>
      <c r="AX274" t="s">
        <v>1817</v>
      </c>
      <c r="AY274" t="s">
        <v>1806</v>
      </c>
      <c r="AZ274" t="s">
        <v>76</v>
      </c>
    </row>
    <row r="275" spans="1:52" x14ac:dyDescent="0.2">
      <c r="A275" t="s">
        <v>755</v>
      </c>
      <c r="B275" t="s">
        <v>756</v>
      </c>
      <c r="C275" t="s">
        <v>588</v>
      </c>
      <c r="D275">
        <v>2017</v>
      </c>
      <c r="E275" t="s">
        <v>757</v>
      </c>
      <c r="F275" t="s">
        <v>758</v>
      </c>
      <c r="G275" t="s">
        <v>1003</v>
      </c>
      <c r="H275" t="s">
        <v>765</v>
      </c>
      <c r="I275" t="s">
        <v>1779</v>
      </c>
      <c r="J275" t="s">
        <v>30</v>
      </c>
      <c r="K275" t="s">
        <v>34</v>
      </c>
      <c r="O275" s="18" t="s">
        <v>20</v>
      </c>
      <c r="P275" s="18" t="s">
        <v>1817</v>
      </c>
      <c r="Q275" t="s">
        <v>38</v>
      </c>
      <c r="R275" t="s">
        <v>39</v>
      </c>
      <c r="S275" t="s">
        <v>47</v>
      </c>
      <c r="T275" t="s">
        <v>632</v>
      </c>
      <c r="AA275" s="10"/>
      <c r="AB275" s="10"/>
      <c r="AC275" s="10"/>
      <c r="AD275" s="10"/>
      <c r="AG275" t="s">
        <v>4</v>
      </c>
      <c r="AH275" t="s">
        <v>214</v>
      </c>
      <c r="AN275">
        <v>30</v>
      </c>
      <c r="AO275">
        <v>5.9799999999999999E-2</v>
      </c>
      <c r="AS275" t="s">
        <v>849</v>
      </c>
      <c r="AT275" t="s">
        <v>849</v>
      </c>
      <c r="AV275" t="s">
        <v>1810</v>
      </c>
      <c r="AW275" t="s">
        <v>1815</v>
      </c>
      <c r="AX275" t="s">
        <v>1817</v>
      </c>
      <c r="AY275" t="s">
        <v>1806</v>
      </c>
      <c r="AZ275" t="s">
        <v>76</v>
      </c>
    </row>
    <row r="276" spans="1:52" x14ac:dyDescent="0.2">
      <c r="A276" t="s">
        <v>755</v>
      </c>
      <c r="B276" t="s">
        <v>756</v>
      </c>
      <c r="C276" t="s">
        <v>588</v>
      </c>
      <c r="D276">
        <v>2017</v>
      </c>
      <c r="E276" t="s">
        <v>757</v>
      </c>
      <c r="F276" t="s">
        <v>758</v>
      </c>
      <c r="G276" t="s">
        <v>1003</v>
      </c>
      <c r="H276" t="s">
        <v>766</v>
      </c>
      <c r="I276" t="s">
        <v>1779</v>
      </c>
      <c r="J276" t="s">
        <v>30</v>
      </c>
      <c r="K276" t="s">
        <v>34</v>
      </c>
      <c r="O276" s="18" t="s">
        <v>20</v>
      </c>
      <c r="P276" s="18" t="s">
        <v>1817</v>
      </c>
      <c r="Q276" t="s">
        <v>38</v>
      </c>
      <c r="R276" t="s">
        <v>39</v>
      </c>
      <c r="S276" t="s">
        <v>47</v>
      </c>
      <c r="T276" t="s">
        <v>632</v>
      </c>
      <c r="AA276" s="10"/>
      <c r="AB276" s="10"/>
      <c r="AC276" s="10"/>
      <c r="AD276" s="10"/>
      <c r="AG276" t="s">
        <v>4</v>
      </c>
      <c r="AH276" t="s">
        <v>214</v>
      </c>
      <c r="AN276">
        <v>29</v>
      </c>
      <c r="AO276">
        <v>-8.2799999999999999E-2</v>
      </c>
      <c r="AS276" t="s">
        <v>849</v>
      </c>
      <c r="AT276" t="s">
        <v>849</v>
      </c>
      <c r="AV276" t="s">
        <v>1810</v>
      </c>
      <c r="AW276" t="s">
        <v>1815</v>
      </c>
      <c r="AX276" t="s">
        <v>1817</v>
      </c>
      <c r="AY276" t="s">
        <v>1806</v>
      </c>
      <c r="AZ276" t="s">
        <v>76</v>
      </c>
    </row>
    <row r="277" spans="1:52" x14ac:dyDescent="0.2">
      <c r="A277" t="s">
        <v>755</v>
      </c>
      <c r="B277" t="s">
        <v>756</v>
      </c>
      <c r="C277" t="s">
        <v>588</v>
      </c>
      <c r="D277">
        <v>2017</v>
      </c>
      <c r="E277" t="s">
        <v>757</v>
      </c>
      <c r="F277" t="s">
        <v>758</v>
      </c>
      <c r="G277" t="s">
        <v>1004</v>
      </c>
      <c r="H277" t="s">
        <v>767</v>
      </c>
      <c r="I277" t="s">
        <v>1779</v>
      </c>
      <c r="J277" t="s">
        <v>30</v>
      </c>
      <c r="K277" t="s">
        <v>34</v>
      </c>
      <c r="O277" s="18" t="s">
        <v>20</v>
      </c>
      <c r="P277" s="18" t="s">
        <v>1817</v>
      </c>
      <c r="Q277" t="s">
        <v>38</v>
      </c>
      <c r="R277" t="s">
        <v>42</v>
      </c>
      <c r="S277" t="s">
        <v>47</v>
      </c>
      <c r="T277" t="s">
        <v>632</v>
      </c>
      <c r="AA277" s="10"/>
      <c r="AB277" s="10"/>
      <c r="AC277" s="10"/>
      <c r="AD277" s="10"/>
      <c r="AG277" t="s">
        <v>4</v>
      </c>
      <c r="AH277" t="s">
        <v>214</v>
      </c>
      <c r="AN277">
        <v>28</v>
      </c>
      <c r="AO277">
        <v>-2.76E-2</v>
      </c>
      <c r="AS277" t="s">
        <v>849</v>
      </c>
      <c r="AT277" t="s">
        <v>849</v>
      </c>
      <c r="AV277" t="s">
        <v>1810</v>
      </c>
      <c r="AW277" t="s">
        <v>1815</v>
      </c>
      <c r="AX277" t="s">
        <v>1817</v>
      </c>
      <c r="AY277" t="s">
        <v>1806</v>
      </c>
      <c r="AZ277" t="s">
        <v>76</v>
      </c>
    </row>
    <row r="278" spans="1:52" x14ac:dyDescent="0.2">
      <c r="A278" t="s">
        <v>755</v>
      </c>
      <c r="B278" t="s">
        <v>756</v>
      </c>
      <c r="C278" t="s">
        <v>588</v>
      </c>
      <c r="D278">
        <v>2017</v>
      </c>
      <c r="E278" t="s">
        <v>757</v>
      </c>
      <c r="F278" t="s">
        <v>758</v>
      </c>
      <c r="G278" t="s">
        <v>1004</v>
      </c>
      <c r="H278" t="s">
        <v>768</v>
      </c>
      <c r="I278" t="s">
        <v>1779</v>
      </c>
      <c r="J278" t="s">
        <v>30</v>
      </c>
      <c r="K278" t="s">
        <v>34</v>
      </c>
      <c r="O278" s="18" t="s">
        <v>20</v>
      </c>
      <c r="P278" s="18" t="s">
        <v>1817</v>
      </c>
      <c r="Q278" t="s">
        <v>38</v>
      </c>
      <c r="R278" t="s">
        <v>39</v>
      </c>
      <c r="S278" t="s">
        <v>47</v>
      </c>
      <c r="T278" t="s">
        <v>632</v>
      </c>
      <c r="AA278" s="10"/>
      <c r="AB278" s="10"/>
      <c r="AC278" s="10"/>
      <c r="AD278" s="10"/>
      <c r="AG278" t="s">
        <v>4</v>
      </c>
      <c r="AH278" t="s">
        <v>214</v>
      </c>
      <c r="AN278">
        <v>27</v>
      </c>
      <c r="AO278">
        <v>2.4199999999999999E-2</v>
      </c>
      <c r="AS278" t="s">
        <v>849</v>
      </c>
      <c r="AT278" t="s">
        <v>849</v>
      </c>
      <c r="AV278" t="s">
        <v>1810</v>
      </c>
      <c r="AW278" t="s">
        <v>1815</v>
      </c>
      <c r="AX278" t="s">
        <v>1817</v>
      </c>
      <c r="AY278" t="s">
        <v>1806</v>
      </c>
      <c r="AZ278" t="s">
        <v>76</v>
      </c>
    </row>
    <row r="279" spans="1:52" x14ac:dyDescent="0.2">
      <c r="A279" t="s">
        <v>755</v>
      </c>
      <c r="B279" t="s">
        <v>756</v>
      </c>
      <c r="C279" t="s">
        <v>588</v>
      </c>
      <c r="D279">
        <v>2017</v>
      </c>
      <c r="E279" t="s">
        <v>757</v>
      </c>
      <c r="F279" t="s">
        <v>758</v>
      </c>
      <c r="G279" t="s">
        <v>1004</v>
      </c>
      <c r="H279" t="s">
        <v>769</v>
      </c>
      <c r="I279" t="s">
        <v>1779</v>
      </c>
      <c r="J279" t="s">
        <v>30</v>
      </c>
      <c r="K279" t="s">
        <v>34</v>
      </c>
      <c r="O279" s="18" t="s">
        <v>20</v>
      </c>
      <c r="P279" s="18" t="s">
        <v>1817</v>
      </c>
      <c r="Q279" t="s">
        <v>38</v>
      </c>
      <c r="R279" t="s">
        <v>39</v>
      </c>
      <c r="S279" t="s">
        <v>47</v>
      </c>
      <c r="T279" t="s">
        <v>632</v>
      </c>
      <c r="AA279" s="10"/>
      <c r="AB279" s="10"/>
      <c r="AC279" s="10"/>
      <c r="AD279" s="10"/>
      <c r="AG279" t="s">
        <v>4</v>
      </c>
      <c r="AH279" t="s">
        <v>214</v>
      </c>
      <c r="AN279">
        <v>27</v>
      </c>
      <c r="AO279">
        <v>-2.5600000000000001E-2</v>
      </c>
      <c r="AS279" t="s">
        <v>849</v>
      </c>
      <c r="AT279" t="s">
        <v>849</v>
      </c>
      <c r="AV279" t="s">
        <v>1810</v>
      </c>
      <c r="AW279" t="s">
        <v>1815</v>
      </c>
      <c r="AX279" t="s">
        <v>1817</v>
      </c>
      <c r="AY279" t="s">
        <v>1806</v>
      </c>
      <c r="AZ279" t="s">
        <v>76</v>
      </c>
    </row>
    <row r="280" spans="1:52" x14ac:dyDescent="0.2">
      <c r="A280" t="s">
        <v>770</v>
      </c>
      <c r="B280" t="s">
        <v>771</v>
      </c>
      <c r="C280" t="s">
        <v>772</v>
      </c>
      <c r="D280">
        <v>2007</v>
      </c>
      <c r="E280" t="s">
        <v>773</v>
      </c>
      <c r="F280" t="s">
        <v>774</v>
      </c>
      <c r="G280" t="s">
        <v>1005</v>
      </c>
      <c r="H280" t="s">
        <v>775</v>
      </c>
      <c r="I280" t="s">
        <v>1780</v>
      </c>
      <c r="J280" t="s">
        <v>81</v>
      </c>
      <c r="K280" t="s">
        <v>34</v>
      </c>
      <c r="O280" s="18" t="s">
        <v>21</v>
      </c>
      <c r="P280" s="18" t="s">
        <v>78</v>
      </c>
      <c r="Q280" t="s">
        <v>38</v>
      </c>
      <c r="R280" t="s">
        <v>1828</v>
      </c>
      <c r="S280" t="s">
        <v>47</v>
      </c>
      <c r="T280" t="s">
        <v>51</v>
      </c>
      <c r="U280">
        <v>808</v>
      </c>
      <c r="AA280" s="10"/>
      <c r="AB280" s="10"/>
      <c r="AC280" s="10"/>
      <c r="AD280" s="10"/>
      <c r="AG280" t="s">
        <v>4</v>
      </c>
      <c r="AH280" t="s">
        <v>214</v>
      </c>
      <c r="AN280">
        <v>108</v>
      </c>
      <c r="AO280">
        <v>0.375</v>
      </c>
      <c r="AS280" t="s">
        <v>849</v>
      </c>
      <c r="AT280" t="s">
        <v>849</v>
      </c>
      <c r="AV280" t="s">
        <v>1812</v>
      </c>
      <c r="AW280" t="s">
        <v>1807</v>
      </c>
      <c r="AX280" t="s">
        <v>1808</v>
      </c>
      <c r="AZ280" t="s">
        <v>1813</v>
      </c>
    </row>
    <row r="281" spans="1:52" x14ac:dyDescent="0.2">
      <c r="A281" t="s">
        <v>680</v>
      </c>
      <c r="B281" t="s">
        <v>681</v>
      </c>
      <c r="C281" t="s">
        <v>682</v>
      </c>
      <c r="D281">
        <v>2018</v>
      </c>
      <c r="E281" t="s">
        <v>776</v>
      </c>
      <c r="F281" t="s">
        <v>777</v>
      </c>
      <c r="G281" t="s">
        <v>1006</v>
      </c>
      <c r="H281" t="s">
        <v>778</v>
      </c>
      <c r="I281" t="s">
        <v>683</v>
      </c>
      <c r="J281" t="s">
        <v>82</v>
      </c>
      <c r="K281" t="s">
        <v>34</v>
      </c>
      <c r="O281" s="18" t="s">
        <v>20</v>
      </c>
      <c r="P281" s="18" t="s">
        <v>1042</v>
      </c>
      <c r="Q281" t="s">
        <v>37</v>
      </c>
      <c r="R281" t="s">
        <v>39</v>
      </c>
      <c r="S281" t="s">
        <v>47</v>
      </c>
      <c r="T281" t="s">
        <v>49</v>
      </c>
      <c r="U281">
        <v>5</v>
      </c>
      <c r="V281" t="s">
        <v>672</v>
      </c>
      <c r="AG281" t="s">
        <v>4</v>
      </c>
      <c r="AH281" t="s">
        <v>214</v>
      </c>
      <c r="AN281">
        <v>11</v>
      </c>
      <c r="AO281">
        <v>0.63937750651942404</v>
      </c>
      <c r="AS281" t="s">
        <v>849</v>
      </c>
      <c r="AT281" t="s">
        <v>222</v>
      </c>
      <c r="AV281" t="s">
        <v>1803</v>
      </c>
      <c r="AW281" t="s">
        <v>1815</v>
      </c>
      <c r="AX281" t="s">
        <v>1808</v>
      </c>
      <c r="AY281" t="s">
        <v>1806</v>
      </c>
      <c r="AZ281" t="s">
        <v>76</v>
      </c>
    </row>
    <row r="282" spans="1:52" x14ac:dyDescent="0.2">
      <c r="A282" t="s">
        <v>779</v>
      </c>
      <c r="B282" t="s">
        <v>780</v>
      </c>
      <c r="C282" t="s">
        <v>781</v>
      </c>
      <c r="D282">
        <v>2006</v>
      </c>
      <c r="E282" t="s">
        <v>782</v>
      </c>
      <c r="F282" t="s">
        <v>783</v>
      </c>
      <c r="G282" t="s">
        <v>1007</v>
      </c>
      <c r="H282" t="s">
        <v>784</v>
      </c>
      <c r="I282" t="s">
        <v>1094</v>
      </c>
      <c r="J282" t="s">
        <v>31</v>
      </c>
      <c r="K282" t="s">
        <v>34</v>
      </c>
      <c r="O282" s="18" t="s">
        <v>20</v>
      </c>
      <c r="P282" s="18" t="s">
        <v>24</v>
      </c>
      <c r="Q282" t="s">
        <v>38</v>
      </c>
      <c r="R282" t="s">
        <v>43</v>
      </c>
      <c r="S282" t="s">
        <v>47</v>
      </c>
      <c r="T282" t="s">
        <v>51</v>
      </c>
      <c r="U282">
        <v>813</v>
      </c>
      <c r="AA282" s="10"/>
      <c r="AB282" s="10"/>
      <c r="AC282" s="10"/>
      <c r="AD282" s="10"/>
      <c r="AG282" t="s">
        <v>80</v>
      </c>
      <c r="AH282" t="s">
        <v>214</v>
      </c>
      <c r="AN282">
        <v>87</v>
      </c>
      <c r="AP282">
        <v>0.06</v>
      </c>
      <c r="AQ282">
        <v>1</v>
      </c>
      <c r="AS282" t="s">
        <v>849</v>
      </c>
      <c r="AT282" t="s">
        <v>849</v>
      </c>
      <c r="AV282" t="s">
        <v>1803</v>
      </c>
      <c r="AW282" t="s">
        <v>1815</v>
      </c>
      <c r="AX282" t="s">
        <v>1821</v>
      </c>
      <c r="AY282" t="s">
        <v>1806</v>
      </c>
      <c r="AZ282" t="s">
        <v>76</v>
      </c>
    </row>
    <row r="283" spans="1:52" x14ac:dyDescent="0.2">
      <c r="A283" t="s">
        <v>779</v>
      </c>
      <c r="B283" t="s">
        <v>780</v>
      </c>
      <c r="C283" t="s">
        <v>781</v>
      </c>
      <c r="D283">
        <v>2006</v>
      </c>
      <c r="E283" t="s">
        <v>782</v>
      </c>
      <c r="F283" t="s">
        <v>783</v>
      </c>
      <c r="G283" t="s">
        <v>1007</v>
      </c>
      <c r="H283" t="s">
        <v>785</v>
      </c>
      <c r="I283" t="s">
        <v>1094</v>
      </c>
      <c r="J283" t="s">
        <v>31</v>
      </c>
      <c r="K283" t="s">
        <v>34</v>
      </c>
      <c r="O283" s="18" t="s">
        <v>20</v>
      </c>
      <c r="P283" s="18" t="s">
        <v>24</v>
      </c>
      <c r="Q283" t="s">
        <v>37</v>
      </c>
      <c r="R283" t="s">
        <v>40</v>
      </c>
      <c r="S283" t="s">
        <v>47</v>
      </c>
      <c r="T283" t="s">
        <v>51</v>
      </c>
      <c r="U283">
        <v>813</v>
      </c>
      <c r="AA283" s="10"/>
      <c r="AB283" s="10"/>
      <c r="AC283" s="10"/>
      <c r="AD283" s="10"/>
      <c r="AG283" t="s">
        <v>80</v>
      </c>
      <c r="AH283" t="s">
        <v>214</v>
      </c>
      <c r="AN283">
        <v>87</v>
      </c>
      <c r="AP283">
        <v>4.3999999999999997E-2</v>
      </c>
      <c r="AQ283">
        <v>1</v>
      </c>
      <c r="AS283" t="s">
        <v>849</v>
      </c>
      <c r="AT283" t="s">
        <v>849</v>
      </c>
      <c r="AV283" t="s">
        <v>1803</v>
      </c>
      <c r="AW283" t="s">
        <v>1815</v>
      </c>
      <c r="AX283" t="s">
        <v>1821</v>
      </c>
      <c r="AY283" t="s">
        <v>1806</v>
      </c>
      <c r="AZ283" t="s">
        <v>76</v>
      </c>
    </row>
    <row r="284" spans="1:52" x14ac:dyDescent="0.2">
      <c r="A284" t="s">
        <v>786</v>
      </c>
      <c r="B284" t="s">
        <v>787</v>
      </c>
      <c r="C284" t="s">
        <v>788</v>
      </c>
      <c r="D284">
        <v>2011</v>
      </c>
      <c r="E284" t="s">
        <v>789</v>
      </c>
      <c r="F284" t="s">
        <v>790</v>
      </c>
      <c r="G284" t="s">
        <v>1008</v>
      </c>
      <c r="H284" t="s">
        <v>791</v>
      </c>
      <c r="I284" t="s">
        <v>1248</v>
      </c>
      <c r="J284" t="s">
        <v>82</v>
      </c>
      <c r="K284" t="s">
        <v>35</v>
      </c>
      <c r="L284" t="s">
        <v>12</v>
      </c>
      <c r="O284" s="18" t="s">
        <v>76</v>
      </c>
      <c r="P284" s="18" t="s">
        <v>27</v>
      </c>
      <c r="Q284" t="s">
        <v>38</v>
      </c>
      <c r="R284" t="s">
        <v>43</v>
      </c>
      <c r="S284" t="s">
        <v>47</v>
      </c>
      <c r="T284" t="s">
        <v>49</v>
      </c>
      <c r="U284">
        <v>1372</v>
      </c>
      <c r="V284">
        <v>2</v>
      </c>
      <c r="W284">
        <v>31</v>
      </c>
      <c r="X284">
        <v>31</v>
      </c>
      <c r="AA284">
        <v>71.336032388663895</v>
      </c>
      <c r="AB284">
        <v>16.5680437517412</v>
      </c>
      <c r="AC284">
        <v>70.627530364372404</v>
      </c>
      <c r="AD284">
        <v>19.7238616092156</v>
      </c>
      <c r="AE284" t="s">
        <v>71</v>
      </c>
      <c r="AF284" t="s">
        <v>61</v>
      </c>
      <c r="AG284" t="str">
        <f>IF(AE284="mean", "mean", "")</f>
        <v>mean</v>
      </c>
      <c r="AH284" t="s">
        <v>213</v>
      </c>
      <c r="AS284" t="s">
        <v>849</v>
      </c>
      <c r="AT284" t="s">
        <v>849</v>
      </c>
      <c r="AV284" t="s">
        <v>1803</v>
      </c>
      <c r="AW284" t="s">
        <v>1815</v>
      </c>
      <c r="AX284" t="s">
        <v>1822</v>
      </c>
      <c r="AY284" t="s">
        <v>1806</v>
      </c>
      <c r="AZ284" t="s">
        <v>76</v>
      </c>
    </row>
    <row r="285" spans="1:52" x14ac:dyDescent="0.2">
      <c r="A285" t="s">
        <v>786</v>
      </c>
      <c r="B285" t="s">
        <v>787</v>
      </c>
      <c r="C285" t="s">
        <v>788</v>
      </c>
      <c r="D285">
        <v>2011</v>
      </c>
      <c r="E285" t="s">
        <v>789</v>
      </c>
      <c r="F285" t="s">
        <v>790</v>
      </c>
      <c r="G285" t="s">
        <v>1008</v>
      </c>
      <c r="H285" t="s">
        <v>792</v>
      </c>
      <c r="I285" t="s">
        <v>1248</v>
      </c>
      <c r="J285" t="s">
        <v>82</v>
      </c>
      <c r="K285" t="s">
        <v>35</v>
      </c>
      <c r="L285" t="s">
        <v>12</v>
      </c>
      <c r="O285" s="18" t="s">
        <v>76</v>
      </c>
      <c r="P285" s="18" t="s">
        <v>27</v>
      </c>
      <c r="Q285" t="s">
        <v>37</v>
      </c>
      <c r="R285" t="s">
        <v>39</v>
      </c>
      <c r="S285" t="s">
        <v>47</v>
      </c>
      <c r="T285" t="s">
        <v>49</v>
      </c>
      <c r="U285">
        <v>1373</v>
      </c>
      <c r="V285">
        <v>3</v>
      </c>
      <c r="W285">
        <v>31</v>
      </c>
      <c r="X285">
        <v>31</v>
      </c>
      <c r="AA285">
        <v>2.7887323943662002E-3</v>
      </c>
      <c r="AB285">
        <v>1.40174349275474E-3</v>
      </c>
      <c r="AC285">
        <v>2.63380281690141E-3</v>
      </c>
      <c r="AD285">
        <v>1.72522276031353E-3</v>
      </c>
      <c r="AE285" t="s">
        <v>71</v>
      </c>
      <c r="AF285" t="s">
        <v>61</v>
      </c>
      <c r="AG285" t="str">
        <f>IF(AE285="mean", "mean", "")</f>
        <v>mean</v>
      </c>
      <c r="AH285" t="s">
        <v>213</v>
      </c>
      <c r="AS285" t="s">
        <v>849</v>
      </c>
      <c r="AT285" t="s">
        <v>849</v>
      </c>
      <c r="AV285" t="s">
        <v>1803</v>
      </c>
      <c r="AW285" t="s">
        <v>1815</v>
      </c>
      <c r="AX285" t="s">
        <v>1822</v>
      </c>
      <c r="AY285" t="s">
        <v>1806</v>
      </c>
      <c r="AZ285" t="s">
        <v>76</v>
      </c>
    </row>
    <row r="286" spans="1:52" x14ac:dyDescent="0.2">
      <c r="A286" t="s">
        <v>786</v>
      </c>
      <c r="B286" t="s">
        <v>787</v>
      </c>
      <c r="C286" t="s">
        <v>788</v>
      </c>
      <c r="D286">
        <v>2011</v>
      </c>
      <c r="E286" t="s">
        <v>789</v>
      </c>
      <c r="F286" t="s">
        <v>790</v>
      </c>
      <c r="G286" t="s">
        <v>1008</v>
      </c>
      <c r="H286" t="s">
        <v>793</v>
      </c>
      <c r="I286" t="s">
        <v>1248</v>
      </c>
      <c r="J286" t="s">
        <v>82</v>
      </c>
      <c r="K286" t="s">
        <v>35</v>
      </c>
      <c r="L286" t="s">
        <v>12</v>
      </c>
      <c r="O286" s="18" t="s">
        <v>76</v>
      </c>
      <c r="P286" s="18" t="s">
        <v>27</v>
      </c>
      <c r="Q286" t="s">
        <v>37</v>
      </c>
      <c r="R286" t="s">
        <v>40</v>
      </c>
      <c r="S286" t="s">
        <v>47</v>
      </c>
      <c r="T286" t="s">
        <v>49</v>
      </c>
      <c r="U286">
        <v>1373</v>
      </c>
      <c r="V286">
        <v>3</v>
      </c>
      <c r="W286">
        <v>28</v>
      </c>
      <c r="X286">
        <v>28</v>
      </c>
      <c r="AA286">
        <v>1.01147540983607E-3</v>
      </c>
      <c r="AB286">
        <v>1.27516538598851E-3</v>
      </c>
      <c r="AC286">
        <v>7.7540983606557399E-4</v>
      </c>
      <c r="AD286">
        <v>8.0673728501313795E-4</v>
      </c>
      <c r="AE286" t="s">
        <v>71</v>
      </c>
      <c r="AF286" t="s">
        <v>61</v>
      </c>
      <c r="AG286" t="str">
        <f>IF(AE286="mean", "mean", "")</f>
        <v>mean</v>
      </c>
      <c r="AH286" t="s">
        <v>213</v>
      </c>
      <c r="AS286" t="s">
        <v>849</v>
      </c>
      <c r="AT286" t="s">
        <v>849</v>
      </c>
      <c r="AV286" t="s">
        <v>1803</v>
      </c>
      <c r="AW286" t="s">
        <v>1815</v>
      </c>
      <c r="AX286" t="s">
        <v>1822</v>
      </c>
      <c r="AY286" t="s">
        <v>1806</v>
      </c>
      <c r="AZ286" t="s">
        <v>76</v>
      </c>
    </row>
    <row r="287" spans="1:52" x14ac:dyDescent="0.2">
      <c r="A287" t="s">
        <v>674</v>
      </c>
      <c r="B287" t="s">
        <v>675</v>
      </c>
      <c r="D287">
        <v>2000</v>
      </c>
      <c r="E287" t="s">
        <v>794</v>
      </c>
      <c r="F287" t="s">
        <v>795</v>
      </c>
      <c r="G287" t="s">
        <v>1009</v>
      </c>
      <c r="H287" t="s">
        <v>796</v>
      </c>
      <c r="I287" t="s">
        <v>679</v>
      </c>
      <c r="J287" t="s">
        <v>31</v>
      </c>
      <c r="K287" t="s">
        <v>34</v>
      </c>
      <c r="O287" s="18" t="s">
        <v>20</v>
      </c>
      <c r="P287" s="18" t="s">
        <v>24</v>
      </c>
      <c r="Q287" t="s">
        <v>37</v>
      </c>
      <c r="R287" t="s">
        <v>42</v>
      </c>
      <c r="S287" t="s">
        <v>47</v>
      </c>
      <c r="T287" t="s">
        <v>51</v>
      </c>
      <c r="U287">
        <v>1173</v>
      </c>
      <c r="AG287" t="s">
        <v>67</v>
      </c>
      <c r="AH287" t="s">
        <v>214</v>
      </c>
      <c r="AK287">
        <v>2.29</v>
      </c>
      <c r="AL287">
        <v>35</v>
      </c>
      <c r="AN287">
        <v>39</v>
      </c>
      <c r="AS287" t="s">
        <v>849</v>
      </c>
      <c r="AT287" t="s">
        <v>849</v>
      </c>
      <c r="AV287" t="s">
        <v>1803</v>
      </c>
      <c r="AW287" t="s">
        <v>1804</v>
      </c>
      <c r="AX287" t="s">
        <v>1805</v>
      </c>
      <c r="AY287" t="s">
        <v>1806</v>
      </c>
      <c r="AZ287" t="s">
        <v>76</v>
      </c>
    </row>
    <row r="288" spans="1:52" x14ac:dyDescent="0.2">
      <c r="A288" t="s">
        <v>674</v>
      </c>
      <c r="B288" t="s">
        <v>675</v>
      </c>
      <c r="D288">
        <v>2000</v>
      </c>
      <c r="E288" t="s">
        <v>794</v>
      </c>
      <c r="F288" t="s">
        <v>795</v>
      </c>
      <c r="G288" t="s">
        <v>1009</v>
      </c>
      <c r="H288" t="s">
        <v>801</v>
      </c>
      <c r="I288" t="s">
        <v>679</v>
      </c>
      <c r="J288" t="s">
        <v>31</v>
      </c>
      <c r="K288" t="s">
        <v>34</v>
      </c>
      <c r="O288" s="18" t="s">
        <v>20</v>
      </c>
      <c r="P288" s="18" t="s">
        <v>24</v>
      </c>
      <c r="Q288" t="s">
        <v>38</v>
      </c>
      <c r="R288" t="s">
        <v>43</v>
      </c>
      <c r="S288" t="s">
        <v>47</v>
      </c>
      <c r="T288" t="s">
        <v>51</v>
      </c>
      <c r="U288">
        <v>1173</v>
      </c>
      <c r="AG288" t="s">
        <v>67</v>
      </c>
      <c r="AH288" t="s">
        <v>214</v>
      </c>
      <c r="AK288">
        <v>1.26</v>
      </c>
      <c r="AL288">
        <v>35</v>
      </c>
      <c r="AN288">
        <v>39</v>
      </c>
      <c r="AS288" t="s">
        <v>849</v>
      </c>
      <c r="AT288" t="s">
        <v>849</v>
      </c>
      <c r="AV288" t="s">
        <v>1803</v>
      </c>
      <c r="AW288" t="s">
        <v>1804</v>
      </c>
      <c r="AX288" t="s">
        <v>1805</v>
      </c>
      <c r="AY288" t="s">
        <v>1806</v>
      </c>
      <c r="AZ288" t="s">
        <v>76</v>
      </c>
    </row>
    <row r="289" spans="1:52" x14ac:dyDescent="0.2">
      <c r="A289" t="s">
        <v>797</v>
      </c>
      <c r="B289" t="s">
        <v>810</v>
      </c>
      <c r="C289" t="s">
        <v>798</v>
      </c>
      <c r="D289">
        <v>2016</v>
      </c>
      <c r="E289" t="s">
        <v>799</v>
      </c>
      <c r="F289" t="s">
        <v>800</v>
      </c>
      <c r="G289" t="s">
        <v>1010</v>
      </c>
      <c r="H289" t="s">
        <v>802</v>
      </c>
      <c r="I289" t="s">
        <v>514</v>
      </c>
      <c r="J289" t="s">
        <v>82</v>
      </c>
      <c r="K289" t="s">
        <v>35</v>
      </c>
      <c r="L289" t="s">
        <v>12</v>
      </c>
      <c r="O289" s="18" t="s">
        <v>76</v>
      </c>
      <c r="P289" s="18" t="s">
        <v>27</v>
      </c>
      <c r="Q289" t="s">
        <v>38</v>
      </c>
      <c r="R289" t="s">
        <v>41</v>
      </c>
      <c r="S289" t="s">
        <v>47</v>
      </c>
      <c r="T289" t="s">
        <v>632</v>
      </c>
      <c r="W289">
        <v>20</v>
      </c>
      <c r="X289">
        <v>20</v>
      </c>
      <c r="AA289">
        <v>5.3562500000000002</v>
      </c>
      <c r="AB289">
        <v>3.0836141112081625</v>
      </c>
      <c r="AC289">
        <v>3.7562500000000001</v>
      </c>
      <c r="AD289">
        <v>3.5797941263209685</v>
      </c>
      <c r="AE289" t="s">
        <v>71</v>
      </c>
      <c r="AF289" t="s">
        <v>61</v>
      </c>
      <c r="AG289" t="str">
        <f>IF(AE289="mean", "mean", "")</f>
        <v>mean</v>
      </c>
      <c r="AH289" t="s">
        <v>213</v>
      </c>
      <c r="AS289" t="s">
        <v>849</v>
      </c>
      <c r="AT289" t="s">
        <v>849</v>
      </c>
      <c r="AV289" t="s">
        <v>1803</v>
      </c>
      <c r="AW289" t="s">
        <v>1807</v>
      </c>
      <c r="AX289" t="s">
        <v>1808</v>
      </c>
      <c r="AY289" t="s">
        <v>1811</v>
      </c>
      <c r="AZ289" t="s">
        <v>76</v>
      </c>
    </row>
    <row r="290" spans="1:52" x14ac:dyDescent="0.2">
      <c r="A290" t="s">
        <v>797</v>
      </c>
      <c r="B290" t="s">
        <v>810</v>
      </c>
      <c r="C290" t="s">
        <v>798</v>
      </c>
      <c r="D290">
        <v>2016</v>
      </c>
      <c r="E290" t="s">
        <v>799</v>
      </c>
      <c r="F290" t="s">
        <v>800</v>
      </c>
      <c r="G290" t="s">
        <v>1011</v>
      </c>
      <c r="H290" t="s">
        <v>803</v>
      </c>
      <c r="I290" t="s">
        <v>514</v>
      </c>
      <c r="J290" t="s">
        <v>82</v>
      </c>
      <c r="K290" t="s">
        <v>35</v>
      </c>
      <c r="L290" t="s">
        <v>12</v>
      </c>
      <c r="O290" s="18" t="s">
        <v>76</v>
      </c>
      <c r="P290" s="18" t="s">
        <v>27</v>
      </c>
      <c r="Q290" t="s">
        <v>38</v>
      </c>
      <c r="R290" t="s">
        <v>41</v>
      </c>
      <c r="S290" t="s">
        <v>47</v>
      </c>
      <c r="T290" t="s">
        <v>632</v>
      </c>
      <c r="W290">
        <v>15</v>
      </c>
      <c r="X290">
        <v>20</v>
      </c>
      <c r="AA290">
        <v>2.3937499999999998</v>
      </c>
      <c r="AB290">
        <v>2.5524997422547422</v>
      </c>
      <c r="AC290">
        <v>3.8250000000000002</v>
      </c>
      <c r="AD290">
        <v>3.2226874322084491</v>
      </c>
      <c r="AE290" t="s">
        <v>71</v>
      </c>
      <c r="AF290" t="s">
        <v>61</v>
      </c>
      <c r="AG290" t="str">
        <f>IF(AE290="mean", "mean", "")</f>
        <v>mean</v>
      </c>
      <c r="AH290" t="s">
        <v>213</v>
      </c>
      <c r="AS290" t="s">
        <v>849</v>
      </c>
      <c r="AT290" t="s">
        <v>849</v>
      </c>
      <c r="AV290" t="s">
        <v>1803</v>
      </c>
      <c r="AW290" t="s">
        <v>1807</v>
      </c>
      <c r="AX290" t="s">
        <v>1808</v>
      </c>
      <c r="AY290" t="s">
        <v>1811</v>
      </c>
      <c r="AZ290" t="s">
        <v>76</v>
      </c>
    </row>
    <row r="291" spans="1:52" x14ac:dyDescent="0.2">
      <c r="A291" t="s">
        <v>797</v>
      </c>
      <c r="B291" t="s">
        <v>810</v>
      </c>
      <c r="C291" t="s">
        <v>798</v>
      </c>
      <c r="D291">
        <v>2016</v>
      </c>
      <c r="E291" t="s">
        <v>799</v>
      </c>
      <c r="F291" t="s">
        <v>800</v>
      </c>
      <c r="G291" t="s">
        <v>1012</v>
      </c>
      <c r="H291" t="s">
        <v>804</v>
      </c>
      <c r="I291" t="s">
        <v>514</v>
      </c>
      <c r="J291" t="s">
        <v>82</v>
      </c>
      <c r="K291" t="s">
        <v>35</v>
      </c>
      <c r="L291" t="s">
        <v>12</v>
      </c>
      <c r="O291" s="18" t="s">
        <v>76</v>
      </c>
      <c r="P291" s="18" t="s">
        <v>27</v>
      </c>
      <c r="Q291" t="s">
        <v>38</v>
      </c>
      <c r="R291" t="s">
        <v>40</v>
      </c>
      <c r="S291" t="s">
        <v>47</v>
      </c>
      <c r="T291" t="s">
        <v>632</v>
      </c>
      <c r="W291">
        <v>18</v>
      </c>
      <c r="X291">
        <v>19</v>
      </c>
      <c r="AA291">
        <v>4.7894736842105265</v>
      </c>
      <c r="AB291">
        <v>3.2202302776254479</v>
      </c>
      <c r="AC291">
        <v>4.916666666666667</v>
      </c>
      <c r="AD291">
        <v>3.4009081832046326</v>
      </c>
      <c r="AE291" t="s">
        <v>71</v>
      </c>
      <c r="AF291" t="s">
        <v>61</v>
      </c>
      <c r="AG291" t="str">
        <f>IF(AE291="mean", "mean", "")</f>
        <v>mean</v>
      </c>
      <c r="AH291" t="s">
        <v>213</v>
      </c>
      <c r="AS291" t="s">
        <v>849</v>
      </c>
      <c r="AT291" t="s">
        <v>849</v>
      </c>
      <c r="AV291" t="s">
        <v>1803</v>
      </c>
      <c r="AW291" t="s">
        <v>1807</v>
      </c>
      <c r="AX291" t="s">
        <v>1808</v>
      </c>
      <c r="AY291" t="s">
        <v>1811</v>
      </c>
      <c r="AZ291" t="s">
        <v>76</v>
      </c>
    </row>
    <row r="292" spans="1:52" x14ac:dyDescent="0.2">
      <c r="A292" t="s">
        <v>797</v>
      </c>
      <c r="B292" t="s">
        <v>810</v>
      </c>
      <c r="C292" t="s">
        <v>798</v>
      </c>
      <c r="D292">
        <v>2016</v>
      </c>
      <c r="E292" t="s">
        <v>799</v>
      </c>
      <c r="F292" t="s">
        <v>800</v>
      </c>
      <c r="G292" t="s">
        <v>1013</v>
      </c>
      <c r="H292" t="s">
        <v>805</v>
      </c>
      <c r="I292" t="s">
        <v>514</v>
      </c>
      <c r="J292" t="s">
        <v>82</v>
      </c>
      <c r="K292" t="s">
        <v>35</v>
      </c>
      <c r="L292" t="s">
        <v>12</v>
      </c>
      <c r="O292" s="18" t="s">
        <v>76</v>
      </c>
      <c r="P292" s="18" t="s">
        <v>27</v>
      </c>
      <c r="Q292" t="s">
        <v>38</v>
      </c>
      <c r="R292" t="s">
        <v>40</v>
      </c>
      <c r="S292" t="s">
        <v>47</v>
      </c>
      <c r="T292" t="s">
        <v>632</v>
      </c>
      <c r="W292">
        <v>18</v>
      </c>
      <c r="X292">
        <v>18</v>
      </c>
      <c r="AA292">
        <v>6.5</v>
      </c>
      <c r="AB292">
        <v>2.3136424046231925</v>
      </c>
      <c r="AC292">
        <v>5.25</v>
      </c>
      <c r="AD292">
        <v>3.9079481602919723</v>
      </c>
      <c r="AE292" t="s">
        <v>71</v>
      </c>
      <c r="AF292" t="s">
        <v>61</v>
      </c>
      <c r="AG292" t="str">
        <f>IF(AE292="mean", "mean", "")</f>
        <v>mean</v>
      </c>
      <c r="AH292" t="s">
        <v>213</v>
      </c>
      <c r="AS292" t="s">
        <v>849</v>
      </c>
      <c r="AT292" t="s">
        <v>849</v>
      </c>
      <c r="AV292" t="s">
        <v>1803</v>
      </c>
      <c r="AW292" t="s">
        <v>1807</v>
      </c>
      <c r="AX292" t="s">
        <v>1808</v>
      </c>
      <c r="AY292" t="s">
        <v>1811</v>
      </c>
      <c r="AZ292" t="s">
        <v>76</v>
      </c>
    </row>
    <row r="293" spans="1:52" x14ac:dyDescent="0.2">
      <c r="A293" t="s">
        <v>509</v>
      </c>
      <c r="B293" t="s">
        <v>508</v>
      </c>
      <c r="C293" t="s">
        <v>513</v>
      </c>
      <c r="D293">
        <v>2013</v>
      </c>
      <c r="E293" t="s">
        <v>811</v>
      </c>
      <c r="F293" t="s">
        <v>812</v>
      </c>
      <c r="G293" t="s">
        <v>1014</v>
      </c>
      <c r="H293" t="s">
        <v>806</v>
      </c>
      <c r="I293" t="s">
        <v>512</v>
      </c>
      <c r="J293" t="s">
        <v>83</v>
      </c>
      <c r="K293" t="s">
        <v>35</v>
      </c>
      <c r="L293" t="s">
        <v>12</v>
      </c>
      <c r="O293" s="18" t="s">
        <v>20</v>
      </c>
      <c r="P293" s="18" t="s">
        <v>27</v>
      </c>
      <c r="Q293" t="s">
        <v>38</v>
      </c>
      <c r="R293" t="s">
        <v>41</v>
      </c>
      <c r="S293" t="s">
        <v>47</v>
      </c>
      <c r="T293" t="s">
        <v>50</v>
      </c>
      <c r="U293">
        <v>4</v>
      </c>
      <c r="V293">
        <v>2</v>
      </c>
      <c r="W293">
        <v>80</v>
      </c>
      <c r="X293">
        <v>80</v>
      </c>
      <c r="Y293">
        <f t="shared" ref="Y293:Y298" si="9">AA293*X293</f>
        <v>64</v>
      </c>
      <c r="Z293">
        <f t="shared" ref="Z293:Z298" si="10">W293*AC293</f>
        <v>48</v>
      </c>
      <c r="AA293">
        <v>0.8</v>
      </c>
      <c r="AC293">
        <v>0.6</v>
      </c>
      <c r="AG293" t="s">
        <v>1790</v>
      </c>
      <c r="AH293" t="s">
        <v>213</v>
      </c>
      <c r="AS293" t="s">
        <v>222</v>
      </c>
      <c r="AT293" t="s">
        <v>849</v>
      </c>
      <c r="AV293" t="s">
        <v>1803</v>
      </c>
      <c r="AW293" t="s">
        <v>1815</v>
      </c>
      <c r="AX293" t="s">
        <v>1816</v>
      </c>
      <c r="AY293" t="s">
        <v>1814</v>
      </c>
      <c r="AZ293" t="s">
        <v>76</v>
      </c>
    </row>
    <row r="294" spans="1:52" x14ac:dyDescent="0.2">
      <c r="A294" t="s">
        <v>509</v>
      </c>
      <c r="B294" t="s">
        <v>508</v>
      </c>
      <c r="C294" t="s">
        <v>513</v>
      </c>
      <c r="D294">
        <v>2013</v>
      </c>
      <c r="E294" t="s">
        <v>811</v>
      </c>
      <c r="F294" t="s">
        <v>812</v>
      </c>
      <c r="G294" t="s">
        <v>1015</v>
      </c>
      <c r="H294" t="s">
        <v>807</v>
      </c>
      <c r="I294" t="s">
        <v>512</v>
      </c>
      <c r="J294" t="s">
        <v>83</v>
      </c>
      <c r="K294" t="s">
        <v>35</v>
      </c>
      <c r="L294" t="s">
        <v>12</v>
      </c>
      <c r="O294" s="18" t="s">
        <v>20</v>
      </c>
      <c r="P294" s="18" t="s">
        <v>27</v>
      </c>
      <c r="Q294" t="s">
        <v>38</v>
      </c>
      <c r="R294" t="s">
        <v>41</v>
      </c>
      <c r="S294" t="s">
        <v>47</v>
      </c>
      <c r="T294" t="s">
        <v>50</v>
      </c>
      <c r="U294">
        <v>4</v>
      </c>
      <c r="V294">
        <v>2</v>
      </c>
      <c r="W294">
        <v>80</v>
      </c>
      <c r="X294">
        <v>80</v>
      </c>
      <c r="Y294">
        <f t="shared" si="9"/>
        <v>28</v>
      </c>
      <c r="Z294">
        <f t="shared" si="10"/>
        <v>32</v>
      </c>
      <c r="AA294" s="10">
        <v>0.35</v>
      </c>
      <c r="AC294" s="10">
        <v>0.4</v>
      </c>
      <c r="AG294" t="s">
        <v>1790</v>
      </c>
      <c r="AH294" t="s">
        <v>213</v>
      </c>
      <c r="AS294" t="s">
        <v>222</v>
      </c>
      <c r="AT294" t="s">
        <v>849</v>
      </c>
      <c r="AV294" t="s">
        <v>1803</v>
      </c>
      <c r="AW294" t="s">
        <v>1815</v>
      </c>
      <c r="AX294" t="s">
        <v>1816</v>
      </c>
      <c r="AY294" t="s">
        <v>1814</v>
      </c>
      <c r="AZ294" t="s">
        <v>76</v>
      </c>
    </row>
    <row r="295" spans="1:52" x14ac:dyDescent="0.2">
      <c r="A295" t="s">
        <v>509</v>
      </c>
      <c r="B295" t="s">
        <v>508</v>
      </c>
      <c r="C295" t="s">
        <v>513</v>
      </c>
      <c r="D295">
        <v>2013</v>
      </c>
      <c r="E295" t="s">
        <v>811</v>
      </c>
      <c r="F295" t="s">
        <v>819</v>
      </c>
      <c r="G295" t="s">
        <v>1016</v>
      </c>
      <c r="H295" t="s">
        <v>808</v>
      </c>
      <c r="I295" t="s">
        <v>512</v>
      </c>
      <c r="J295" t="s">
        <v>83</v>
      </c>
      <c r="K295" t="s">
        <v>35</v>
      </c>
      <c r="L295" t="s">
        <v>12</v>
      </c>
      <c r="O295" s="18" t="s">
        <v>20</v>
      </c>
      <c r="P295" s="18" t="s">
        <v>27</v>
      </c>
      <c r="Q295" t="s">
        <v>38</v>
      </c>
      <c r="R295" t="s">
        <v>41</v>
      </c>
      <c r="S295" t="s">
        <v>47</v>
      </c>
      <c r="T295" t="s">
        <v>50</v>
      </c>
      <c r="U295">
        <v>4</v>
      </c>
      <c r="V295">
        <v>2</v>
      </c>
      <c r="W295">
        <v>80</v>
      </c>
      <c r="X295">
        <v>80</v>
      </c>
      <c r="Y295">
        <f t="shared" si="9"/>
        <v>53.6</v>
      </c>
      <c r="Z295">
        <f t="shared" si="10"/>
        <v>21.6</v>
      </c>
      <c r="AA295" s="10">
        <v>0.67</v>
      </c>
      <c r="AC295" s="10">
        <v>0.27</v>
      </c>
      <c r="AG295" t="s">
        <v>1790</v>
      </c>
      <c r="AH295" t="s">
        <v>213</v>
      </c>
      <c r="AS295" t="s">
        <v>222</v>
      </c>
      <c r="AT295" t="s">
        <v>849</v>
      </c>
      <c r="AV295" t="s">
        <v>1803</v>
      </c>
      <c r="AW295" t="s">
        <v>1815</v>
      </c>
      <c r="AX295" t="s">
        <v>1816</v>
      </c>
      <c r="AY295" t="s">
        <v>1814</v>
      </c>
      <c r="AZ295" t="s">
        <v>76</v>
      </c>
    </row>
    <row r="296" spans="1:52" x14ac:dyDescent="0.2">
      <c r="A296" t="s">
        <v>509</v>
      </c>
      <c r="B296" t="s">
        <v>508</v>
      </c>
      <c r="C296" t="s">
        <v>513</v>
      </c>
      <c r="D296">
        <v>2013</v>
      </c>
      <c r="E296" t="s">
        <v>811</v>
      </c>
      <c r="F296" t="s">
        <v>819</v>
      </c>
      <c r="G296" t="s">
        <v>1017</v>
      </c>
      <c r="H296" t="s">
        <v>809</v>
      </c>
      <c r="I296" t="s">
        <v>512</v>
      </c>
      <c r="J296" t="s">
        <v>83</v>
      </c>
      <c r="K296" t="s">
        <v>35</v>
      </c>
      <c r="L296" t="s">
        <v>12</v>
      </c>
      <c r="O296" s="18" t="s">
        <v>20</v>
      </c>
      <c r="P296" s="18" t="s">
        <v>27</v>
      </c>
      <c r="Q296" t="s">
        <v>38</v>
      </c>
      <c r="R296" t="s">
        <v>41</v>
      </c>
      <c r="S296" t="s">
        <v>47</v>
      </c>
      <c r="T296" t="s">
        <v>50</v>
      </c>
      <c r="U296">
        <v>4</v>
      </c>
      <c r="V296">
        <v>2</v>
      </c>
      <c r="W296">
        <v>80</v>
      </c>
      <c r="X296">
        <v>80</v>
      </c>
      <c r="Y296">
        <f t="shared" si="9"/>
        <v>32</v>
      </c>
      <c r="Z296">
        <f t="shared" si="10"/>
        <v>24</v>
      </c>
      <c r="AA296" s="10">
        <v>0.4</v>
      </c>
      <c r="AC296" s="10">
        <v>0.3</v>
      </c>
      <c r="AG296" t="s">
        <v>1790</v>
      </c>
      <c r="AH296" t="s">
        <v>213</v>
      </c>
      <c r="AS296" t="s">
        <v>222</v>
      </c>
      <c r="AT296" t="s">
        <v>849</v>
      </c>
      <c r="AV296" t="s">
        <v>1803</v>
      </c>
      <c r="AW296" t="s">
        <v>1815</v>
      </c>
      <c r="AX296" t="s">
        <v>1816</v>
      </c>
      <c r="AY296" t="s">
        <v>1814</v>
      </c>
      <c r="AZ296" t="s">
        <v>76</v>
      </c>
    </row>
    <row r="297" spans="1:52" x14ac:dyDescent="0.2">
      <c r="A297" t="s">
        <v>509</v>
      </c>
      <c r="B297" t="s">
        <v>508</v>
      </c>
      <c r="C297" t="s">
        <v>513</v>
      </c>
      <c r="D297">
        <v>2013</v>
      </c>
      <c r="E297" t="s">
        <v>811</v>
      </c>
      <c r="F297" t="s">
        <v>820</v>
      </c>
      <c r="G297" t="s">
        <v>1018</v>
      </c>
      <c r="H297" t="s">
        <v>813</v>
      </c>
      <c r="I297" t="s">
        <v>512</v>
      </c>
      <c r="J297" t="s">
        <v>83</v>
      </c>
      <c r="K297" t="s">
        <v>35</v>
      </c>
      <c r="L297" t="s">
        <v>12</v>
      </c>
      <c r="O297" s="18" t="s">
        <v>20</v>
      </c>
      <c r="P297" s="18" t="s">
        <v>27</v>
      </c>
      <c r="Q297" t="s">
        <v>38</v>
      </c>
      <c r="R297" t="s">
        <v>41</v>
      </c>
      <c r="S297" t="s">
        <v>47</v>
      </c>
      <c r="T297" t="s">
        <v>50</v>
      </c>
      <c r="U297">
        <v>4</v>
      </c>
      <c r="V297">
        <v>2</v>
      </c>
      <c r="W297">
        <v>80</v>
      </c>
      <c r="X297">
        <v>80</v>
      </c>
      <c r="Y297">
        <f t="shared" si="9"/>
        <v>80</v>
      </c>
      <c r="Z297">
        <f t="shared" si="10"/>
        <v>72</v>
      </c>
      <c r="AA297" s="10">
        <v>1</v>
      </c>
      <c r="AC297" s="10">
        <v>0.9</v>
      </c>
      <c r="AG297" t="s">
        <v>1790</v>
      </c>
      <c r="AH297" t="s">
        <v>213</v>
      </c>
      <c r="AS297" t="s">
        <v>222</v>
      </c>
      <c r="AT297" t="s">
        <v>849</v>
      </c>
      <c r="AV297" t="s">
        <v>1803</v>
      </c>
      <c r="AW297" t="s">
        <v>1815</v>
      </c>
      <c r="AX297" t="s">
        <v>1816</v>
      </c>
      <c r="AY297" t="s">
        <v>1814</v>
      </c>
      <c r="AZ297" t="s">
        <v>76</v>
      </c>
    </row>
    <row r="298" spans="1:52" x14ac:dyDescent="0.2">
      <c r="A298" t="s">
        <v>509</v>
      </c>
      <c r="B298" t="s">
        <v>508</v>
      </c>
      <c r="C298" t="s">
        <v>513</v>
      </c>
      <c r="D298">
        <v>2013</v>
      </c>
      <c r="E298" t="s">
        <v>811</v>
      </c>
      <c r="F298" t="s">
        <v>820</v>
      </c>
      <c r="G298" t="s">
        <v>1019</v>
      </c>
      <c r="H298" t="s">
        <v>814</v>
      </c>
      <c r="I298" t="s">
        <v>512</v>
      </c>
      <c r="J298" t="s">
        <v>83</v>
      </c>
      <c r="K298" t="s">
        <v>35</v>
      </c>
      <c r="L298" t="s">
        <v>12</v>
      </c>
      <c r="O298" s="18" t="s">
        <v>20</v>
      </c>
      <c r="P298" s="18" t="s">
        <v>27</v>
      </c>
      <c r="Q298" t="s">
        <v>38</v>
      </c>
      <c r="R298" t="s">
        <v>41</v>
      </c>
      <c r="S298" t="s">
        <v>47</v>
      </c>
      <c r="T298" t="s">
        <v>50</v>
      </c>
      <c r="U298">
        <v>4</v>
      </c>
      <c r="V298">
        <v>2</v>
      </c>
      <c r="W298">
        <v>80</v>
      </c>
      <c r="X298">
        <v>80</v>
      </c>
      <c r="Y298">
        <f t="shared" si="9"/>
        <v>32</v>
      </c>
      <c r="Z298">
        <f t="shared" si="10"/>
        <v>32</v>
      </c>
      <c r="AA298" s="10">
        <v>0.4</v>
      </c>
      <c r="AC298" s="10">
        <v>0.4</v>
      </c>
      <c r="AG298" t="s">
        <v>1790</v>
      </c>
      <c r="AH298" t="s">
        <v>213</v>
      </c>
      <c r="AS298" t="s">
        <v>222</v>
      </c>
      <c r="AT298" t="s">
        <v>849</v>
      </c>
      <c r="AV298" t="s">
        <v>1803</v>
      </c>
      <c r="AW298" t="s">
        <v>1815</v>
      </c>
      <c r="AX298" t="s">
        <v>1816</v>
      </c>
      <c r="AY298" t="s">
        <v>1814</v>
      </c>
      <c r="AZ298" t="s">
        <v>76</v>
      </c>
    </row>
    <row r="299" spans="1:52" x14ac:dyDescent="0.2">
      <c r="A299" t="s">
        <v>509</v>
      </c>
      <c r="B299" t="s">
        <v>508</v>
      </c>
      <c r="C299" t="s">
        <v>513</v>
      </c>
      <c r="D299">
        <v>2013</v>
      </c>
      <c r="E299" t="s">
        <v>811</v>
      </c>
      <c r="F299" t="s">
        <v>812</v>
      </c>
      <c r="G299" t="s">
        <v>1020</v>
      </c>
      <c r="H299" t="s">
        <v>815</v>
      </c>
      <c r="I299" t="s">
        <v>512</v>
      </c>
      <c r="J299" t="s">
        <v>83</v>
      </c>
      <c r="K299" t="s">
        <v>35</v>
      </c>
      <c r="L299" t="s">
        <v>12</v>
      </c>
      <c r="O299" s="18" t="s">
        <v>20</v>
      </c>
      <c r="P299" s="18" t="s">
        <v>27</v>
      </c>
      <c r="Q299" t="s">
        <v>38</v>
      </c>
      <c r="R299" t="s">
        <v>821</v>
      </c>
      <c r="S299" t="s">
        <v>47</v>
      </c>
      <c r="T299" t="s">
        <v>49</v>
      </c>
      <c r="U299">
        <v>5</v>
      </c>
      <c r="V299">
        <v>3</v>
      </c>
      <c r="W299">
        <v>36</v>
      </c>
      <c r="X299">
        <v>36</v>
      </c>
      <c r="AA299">
        <v>10.443262411347501</v>
      </c>
      <c r="AB299">
        <v>1.3404255319149001</v>
      </c>
      <c r="AC299">
        <v>11.709219858156001</v>
      </c>
      <c r="AD299">
        <v>1.63829787234043</v>
      </c>
      <c r="AE299" t="s">
        <v>71</v>
      </c>
      <c r="AF299" t="s">
        <v>61</v>
      </c>
      <c r="AG299" t="str">
        <f>IF(AE299="mean", "mean", "")</f>
        <v>mean</v>
      </c>
      <c r="AH299" t="s">
        <v>213</v>
      </c>
      <c r="AS299" t="s">
        <v>222</v>
      </c>
      <c r="AT299" t="s">
        <v>849</v>
      </c>
      <c r="AV299" t="s">
        <v>1803</v>
      </c>
      <c r="AW299" t="s">
        <v>1815</v>
      </c>
      <c r="AX299" t="s">
        <v>1816</v>
      </c>
      <c r="AY299" t="s">
        <v>1814</v>
      </c>
      <c r="AZ299" t="s">
        <v>76</v>
      </c>
    </row>
    <row r="300" spans="1:52" x14ac:dyDescent="0.2">
      <c r="A300" t="s">
        <v>509</v>
      </c>
      <c r="B300" t="s">
        <v>508</v>
      </c>
      <c r="C300" t="s">
        <v>513</v>
      </c>
      <c r="D300">
        <v>2013</v>
      </c>
      <c r="E300" t="s">
        <v>811</v>
      </c>
      <c r="F300" t="s">
        <v>812</v>
      </c>
      <c r="G300" t="s">
        <v>1021</v>
      </c>
      <c r="H300" t="s">
        <v>816</v>
      </c>
      <c r="I300" t="s">
        <v>512</v>
      </c>
      <c r="J300" t="s">
        <v>83</v>
      </c>
      <c r="K300" t="s">
        <v>35</v>
      </c>
      <c r="L300" t="s">
        <v>12</v>
      </c>
      <c r="O300" s="18" t="s">
        <v>20</v>
      </c>
      <c r="P300" s="18" t="s">
        <v>27</v>
      </c>
      <c r="Q300" t="s">
        <v>38</v>
      </c>
      <c r="R300" t="s">
        <v>41</v>
      </c>
      <c r="S300" t="s">
        <v>47</v>
      </c>
      <c r="T300" t="s">
        <v>49</v>
      </c>
      <c r="U300">
        <v>5</v>
      </c>
      <c r="V300">
        <v>4</v>
      </c>
      <c r="W300">
        <v>50</v>
      </c>
      <c r="X300">
        <v>50</v>
      </c>
      <c r="Y300">
        <f>X300*AA300</f>
        <v>6.6147859922179002</v>
      </c>
      <c r="Z300">
        <f>W300*AC300</f>
        <v>8.3657587548637995</v>
      </c>
      <c r="AA300">
        <v>0.13229571984435801</v>
      </c>
      <c r="AB300" s="10"/>
      <c r="AC300">
        <v>0.167315175097276</v>
      </c>
      <c r="AD300" s="10"/>
      <c r="AG300" t="s">
        <v>1790</v>
      </c>
      <c r="AH300" t="s">
        <v>213</v>
      </c>
      <c r="AS300" t="s">
        <v>849</v>
      </c>
      <c r="AT300" t="s">
        <v>849</v>
      </c>
      <c r="AV300" t="s">
        <v>1803</v>
      </c>
      <c r="AW300" t="s">
        <v>1815</v>
      </c>
      <c r="AX300" t="s">
        <v>1816</v>
      </c>
      <c r="AY300" t="s">
        <v>1814</v>
      </c>
      <c r="AZ300" t="s">
        <v>76</v>
      </c>
    </row>
    <row r="301" spans="1:52" x14ac:dyDescent="0.2">
      <c r="A301" t="s">
        <v>509</v>
      </c>
      <c r="B301" t="s">
        <v>508</v>
      </c>
      <c r="C301" t="s">
        <v>513</v>
      </c>
      <c r="D301">
        <v>2013</v>
      </c>
      <c r="E301" t="s">
        <v>811</v>
      </c>
      <c r="F301" t="s">
        <v>812</v>
      </c>
      <c r="G301" t="s">
        <v>1022</v>
      </c>
      <c r="H301" t="s">
        <v>817</v>
      </c>
      <c r="I301" t="s">
        <v>512</v>
      </c>
      <c r="J301" t="s">
        <v>83</v>
      </c>
      <c r="K301" t="s">
        <v>35</v>
      </c>
      <c r="L301" t="s">
        <v>12</v>
      </c>
      <c r="O301" s="18" t="s">
        <v>20</v>
      </c>
      <c r="P301" s="18" t="s">
        <v>27</v>
      </c>
      <c r="Q301" t="s">
        <v>38</v>
      </c>
      <c r="R301" t="s">
        <v>41</v>
      </c>
      <c r="S301" t="s">
        <v>47</v>
      </c>
      <c r="T301" t="s">
        <v>49</v>
      </c>
      <c r="U301">
        <v>6</v>
      </c>
      <c r="V301">
        <v>5</v>
      </c>
      <c r="W301">
        <v>50</v>
      </c>
      <c r="X301">
        <v>50</v>
      </c>
      <c r="Y301">
        <f>X301*AA301</f>
        <v>6.2992125984251999</v>
      </c>
      <c r="Z301">
        <f>W301*AC301</f>
        <v>13.582677000000002</v>
      </c>
      <c r="AA301">
        <v>0.12598425196850399</v>
      </c>
      <c r="AB301" s="10"/>
      <c r="AC301" s="7">
        <v>0.27165354000000003</v>
      </c>
      <c r="AD301" s="10"/>
      <c r="AG301" t="s">
        <v>1790</v>
      </c>
      <c r="AH301" t="s">
        <v>213</v>
      </c>
      <c r="AS301" t="s">
        <v>849</v>
      </c>
      <c r="AT301" t="s">
        <v>849</v>
      </c>
      <c r="AV301" t="s">
        <v>1803</v>
      </c>
      <c r="AW301" t="s">
        <v>1815</v>
      </c>
      <c r="AX301" t="s">
        <v>1816</v>
      </c>
      <c r="AY301" t="s">
        <v>1814</v>
      </c>
      <c r="AZ301" t="s">
        <v>76</v>
      </c>
    </row>
    <row r="302" spans="1:52" x14ac:dyDescent="0.2">
      <c r="A302" t="s">
        <v>509</v>
      </c>
      <c r="B302" t="s">
        <v>508</v>
      </c>
      <c r="C302" t="s">
        <v>513</v>
      </c>
      <c r="D302">
        <v>2013</v>
      </c>
      <c r="E302" t="s">
        <v>811</v>
      </c>
      <c r="F302" t="s">
        <v>812</v>
      </c>
      <c r="G302" t="s">
        <v>1022</v>
      </c>
      <c r="H302" t="s">
        <v>818</v>
      </c>
      <c r="I302" t="s">
        <v>512</v>
      </c>
      <c r="J302" t="s">
        <v>83</v>
      </c>
      <c r="K302" t="s">
        <v>35</v>
      </c>
      <c r="L302" t="s">
        <v>12</v>
      </c>
      <c r="O302" s="18" t="s">
        <v>20</v>
      </c>
      <c r="P302" s="18" t="s">
        <v>27</v>
      </c>
      <c r="Q302" t="s">
        <v>38</v>
      </c>
      <c r="R302" t="s">
        <v>41</v>
      </c>
      <c r="S302" t="s">
        <v>47</v>
      </c>
      <c r="T302" t="s">
        <v>49</v>
      </c>
      <c r="U302">
        <v>6</v>
      </c>
      <c r="V302">
        <v>5</v>
      </c>
      <c r="W302">
        <v>50</v>
      </c>
      <c r="X302">
        <v>50</v>
      </c>
      <c r="Y302">
        <f>X302*AA302</f>
        <v>9.2519685039370003</v>
      </c>
      <c r="Z302">
        <f>W302*AC302</f>
        <v>13.582677000000002</v>
      </c>
      <c r="AA302">
        <v>0.18503937007874</v>
      </c>
      <c r="AB302" s="10"/>
      <c r="AC302" s="7">
        <v>0.27165354000000003</v>
      </c>
      <c r="AD302" s="10"/>
      <c r="AG302" t="s">
        <v>1790</v>
      </c>
      <c r="AH302" t="s">
        <v>213</v>
      </c>
      <c r="AS302" t="s">
        <v>849</v>
      </c>
      <c r="AT302" t="s">
        <v>849</v>
      </c>
      <c r="AV302" t="s">
        <v>1803</v>
      </c>
      <c r="AW302" t="s">
        <v>1815</v>
      </c>
      <c r="AX302" t="s">
        <v>1816</v>
      </c>
      <c r="AY302" t="s">
        <v>1814</v>
      </c>
      <c r="AZ302" t="s">
        <v>76</v>
      </c>
    </row>
    <row r="303" spans="1:52" x14ac:dyDescent="0.2">
      <c r="A303" t="s">
        <v>509</v>
      </c>
      <c r="B303" t="s">
        <v>508</v>
      </c>
      <c r="C303" t="s">
        <v>513</v>
      </c>
      <c r="D303">
        <v>2013</v>
      </c>
      <c r="E303" t="s">
        <v>811</v>
      </c>
      <c r="F303" t="s">
        <v>812</v>
      </c>
      <c r="G303" t="s">
        <v>1023</v>
      </c>
      <c r="H303" t="s">
        <v>822</v>
      </c>
      <c r="I303" t="s">
        <v>512</v>
      </c>
      <c r="J303" t="s">
        <v>83</v>
      </c>
      <c r="K303" t="s">
        <v>35</v>
      </c>
      <c r="L303" t="s">
        <v>12</v>
      </c>
      <c r="O303" s="18" t="s">
        <v>20</v>
      </c>
      <c r="P303" s="18" t="s">
        <v>27</v>
      </c>
      <c r="Q303" t="s">
        <v>38</v>
      </c>
      <c r="R303" t="s">
        <v>41</v>
      </c>
      <c r="S303" t="s">
        <v>47</v>
      </c>
      <c r="T303" t="s">
        <v>49</v>
      </c>
      <c r="U303">
        <v>6</v>
      </c>
      <c r="V303">
        <v>6</v>
      </c>
      <c r="W303">
        <v>50</v>
      </c>
      <c r="X303">
        <v>50</v>
      </c>
      <c r="Y303">
        <f>X303*AA303</f>
        <v>6.6666666666666501</v>
      </c>
      <c r="Z303">
        <f>W303*AC303</f>
        <v>18.823529411764699</v>
      </c>
      <c r="AA303">
        <v>0.133333333333333</v>
      </c>
      <c r="AB303" s="10"/>
      <c r="AC303">
        <v>0.376470588235294</v>
      </c>
      <c r="AD303" s="10"/>
      <c r="AG303" t="s">
        <v>1790</v>
      </c>
      <c r="AH303" t="s">
        <v>213</v>
      </c>
      <c r="AS303" t="s">
        <v>849</v>
      </c>
      <c r="AT303" t="s">
        <v>849</v>
      </c>
      <c r="AV303" t="s">
        <v>1803</v>
      </c>
      <c r="AW303" t="s">
        <v>1815</v>
      </c>
      <c r="AX303" t="s">
        <v>1816</v>
      </c>
      <c r="AY303" t="s">
        <v>1814</v>
      </c>
      <c r="AZ303" t="s">
        <v>76</v>
      </c>
    </row>
    <row r="304" spans="1:52" x14ac:dyDescent="0.2">
      <c r="A304" t="s">
        <v>509</v>
      </c>
      <c r="B304" t="s">
        <v>508</v>
      </c>
      <c r="C304" t="s">
        <v>513</v>
      </c>
      <c r="D304">
        <v>2013</v>
      </c>
      <c r="E304" t="s">
        <v>811</v>
      </c>
      <c r="F304" t="s">
        <v>812</v>
      </c>
      <c r="G304" t="s">
        <v>1023</v>
      </c>
      <c r="H304" t="s">
        <v>823</v>
      </c>
      <c r="I304" t="s">
        <v>512</v>
      </c>
      <c r="J304" t="s">
        <v>83</v>
      </c>
      <c r="K304" t="s">
        <v>35</v>
      </c>
      <c r="L304" t="s">
        <v>12</v>
      </c>
      <c r="O304" s="18" t="s">
        <v>20</v>
      </c>
      <c r="P304" s="18" t="s">
        <v>27</v>
      </c>
      <c r="Q304" t="s">
        <v>38</v>
      </c>
      <c r="R304" t="s">
        <v>41</v>
      </c>
      <c r="S304" t="s">
        <v>47</v>
      </c>
      <c r="T304" t="s">
        <v>49</v>
      </c>
      <c r="U304">
        <v>6</v>
      </c>
      <c r="V304">
        <v>6</v>
      </c>
      <c r="W304">
        <v>50</v>
      </c>
      <c r="X304">
        <v>50</v>
      </c>
      <c r="Y304">
        <f>X304*AA304</f>
        <v>12.94117647058825</v>
      </c>
      <c r="Z304">
        <f>W304*AC304</f>
        <v>18.823529411764699</v>
      </c>
      <c r="AA304">
        <v>0.25882352941176501</v>
      </c>
      <c r="AB304" s="10"/>
      <c r="AC304">
        <v>0.376470588235294</v>
      </c>
      <c r="AD304" s="10"/>
      <c r="AG304" t="s">
        <v>1790</v>
      </c>
      <c r="AH304" t="s">
        <v>213</v>
      </c>
      <c r="AS304" t="s">
        <v>849</v>
      </c>
      <c r="AT304" t="s">
        <v>849</v>
      </c>
      <c r="AV304" t="s">
        <v>1803</v>
      </c>
      <c r="AW304" t="s">
        <v>1815</v>
      </c>
      <c r="AX304" t="s">
        <v>1816</v>
      </c>
      <c r="AY304" t="s">
        <v>1814</v>
      </c>
      <c r="AZ304" t="s">
        <v>76</v>
      </c>
    </row>
    <row r="305" spans="1:52" x14ac:dyDescent="0.2">
      <c r="A305" t="s">
        <v>828</v>
      </c>
      <c r="B305" t="s">
        <v>829</v>
      </c>
      <c r="C305" t="s">
        <v>830</v>
      </c>
      <c r="D305">
        <v>2018</v>
      </c>
      <c r="E305" t="s">
        <v>827</v>
      </c>
      <c r="F305" t="s">
        <v>2305</v>
      </c>
      <c r="G305" t="s">
        <v>1024</v>
      </c>
      <c r="H305" t="s">
        <v>831</v>
      </c>
      <c r="I305" t="s">
        <v>1781</v>
      </c>
      <c r="J305" t="s">
        <v>31</v>
      </c>
      <c r="K305" t="s">
        <v>35</v>
      </c>
      <c r="L305" t="s">
        <v>11</v>
      </c>
      <c r="M305" t="s">
        <v>18</v>
      </c>
      <c r="N305">
        <v>0</v>
      </c>
      <c r="O305" s="18" t="s">
        <v>20</v>
      </c>
      <c r="P305" s="18" t="s">
        <v>25</v>
      </c>
      <c r="S305" t="s">
        <v>48</v>
      </c>
      <c r="T305" t="s">
        <v>371</v>
      </c>
      <c r="V305" t="s">
        <v>832</v>
      </c>
      <c r="W305">
        <v>28</v>
      </c>
      <c r="X305">
        <v>28</v>
      </c>
      <c r="AA305" s="10"/>
      <c r="AB305" s="10"/>
      <c r="AC305" s="10"/>
      <c r="AD305" s="10"/>
      <c r="AG305" t="s">
        <v>67</v>
      </c>
      <c r="AH305" t="s">
        <v>214</v>
      </c>
      <c r="AK305">
        <v>7.0000000000000007E-2</v>
      </c>
      <c r="AL305">
        <v>53</v>
      </c>
      <c r="AM305">
        <v>56</v>
      </c>
      <c r="AS305" t="s">
        <v>849</v>
      </c>
      <c r="AT305" t="s">
        <v>849</v>
      </c>
      <c r="AV305" t="s">
        <v>1803</v>
      </c>
      <c r="AW305" t="s">
        <v>1815</v>
      </c>
      <c r="AX305" t="s">
        <v>1819</v>
      </c>
      <c r="AY305" t="s">
        <v>1806</v>
      </c>
      <c r="AZ305" t="s">
        <v>76</v>
      </c>
    </row>
    <row r="306" spans="1:52" x14ac:dyDescent="0.2">
      <c r="A306" t="s">
        <v>828</v>
      </c>
      <c r="B306" t="s">
        <v>829</v>
      </c>
      <c r="C306" t="s">
        <v>830</v>
      </c>
      <c r="D306">
        <v>2018</v>
      </c>
      <c r="E306" t="s">
        <v>827</v>
      </c>
      <c r="F306" t="s">
        <v>2305</v>
      </c>
      <c r="G306" t="s">
        <v>1024</v>
      </c>
      <c r="H306" t="s">
        <v>833</v>
      </c>
      <c r="I306" t="s">
        <v>1781</v>
      </c>
      <c r="J306" t="s">
        <v>31</v>
      </c>
      <c r="K306" t="s">
        <v>35</v>
      </c>
      <c r="L306" t="s">
        <v>11</v>
      </c>
      <c r="M306" t="s">
        <v>18</v>
      </c>
      <c r="N306">
        <v>0</v>
      </c>
      <c r="O306" s="18" t="s">
        <v>20</v>
      </c>
      <c r="P306" s="18" t="s">
        <v>25</v>
      </c>
      <c r="S306" t="s">
        <v>48</v>
      </c>
      <c r="T306" t="s">
        <v>371</v>
      </c>
      <c r="V306" t="s">
        <v>832</v>
      </c>
      <c r="W306">
        <v>28</v>
      </c>
      <c r="X306">
        <v>28</v>
      </c>
      <c r="AA306" s="10"/>
      <c r="AB306" s="10"/>
      <c r="AD306" s="10"/>
      <c r="AG306" t="s">
        <v>67</v>
      </c>
      <c r="AH306" t="s">
        <v>214</v>
      </c>
      <c r="AK306">
        <v>0.64</v>
      </c>
      <c r="AL306">
        <v>53</v>
      </c>
      <c r="AM306">
        <v>56</v>
      </c>
      <c r="AS306" t="s">
        <v>849</v>
      </c>
      <c r="AT306" t="s">
        <v>849</v>
      </c>
      <c r="AV306" t="s">
        <v>1803</v>
      </c>
      <c r="AW306" t="s">
        <v>1815</v>
      </c>
      <c r="AX306" t="s">
        <v>1819</v>
      </c>
      <c r="AY306" t="s">
        <v>1806</v>
      </c>
      <c r="AZ306" t="s">
        <v>76</v>
      </c>
    </row>
    <row r="307" spans="1:52" x14ac:dyDescent="0.2">
      <c r="A307" t="s">
        <v>828</v>
      </c>
      <c r="B307" t="s">
        <v>829</v>
      </c>
      <c r="C307" t="s">
        <v>830</v>
      </c>
      <c r="D307">
        <v>2018</v>
      </c>
      <c r="E307" t="s">
        <v>827</v>
      </c>
      <c r="F307" t="s">
        <v>2305</v>
      </c>
      <c r="G307" t="s">
        <v>1024</v>
      </c>
      <c r="H307" t="s">
        <v>834</v>
      </c>
      <c r="I307" t="s">
        <v>1781</v>
      </c>
      <c r="J307" t="s">
        <v>31</v>
      </c>
      <c r="K307" t="s">
        <v>35</v>
      </c>
      <c r="L307" t="s">
        <v>11</v>
      </c>
      <c r="M307" t="s">
        <v>18</v>
      </c>
      <c r="N307">
        <v>0</v>
      </c>
      <c r="O307" s="18" t="s">
        <v>20</v>
      </c>
      <c r="P307" s="18" t="s">
        <v>25</v>
      </c>
      <c r="S307" t="s">
        <v>48</v>
      </c>
      <c r="T307" t="s">
        <v>371</v>
      </c>
      <c r="V307" t="s">
        <v>832</v>
      </c>
      <c r="W307">
        <v>28</v>
      </c>
      <c r="X307">
        <v>28</v>
      </c>
      <c r="AA307" s="10"/>
      <c r="AB307" s="10"/>
      <c r="AD307" s="10"/>
      <c r="AG307" t="s">
        <v>67</v>
      </c>
      <c r="AH307" t="s">
        <v>214</v>
      </c>
      <c r="AK307">
        <v>-0.1</v>
      </c>
      <c r="AL307">
        <v>53</v>
      </c>
      <c r="AM307">
        <v>56</v>
      </c>
      <c r="AS307" t="s">
        <v>849</v>
      </c>
      <c r="AT307" t="s">
        <v>849</v>
      </c>
      <c r="AV307" t="s">
        <v>1803</v>
      </c>
      <c r="AW307" t="s">
        <v>1815</v>
      </c>
      <c r="AX307" t="s">
        <v>1819</v>
      </c>
      <c r="AY307" t="s">
        <v>1806</v>
      </c>
      <c r="AZ307" t="s">
        <v>76</v>
      </c>
    </row>
    <row r="308" spans="1:52" x14ac:dyDescent="0.2">
      <c r="A308" t="s">
        <v>828</v>
      </c>
      <c r="B308" t="s">
        <v>829</v>
      </c>
      <c r="C308" t="s">
        <v>830</v>
      </c>
      <c r="D308">
        <v>2018</v>
      </c>
      <c r="E308" t="s">
        <v>827</v>
      </c>
      <c r="F308" t="s">
        <v>2305</v>
      </c>
      <c r="G308" t="s">
        <v>1024</v>
      </c>
      <c r="H308" t="s">
        <v>835</v>
      </c>
      <c r="I308" t="s">
        <v>1781</v>
      </c>
      <c r="J308" t="s">
        <v>31</v>
      </c>
      <c r="K308" t="s">
        <v>35</v>
      </c>
      <c r="L308" t="s">
        <v>11</v>
      </c>
      <c r="M308" t="s">
        <v>18</v>
      </c>
      <c r="N308">
        <v>0</v>
      </c>
      <c r="O308" s="18" t="s">
        <v>20</v>
      </c>
      <c r="P308" s="18" t="s">
        <v>25</v>
      </c>
      <c r="S308" t="s">
        <v>48</v>
      </c>
      <c r="T308" t="s">
        <v>371</v>
      </c>
      <c r="V308" t="s">
        <v>832</v>
      </c>
      <c r="W308">
        <v>28</v>
      </c>
      <c r="X308">
        <v>28</v>
      </c>
      <c r="AA308" s="10"/>
      <c r="AB308" s="10"/>
      <c r="AD308" s="10"/>
      <c r="AG308" t="s">
        <v>67</v>
      </c>
      <c r="AH308" t="s">
        <v>214</v>
      </c>
      <c r="AK308">
        <v>0.4</v>
      </c>
      <c r="AL308">
        <v>53</v>
      </c>
      <c r="AM308">
        <v>56</v>
      </c>
      <c r="AS308" t="s">
        <v>849</v>
      </c>
      <c r="AT308" t="s">
        <v>849</v>
      </c>
      <c r="AV308" t="s">
        <v>1803</v>
      </c>
      <c r="AW308" t="s">
        <v>1815</v>
      </c>
      <c r="AX308" t="s">
        <v>1819</v>
      </c>
      <c r="AY308" t="s">
        <v>1806</v>
      </c>
      <c r="AZ308" t="s">
        <v>76</v>
      </c>
    </row>
    <row r="309" spans="1:52" x14ac:dyDescent="0.2">
      <c r="A309" t="s">
        <v>828</v>
      </c>
      <c r="B309" t="s">
        <v>829</v>
      </c>
      <c r="C309" t="s">
        <v>830</v>
      </c>
      <c r="D309">
        <v>2018</v>
      </c>
      <c r="E309" t="s">
        <v>827</v>
      </c>
      <c r="F309" t="s">
        <v>2306</v>
      </c>
      <c r="G309" t="s">
        <v>1025</v>
      </c>
      <c r="H309" t="s">
        <v>836</v>
      </c>
      <c r="I309" t="s">
        <v>1781</v>
      </c>
      <c r="J309" t="s">
        <v>31</v>
      </c>
      <c r="K309" t="s">
        <v>35</v>
      </c>
      <c r="L309" t="s">
        <v>11</v>
      </c>
      <c r="M309" t="s">
        <v>18</v>
      </c>
      <c r="N309">
        <v>0</v>
      </c>
      <c r="O309" s="18" t="s">
        <v>20</v>
      </c>
      <c r="P309" s="18" t="s">
        <v>25</v>
      </c>
      <c r="S309" t="s">
        <v>48</v>
      </c>
      <c r="T309" t="s">
        <v>371</v>
      </c>
      <c r="V309" t="s">
        <v>832</v>
      </c>
      <c r="W309">
        <v>31.5</v>
      </c>
      <c r="X309">
        <v>31.5</v>
      </c>
      <c r="AA309" s="10"/>
      <c r="AB309" s="10"/>
      <c r="AD309" s="10"/>
      <c r="AG309" t="s">
        <v>67</v>
      </c>
      <c r="AH309" t="s">
        <v>214</v>
      </c>
      <c r="AK309">
        <v>1.39</v>
      </c>
      <c r="AL309">
        <v>60</v>
      </c>
      <c r="AM309">
        <v>63</v>
      </c>
      <c r="AS309" t="s">
        <v>849</v>
      </c>
      <c r="AT309" t="s">
        <v>849</v>
      </c>
      <c r="AV309" t="s">
        <v>1803</v>
      </c>
      <c r="AW309" t="s">
        <v>1815</v>
      </c>
      <c r="AX309" t="s">
        <v>1819</v>
      </c>
      <c r="AY309" t="s">
        <v>1806</v>
      </c>
      <c r="AZ309" t="s">
        <v>76</v>
      </c>
    </row>
    <row r="310" spans="1:52" x14ac:dyDescent="0.2">
      <c r="A310" t="s">
        <v>828</v>
      </c>
      <c r="B310" t="s">
        <v>829</v>
      </c>
      <c r="C310" t="s">
        <v>830</v>
      </c>
      <c r="D310">
        <v>2018</v>
      </c>
      <c r="E310" t="s">
        <v>827</v>
      </c>
      <c r="F310" t="s">
        <v>2306</v>
      </c>
      <c r="G310" t="s">
        <v>1025</v>
      </c>
      <c r="H310" t="s">
        <v>837</v>
      </c>
      <c r="I310" t="s">
        <v>1781</v>
      </c>
      <c r="J310" t="s">
        <v>31</v>
      </c>
      <c r="K310" t="s">
        <v>35</v>
      </c>
      <c r="L310" t="s">
        <v>11</v>
      </c>
      <c r="M310" t="s">
        <v>18</v>
      </c>
      <c r="N310">
        <v>0</v>
      </c>
      <c r="O310" s="18" t="s">
        <v>20</v>
      </c>
      <c r="P310" s="18" t="s">
        <v>25</v>
      </c>
      <c r="S310" t="s">
        <v>48</v>
      </c>
      <c r="T310" t="s">
        <v>371</v>
      </c>
      <c r="V310" t="s">
        <v>832</v>
      </c>
      <c r="W310">
        <v>34.5</v>
      </c>
      <c r="X310">
        <v>34.5</v>
      </c>
      <c r="AA310" s="10"/>
      <c r="AB310" s="10"/>
      <c r="AD310" s="10"/>
      <c r="AG310" t="s">
        <v>67</v>
      </c>
      <c r="AH310" t="s">
        <v>214</v>
      </c>
      <c r="AK310">
        <v>0.53</v>
      </c>
      <c r="AL310">
        <v>66</v>
      </c>
      <c r="AM310">
        <v>69</v>
      </c>
      <c r="AS310" t="s">
        <v>849</v>
      </c>
      <c r="AT310" t="s">
        <v>849</v>
      </c>
      <c r="AV310" t="s">
        <v>1803</v>
      </c>
      <c r="AW310" t="s">
        <v>1815</v>
      </c>
      <c r="AX310" t="s">
        <v>1819</v>
      </c>
      <c r="AY310" t="s">
        <v>1806</v>
      </c>
      <c r="AZ310" t="s">
        <v>76</v>
      </c>
    </row>
    <row r="311" spans="1:52" x14ac:dyDescent="0.2">
      <c r="A311" t="s">
        <v>828</v>
      </c>
      <c r="B311" t="s">
        <v>829</v>
      </c>
      <c r="C311" t="s">
        <v>830</v>
      </c>
      <c r="D311">
        <v>2018</v>
      </c>
      <c r="E311" t="s">
        <v>827</v>
      </c>
      <c r="F311" t="s">
        <v>2306</v>
      </c>
      <c r="G311" t="s">
        <v>1025</v>
      </c>
      <c r="H311" t="s">
        <v>838</v>
      </c>
      <c r="I311" t="s">
        <v>1781</v>
      </c>
      <c r="J311" t="s">
        <v>31</v>
      </c>
      <c r="K311" t="s">
        <v>35</v>
      </c>
      <c r="L311" t="s">
        <v>11</v>
      </c>
      <c r="M311" t="s">
        <v>18</v>
      </c>
      <c r="N311">
        <v>0</v>
      </c>
      <c r="O311" s="18" t="s">
        <v>20</v>
      </c>
      <c r="P311" s="18" t="s">
        <v>25</v>
      </c>
      <c r="S311" t="s">
        <v>48</v>
      </c>
      <c r="T311" t="s">
        <v>371</v>
      </c>
      <c r="V311" t="s">
        <v>832</v>
      </c>
      <c r="W311">
        <v>34.5</v>
      </c>
      <c r="X311">
        <v>34.5</v>
      </c>
      <c r="AA311" s="10"/>
      <c r="AB311" s="10"/>
      <c r="AC311" s="10"/>
      <c r="AD311" s="10"/>
      <c r="AG311" t="s">
        <v>67</v>
      </c>
      <c r="AH311" t="s">
        <v>214</v>
      </c>
      <c r="AK311">
        <v>1.51</v>
      </c>
      <c r="AL311">
        <v>66</v>
      </c>
      <c r="AM311">
        <v>69</v>
      </c>
      <c r="AS311" t="s">
        <v>849</v>
      </c>
      <c r="AT311" t="s">
        <v>849</v>
      </c>
      <c r="AV311" t="s">
        <v>1803</v>
      </c>
      <c r="AW311" t="s">
        <v>1815</v>
      </c>
      <c r="AX311" t="s">
        <v>1819</v>
      </c>
      <c r="AY311" t="s">
        <v>1806</v>
      </c>
      <c r="AZ311" t="s">
        <v>76</v>
      </c>
    </row>
    <row r="312" spans="1:52" x14ac:dyDescent="0.2">
      <c r="A312" t="s">
        <v>828</v>
      </c>
      <c r="B312" t="s">
        <v>829</v>
      </c>
      <c r="C312" t="s">
        <v>830</v>
      </c>
      <c r="D312">
        <v>2018</v>
      </c>
      <c r="E312" t="s">
        <v>827</v>
      </c>
      <c r="F312" t="s">
        <v>2306</v>
      </c>
      <c r="G312" t="s">
        <v>1025</v>
      </c>
      <c r="H312" t="s">
        <v>839</v>
      </c>
      <c r="I312" t="s">
        <v>1781</v>
      </c>
      <c r="J312" t="s">
        <v>31</v>
      </c>
      <c r="K312" t="s">
        <v>35</v>
      </c>
      <c r="L312" t="s">
        <v>11</v>
      </c>
      <c r="M312" t="s">
        <v>18</v>
      </c>
      <c r="N312">
        <v>0</v>
      </c>
      <c r="O312" s="18" t="s">
        <v>20</v>
      </c>
      <c r="P312" s="18" t="s">
        <v>25</v>
      </c>
      <c r="S312" t="s">
        <v>48</v>
      </c>
      <c r="T312" t="s">
        <v>371</v>
      </c>
      <c r="V312" t="s">
        <v>832</v>
      </c>
      <c r="W312">
        <v>34.5</v>
      </c>
      <c r="X312">
        <v>34.5</v>
      </c>
      <c r="AA312" s="10"/>
      <c r="AB312" s="10"/>
      <c r="AC312" s="10"/>
      <c r="AD312" s="10"/>
      <c r="AG312" t="s">
        <v>67</v>
      </c>
      <c r="AH312" t="s">
        <v>214</v>
      </c>
      <c r="AK312">
        <v>1</v>
      </c>
      <c r="AL312">
        <v>66</v>
      </c>
      <c r="AM312">
        <v>69</v>
      </c>
      <c r="AS312" t="s">
        <v>849</v>
      </c>
      <c r="AT312" t="s">
        <v>849</v>
      </c>
      <c r="AV312" t="s">
        <v>1803</v>
      </c>
      <c r="AW312" t="s">
        <v>1815</v>
      </c>
      <c r="AX312" t="s">
        <v>1819</v>
      </c>
      <c r="AY312" t="s">
        <v>1806</v>
      </c>
      <c r="AZ312" t="s">
        <v>76</v>
      </c>
    </row>
    <row r="313" spans="1:52" x14ac:dyDescent="0.2">
      <c r="A313" t="s">
        <v>828</v>
      </c>
      <c r="B313" t="s">
        <v>829</v>
      </c>
      <c r="C313" t="s">
        <v>830</v>
      </c>
      <c r="D313">
        <v>2018</v>
      </c>
      <c r="E313" t="s">
        <v>827</v>
      </c>
      <c r="F313" t="s">
        <v>2306</v>
      </c>
      <c r="G313" t="s">
        <v>1025</v>
      </c>
      <c r="H313" t="s">
        <v>840</v>
      </c>
      <c r="I313" t="s">
        <v>1781</v>
      </c>
      <c r="J313" t="s">
        <v>31</v>
      </c>
      <c r="K313" t="s">
        <v>35</v>
      </c>
      <c r="L313" t="s">
        <v>11</v>
      </c>
      <c r="M313" t="s">
        <v>18</v>
      </c>
      <c r="N313">
        <v>0</v>
      </c>
      <c r="O313" s="18" t="s">
        <v>20</v>
      </c>
      <c r="P313" s="18" t="s">
        <v>24</v>
      </c>
      <c r="S313" t="s">
        <v>48</v>
      </c>
      <c r="T313" t="s">
        <v>371</v>
      </c>
      <c r="V313" t="s">
        <v>832</v>
      </c>
      <c r="W313">
        <v>28.5</v>
      </c>
      <c r="X313">
        <v>28.5</v>
      </c>
      <c r="AA313" s="10"/>
      <c r="AB313" s="10"/>
      <c r="AC313" s="10"/>
      <c r="AD313" s="10"/>
      <c r="AG313" t="s">
        <v>67</v>
      </c>
      <c r="AH313" t="s">
        <v>214</v>
      </c>
      <c r="AK313">
        <v>1.54</v>
      </c>
      <c r="AL313">
        <v>54</v>
      </c>
      <c r="AM313">
        <v>57</v>
      </c>
      <c r="AS313" t="s">
        <v>849</v>
      </c>
      <c r="AT313" t="s">
        <v>849</v>
      </c>
      <c r="AV313" t="s">
        <v>1803</v>
      </c>
      <c r="AW313" t="s">
        <v>1815</v>
      </c>
      <c r="AX313" t="s">
        <v>1819</v>
      </c>
      <c r="AY313" t="s">
        <v>1806</v>
      </c>
      <c r="AZ313" t="s">
        <v>76</v>
      </c>
    </row>
    <row r="314" spans="1:52" x14ac:dyDescent="0.2">
      <c r="A314" t="s">
        <v>828</v>
      </c>
      <c r="B314" t="s">
        <v>829</v>
      </c>
      <c r="C314" t="s">
        <v>830</v>
      </c>
      <c r="D314">
        <v>2018</v>
      </c>
      <c r="E314" t="s">
        <v>827</v>
      </c>
      <c r="F314" t="s">
        <v>2306</v>
      </c>
      <c r="G314" t="s">
        <v>1025</v>
      </c>
      <c r="H314" t="s">
        <v>841</v>
      </c>
      <c r="I314" t="s">
        <v>1781</v>
      </c>
      <c r="J314" t="s">
        <v>31</v>
      </c>
      <c r="K314" t="s">
        <v>35</v>
      </c>
      <c r="L314" t="s">
        <v>11</v>
      </c>
      <c r="M314" t="s">
        <v>18</v>
      </c>
      <c r="N314">
        <v>0</v>
      </c>
      <c r="O314" s="18" t="s">
        <v>20</v>
      </c>
      <c r="P314" s="18" t="s">
        <v>24</v>
      </c>
      <c r="S314" t="s">
        <v>48</v>
      </c>
      <c r="T314" t="s">
        <v>371</v>
      </c>
      <c r="V314" t="s">
        <v>832</v>
      </c>
      <c r="W314">
        <v>12</v>
      </c>
      <c r="X314">
        <v>12</v>
      </c>
      <c r="AA314" s="10"/>
      <c r="AB314" s="10"/>
      <c r="AC314" s="10"/>
      <c r="AD314" s="10"/>
      <c r="AG314" t="s">
        <v>67</v>
      </c>
      <c r="AH314" t="s">
        <v>214</v>
      </c>
      <c r="AK314">
        <v>0.7</v>
      </c>
      <c r="AL314">
        <v>21</v>
      </c>
      <c r="AM314">
        <v>24</v>
      </c>
      <c r="AS314" t="s">
        <v>849</v>
      </c>
      <c r="AT314" t="s">
        <v>849</v>
      </c>
      <c r="AV314" t="s">
        <v>1803</v>
      </c>
      <c r="AW314" t="s">
        <v>1815</v>
      </c>
      <c r="AX314" t="s">
        <v>1819</v>
      </c>
      <c r="AY314" t="s">
        <v>1806</v>
      </c>
      <c r="AZ314" t="s">
        <v>76</v>
      </c>
    </row>
    <row r="315" spans="1:52" x14ac:dyDescent="0.2">
      <c r="A315" t="s">
        <v>828</v>
      </c>
      <c r="B315" t="s">
        <v>829</v>
      </c>
      <c r="C315" t="s">
        <v>830</v>
      </c>
      <c r="D315">
        <v>2018</v>
      </c>
      <c r="E315" t="s">
        <v>827</v>
      </c>
      <c r="F315" t="s">
        <v>2306</v>
      </c>
      <c r="G315" t="s">
        <v>1025</v>
      </c>
      <c r="H315" t="s">
        <v>842</v>
      </c>
      <c r="I315" t="s">
        <v>1781</v>
      </c>
      <c r="J315" t="s">
        <v>31</v>
      </c>
      <c r="K315" t="s">
        <v>35</v>
      </c>
      <c r="L315" t="s">
        <v>11</v>
      </c>
      <c r="M315" t="s">
        <v>18</v>
      </c>
      <c r="N315">
        <v>0</v>
      </c>
      <c r="O315" s="18" t="s">
        <v>20</v>
      </c>
      <c r="P315" s="18" t="s">
        <v>24</v>
      </c>
      <c r="S315" t="s">
        <v>48</v>
      </c>
      <c r="T315" t="s">
        <v>371</v>
      </c>
      <c r="V315" t="s">
        <v>832</v>
      </c>
      <c r="W315">
        <v>11.5</v>
      </c>
      <c r="X315">
        <v>11.5</v>
      </c>
      <c r="AA315" s="10"/>
      <c r="AB315" s="10"/>
      <c r="AC315" s="10"/>
      <c r="AD315" s="10"/>
      <c r="AG315" t="s">
        <v>67</v>
      </c>
      <c r="AH315" t="s">
        <v>214</v>
      </c>
      <c r="AK315">
        <v>0.48</v>
      </c>
      <c r="AL315">
        <v>20</v>
      </c>
      <c r="AM315">
        <v>23</v>
      </c>
      <c r="AS315" t="s">
        <v>849</v>
      </c>
      <c r="AT315" t="s">
        <v>849</v>
      </c>
      <c r="AV315" t="s">
        <v>1803</v>
      </c>
      <c r="AW315" t="s">
        <v>1815</v>
      </c>
      <c r="AX315" t="s">
        <v>1819</v>
      </c>
      <c r="AY315" t="s">
        <v>1806</v>
      </c>
      <c r="AZ315" t="s">
        <v>76</v>
      </c>
    </row>
    <row r="316" spans="1:52" x14ac:dyDescent="0.2">
      <c r="A316" t="s">
        <v>824</v>
      </c>
      <c r="B316" t="s">
        <v>825</v>
      </c>
      <c r="C316" t="s">
        <v>826</v>
      </c>
      <c r="D316">
        <v>2015</v>
      </c>
      <c r="E316" t="s">
        <v>1267</v>
      </c>
      <c r="F316" t="s">
        <v>843</v>
      </c>
      <c r="G316" t="s">
        <v>1026</v>
      </c>
      <c r="H316" t="s">
        <v>844</v>
      </c>
      <c r="I316" t="s">
        <v>440</v>
      </c>
      <c r="J316" t="s">
        <v>31</v>
      </c>
      <c r="K316" t="s">
        <v>35</v>
      </c>
      <c r="L316" t="s">
        <v>11</v>
      </c>
      <c r="M316" t="s">
        <v>16</v>
      </c>
      <c r="N316">
        <v>0</v>
      </c>
      <c r="O316" s="18" t="s">
        <v>21</v>
      </c>
      <c r="P316" s="18" t="s">
        <v>78</v>
      </c>
      <c r="S316" t="s">
        <v>47</v>
      </c>
      <c r="T316" t="s">
        <v>51</v>
      </c>
      <c r="U316">
        <v>1874</v>
      </c>
      <c r="W316">
        <v>84</v>
      </c>
      <c r="X316">
        <v>77</v>
      </c>
      <c r="Y316">
        <v>65</v>
      </c>
      <c r="Z316">
        <v>61</v>
      </c>
      <c r="AA316" s="10"/>
      <c r="AB316" s="10"/>
      <c r="AC316" s="10"/>
      <c r="AD316" s="10"/>
      <c r="AG316" t="s">
        <v>1790</v>
      </c>
      <c r="AH316" t="s">
        <v>213</v>
      </c>
      <c r="AS316" t="s">
        <v>849</v>
      </c>
      <c r="AT316" t="s">
        <v>849</v>
      </c>
      <c r="AV316" t="s">
        <v>1803</v>
      </c>
      <c r="AW316" t="s">
        <v>1815</v>
      </c>
      <c r="AX316" t="s">
        <v>1805</v>
      </c>
      <c r="AY316" t="s">
        <v>1806</v>
      </c>
      <c r="AZ316" t="s">
        <v>76</v>
      </c>
    </row>
    <row r="317" spans="1:52" x14ac:dyDescent="0.2">
      <c r="A317" t="s">
        <v>824</v>
      </c>
      <c r="B317" t="s">
        <v>825</v>
      </c>
      <c r="C317" t="s">
        <v>826</v>
      </c>
      <c r="D317">
        <v>2015</v>
      </c>
      <c r="E317" t="s">
        <v>1267</v>
      </c>
      <c r="F317" t="s">
        <v>843</v>
      </c>
      <c r="G317" t="s">
        <v>1026</v>
      </c>
      <c r="H317" t="s">
        <v>845</v>
      </c>
      <c r="I317" t="s">
        <v>440</v>
      </c>
      <c r="J317" t="s">
        <v>31</v>
      </c>
      <c r="K317" t="s">
        <v>35</v>
      </c>
      <c r="L317" t="s">
        <v>11</v>
      </c>
      <c r="M317" t="s">
        <v>16</v>
      </c>
      <c r="N317">
        <v>0</v>
      </c>
      <c r="O317" s="18" t="s">
        <v>21</v>
      </c>
      <c r="P317" s="18" t="s">
        <v>78</v>
      </c>
      <c r="S317" t="s">
        <v>47</v>
      </c>
      <c r="T317" t="s">
        <v>51</v>
      </c>
      <c r="U317">
        <v>1874</v>
      </c>
      <c r="W317">
        <v>65</v>
      </c>
      <c r="X317">
        <v>61</v>
      </c>
      <c r="Y317">
        <v>53</v>
      </c>
      <c r="Z317">
        <v>42</v>
      </c>
      <c r="AA317" s="10"/>
      <c r="AB317" s="10"/>
      <c r="AC317" s="10"/>
      <c r="AD317" s="10"/>
      <c r="AG317" t="s">
        <v>1790</v>
      </c>
      <c r="AH317" t="s">
        <v>213</v>
      </c>
      <c r="AS317" t="s">
        <v>849</v>
      </c>
      <c r="AT317" t="s">
        <v>849</v>
      </c>
      <c r="AV317" t="s">
        <v>1803</v>
      </c>
      <c r="AW317" t="s">
        <v>1815</v>
      </c>
      <c r="AX317" t="s">
        <v>1805</v>
      </c>
      <c r="AY317" t="s">
        <v>1806</v>
      </c>
      <c r="AZ317" t="s">
        <v>76</v>
      </c>
    </row>
    <row r="318" spans="1:52" x14ac:dyDescent="0.2">
      <c r="A318" t="s">
        <v>824</v>
      </c>
      <c r="B318" t="s">
        <v>825</v>
      </c>
      <c r="C318" t="s">
        <v>826</v>
      </c>
      <c r="D318">
        <v>2015</v>
      </c>
      <c r="E318" t="s">
        <v>1267</v>
      </c>
      <c r="F318" t="s">
        <v>843</v>
      </c>
      <c r="G318" t="s">
        <v>1026</v>
      </c>
      <c r="H318" t="s">
        <v>846</v>
      </c>
      <c r="I318" t="s">
        <v>440</v>
      </c>
      <c r="J318" t="s">
        <v>31</v>
      </c>
      <c r="K318" t="s">
        <v>35</v>
      </c>
      <c r="L318" t="s">
        <v>11</v>
      </c>
      <c r="M318" t="s">
        <v>16</v>
      </c>
      <c r="N318">
        <v>0</v>
      </c>
      <c r="O318" s="18" t="s">
        <v>21</v>
      </c>
      <c r="P318" s="18" t="s">
        <v>78</v>
      </c>
      <c r="S318" t="s">
        <v>47</v>
      </c>
      <c r="T318" t="s">
        <v>371</v>
      </c>
      <c r="W318">
        <v>64</v>
      </c>
      <c r="X318">
        <v>56</v>
      </c>
      <c r="AA318">
        <v>0.88353593750000015</v>
      </c>
      <c r="AB318">
        <v>0.26132668988590868</v>
      </c>
      <c r="AC318" s="10">
        <v>0.93515000000000026</v>
      </c>
      <c r="AD318">
        <v>0.28631030400915969</v>
      </c>
      <c r="AE318" t="s">
        <v>71</v>
      </c>
      <c r="AF318" t="s">
        <v>61</v>
      </c>
      <c r="AG318" t="str">
        <f>IF(AE318="mean", "mean", "")</f>
        <v>mean</v>
      </c>
      <c r="AH318" t="s">
        <v>213</v>
      </c>
      <c r="AS318" t="s">
        <v>849</v>
      </c>
      <c r="AT318" t="s">
        <v>849</v>
      </c>
      <c r="AV318" t="s">
        <v>1803</v>
      </c>
      <c r="AW318" t="s">
        <v>1815</v>
      </c>
      <c r="AX318" t="s">
        <v>1805</v>
      </c>
      <c r="AY318" t="s">
        <v>1806</v>
      </c>
      <c r="AZ318" t="s">
        <v>76</v>
      </c>
    </row>
    <row r="319" spans="1:52" x14ac:dyDescent="0.2">
      <c r="A319" t="s">
        <v>824</v>
      </c>
      <c r="B319" t="s">
        <v>825</v>
      </c>
      <c r="C319" t="s">
        <v>826</v>
      </c>
      <c r="D319">
        <v>2015</v>
      </c>
      <c r="E319" t="s">
        <v>1267</v>
      </c>
      <c r="F319" t="s">
        <v>843</v>
      </c>
      <c r="G319" t="s">
        <v>1026</v>
      </c>
      <c r="H319" t="s">
        <v>847</v>
      </c>
      <c r="I319" t="s">
        <v>440</v>
      </c>
      <c r="J319" t="s">
        <v>31</v>
      </c>
      <c r="K319" t="s">
        <v>35</v>
      </c>
      <c r="L319" t="s">
        <v>11</v>
      </c>
      <c r="M319" t="s">
        <v>16</v>
      </c>
      <c r="N319">
        <v>0</v>
      </c>
      <c r="O319" s="18" t="s">
        <v>21</v>
      </c>
      <c r="P319" s="18" t="s">
        <v>23</v>
      </c>
      <c r="S319" t="s">
        <v>47</v>
      </c>
      <c r="T319" t="s">
        <v>371</v>
      </c>
      <c r="W319">
        <v>64</v>
      </c>
      <c r="X319">
        <v>56</v>
      </c>
      <c r="AA319" s="15">
        <v>8.5030444843749824E-3</v>
      </c>
      <c r="AB319">
        <v>0.94714871076569529</v>
      </c>
      <c r="AC319" s="10">
        <v>9.3108593089285721E-2</v>
      </c>
      <c r="AD319">
        <v>1.0223295221663316</v>
      </c>
      <c r="AE319" t="s">
        <v>71</v>
      </c>
      <c r="AF319" t="s">
        <v>61</v>
      </c>
      <c r="AG319" t="str">
        <f>IF(AE319="mean", "mean", "")</f>
        <v>mean</v>
      </c>
      <c r="AH319" t="s">
        <v>213</v>
      </c>
      <c r="AS319" t="s">
        <v>849</v>
      </c>
      <c r="AT319" t="s">
        <v>849</v>
      </c>
      <c r="AV319" t="s">
        <v>1803</v>
      </c>
      <c r="AW319" t="s">
        <v>1815</v>
      </c>
      <c r="AX319" t="s">
        <v>1805</v>
      </c>
      <c r="AY319" t="s">
        <v>1806</v>
      </c>
      <c r="AZ319" t="s">
        <v>76</v>
      </c>
    </row>
    <row r="320" spans="1:52" x14ac:dyDescent="0.2">
      <c r="A320" t="s">
        <v>824</v>
      </c>
      <c r="B320" t="s">
        <v>825</v>
      </c>
      <c r="C320" t="s">
        <v>826</v>
      </c>
      <c r="D320">
        <v>2015</v>
      </c>
      <c r="E320" t="s">
        <v>1267</v>
      </c>
      <c r="F320" t="s">
        <v>843</v>
      </c>
      <c r="G320" t="s">
        <v>1026</v>
      </c>
      <c r="H320" t="s">
        <v>848</v>
      </c>
      <c r="I320" t="s">
        <v>440</v>
      </c>
      <c r="J320" t="s">
        <v>31</v>
      </c>
      <c r="K320" t="s">
        <v>35</v>
      </c>
      <c r="L320" t="s">
        <v>11</v>
      </c>
      <c r="M320" t="s">
        <v>16</v>
      </c>
      <c r="N320">
        <v>0</v>
      </c>
      <c r="O320" s="18" t="s">
        <v>21</v>
      </c>
      <c r="P320" s="18" t="s">
        <v>23</v>
      </c>
      <c r="S320" t="s">
        <v>47</v>
      </c>
      <c r="T320" t="s">
        <v>371</v>
      </c>
      <c r="W320">
        <v>64</v>
      </c>
      <c r="X320">
        <v>56</v>
      </c>
      <c r="AA320">
        <v>9.8283546531250029E-2</v>
      </c>
      <c r="AB320">
        <v>0.91846233113781794</v>
      </c>
      <c r="AC320">
        <v>-9.0315449446428636E-2</v>
      </c>
      <c r="AD320">
        <v>0.88494964731832715</v>
      </c>
      <c r="AE320" t="s">
        <v>71</v>
      </c>
      <c r="AF320" t="s">
        <v>61</v>
      </c>
      <c r="AG320" t="str">
        <f>IF(AE320="mean", "mean", "")</f>
        <v>mean</v>
      </c>
      <c r="AH320" t="s">
        <v>213</v>
      </c>
      <c r="AS320" t="s">
        <v>849</v>
      </c>
      <c r="AT320" t="s">
        <v>849</v>
      </c>
      <c r="AV320" t="s">
        <v>1803</v>
      </c>
      <c r="AW320" t="s">
        <v>1815</v>
      </c>
      <c r="AX320" t="s">
        <v>1805</v>
      </c>
      <c r="AY320" t="s">
        <v>1806</v>
      </c>
      <c r="AZ320" t="s">
        <v>76</v>
      </c>
    </row>
    <row r="321" spans="1:52" x14ac:dyDescent="0.2">
      <c r="A321" t="s">
        <v>1028</v>
      </c>
      <c r="B321" t="s">
        <v>1029</v>
      </c>
      <c r="C321" t="s">
        <v>1030</v>
      </c>
      <c r="D321">
        <v>2005</v>
      </c>
      <c r="E321" t="s">
        <v>1268</v>
      </c>
      <c r="F321" t="s">
        <v>1334</v>
      </c>
      <c r="G321" t="s">
        <v>1407</v>
      </c>
      <c r="H321" t="s">
        <v>1489</v>
      </c>
      <c r="I321" t="s">
        <v>1782</v>
      </c>
      <c r="J321" t="s">
        <v>134</v>
      </c>
      <c r="K321" t="s">
        <v>34</v>
      </c>
      <c r="O321" s="18" t="s">
        <v>20</v>
      </c>
      <c r="P321" s="18" t="s">
        <v>27</v>
      </c>
      <c r="Q321" t="s">
        <v>38</v>
      </c>
      <c r="R321" t="s">
        <v>44</v>
      </c>
      <c r="S321" t="s">
        <v>47</v>
      </c>
      <c r="T321" t="s">
        <v>50</v>
      </c>
      <c r="U321">
        <v>69</v>
      </c>
      <c r="V321">
        <v>2</v>
      </c>
      <c r="W321">
        <v>309</v>
      </c>
      <c r="X321">
        <v>463</v>
      </c>
      <c r="Y321">
        <v>20</v>
      </c>
      <c r="Z321">
        <v>65</v>
      </c>
      <c r="AG321" t="s">
        <v>1790</v>
      </c>
      <c r="AH321" t="s">
        <v>213</v>
      </c>
      <c r="AS321" t="s">
        <v>222</v>
      </c>
      <c r="AT321" t="s">
        <v>849</v>
      </c>
      <c r="AV321" t="s">
        <v>1803</v>
      </c>
      <c r="AW321" t="s">
        <v>1807</v>
      </c>
      <c r="AX321" t="s">
        <v>1808</v>
      </c>
      <c r="AY321" t="s">
        <v>1818</v>
      </c>
      <c r="AZ321" t="s">
        <v>76</v>
      </c>
    </row>
    <row r="322" spans="1:52" x14ac:dyDescent="0.2">
      <c r="A322" t="s">
        <v>1028</v>
      </c>
      <c r="B322" t="s">
        <v>1029</v>
      </c>
      <c r="C322" t="s">
        <v>1030</v>
      </c>
      <c r="D322">
        <v>2005</v>
      </c>
      <c r="E322" t="s">
        <v>1268</v>
      </c>
      <c r="F322" t="s">
        <v>1334</v>
      </c>
      <c r="G322" t="s">
        <v>1407</v>
      </c>
      <c r="H322" t="s">
        <v>1490</v>
      </c>
      <c r="I322" t="s">
        <v>1782</v>
      </c>
      <c r="J322" t="s">
        <v>134</v>
      </c>
      <c r="K322" t="s">
        <v>34</v>
      </c>
      <c r="O322" s="18" t="s">
        <v>20</v>
      </c>
      <c r="P322" s="18" t="s">
        <v>27</v>
      </c>
      <c r="Q322" t="s">
        <v>38</v>
      </c>
      <c r="R322" t="s">
        <v>45</v>
      </c>
      <c r="S322" t="s">
        <v>47</v>
      </c>
      <c r="T322" t="s">
        <v>50</v>
      </c>
      <c r="U322">
        <v>69</v>
      </c>
      <c r="V322">
        <v>2</v>
      </c>
      <c r="W322">
        <v>309</v>
      </c>
      <c r="X322">
        <v>463</v>
      </c>
      <c r="AA322">
        <v>1.45</v>
      </c>
      <c r="AB322">
        <v>0.21</v>
      </c>
      <c r="AC322">
        <v>1.34</v>
      </c>
      <c r="AD322">
        <v>7.0000000000000007E-2</v>
      </c>
      <c r="AE322" t="s">
        <v>71</v>
      </c>
      <c r="AF322" t="s">
        <v>62</v>
      </c>
      <c r="AG322" t="str">
        <f>IF(AE322="mean", "mean", "")</f>
        <v>mean</v>
      </c>
      <c r="AH322" t="s">
        <v>213</v>
      </c>
      <c r="AS322" t="s">
        <v>222</v>
      </c>
      <c r="AT322" t="s">
        <v>849</v>
      </c>
      <c r="AV322" t="s">
        <v>1803</v>
      </c>
      <c r="AW322" t="s">
        <v>1807</v>
      </c>
      <c r="AX322" t="s">
        <v>1808</v>
      </c>
      <c r="AY322" t="s">
        <v>1818</v>
      </c>
      <c r="AZ322" t="s">
        <v>76</v>
      </c>
    </row>
    <row r="323" spans="1:52" x14ac:dyDescent="0.2">
      <c r="A323" t="s">
        <v>1028</v>
      </c>
      <c r="B323" t="s">
        <v>1029</v>
      </c>
      <c r="C323" t="s">
        <v>1030</v>
      </c>
      <c r="D323">
        <v>2005</v>
      </c>
      <c r="E323" t="s">
        <v>1268</v>
      </c>
      <c r="F323" t="s">
        <v>1334</v>
      </c>
      <c r="G323" t="s">
        <v>1407</v>
      </c>
      <c r="H323" t="s">
        <v>1491</v>
      </c>
      <c r="I323" t="s">
        <v>1782</v>
      </c>
      <c r="J323" t="s">
        <v>134</v>
      </c>
      <c r="K323" t="s">
        <v>34</v>
      </c>
      <c r="O323" s="18" t="s">
        <v>20</v>
      </c>
      <c r="P323" s="18" t="s">
        <v>27</v>
      </c>
      <c r="Q323" t="s">
        <v>38</v>
      </c>
      <c r="R323" t="s">
        <v>44</v>
      </c>
      <c r="S323" t="s">
        <v>47</v>
      </c>
      <c r="T323" t="s">
        <v>50</v>
      </c>
      <c r="U323">
        <v>69</v>
      </c>
      <c r="V323">
        <v>2</v>
      </c>
      <c r="W323">
        <v>309</v>
      </c>
      <c r="X323">
        <v>463</v>
      </c>
      <c r="Y323">
        <v>10</v>
      </c>
      <c r="Z323">
        <v>23</v>
      </c>
      <c r="AG323" t="s">
        <v>1790</v>
      </c>
      <c r="AH323" t="s">
        <v>213</v>
      </c>
      <c r="AS323" t="s">
        <v>222</v>
      </c>
      <c r="AT323" t="s">
        <v>849</v>
      </c>
      <c r="AV323" t="s">
        <v>1803</v>
      </c>
      <c r="AW323" t="s">
        <v>1807</v>
      </c>
      <c r="AX323" t="s">
        <v>1808</v>
      </c>
      <c r="AY323" t="s">
        <v>1818</v>
      </c>
      <c r="AZ323" t="s">
        <v>76</v>
      </c>
    </row>
    <row r="324" spans="1:52" x14ac:dyDescent="0.2">
      <c r="A324" t="s">
        <v>1028</v>
      </c>
      <c r="B324" t="s">
        <v>1029</v>
      </c>
      <c r="C324" t="s">
        <v>1030</v>
      </c>
      <c r="D324">
        <v>2005</v>
      </c>
      <c r="E324" t="s">
        <v>1268</v>
      </c>
      <c r="F324" t="s">
        <v>1334</v>
      </c>
      <c r="G324" t="s">
        <v>1407</v>
      </c>
      <c r="H324" t="s">
        <v>1492</v>
      </c>
      <c r="I324" t="s">
        <v>1782</v>
      </c>
      <c r="J324" t="s">
        <v>134</v>
      </c>
      <c r="K324" t="s">
        <v>34</v>
      </c>
      <c r="O324" s="18" t="s">
        <v>20</v>
      </c>
      <c r="P324" s="18" t="s">
        <v>27</v>
      </c>
      <c r="Q324" t="s">
        <v>38</v>
      </c>
      <c r="R324" t="s">
        <v>45</v>
      </c>
      <c r="S324" t="s">
        <v>47</v>
      </c>
      <c r="T324" t="s">
        <v>50</v>
      </c>
      <c r="U324">
        <v>69</v>
      </c>
      <c r="V324">
        <v>2</v>
      </c>
      <c r="W324">
        <v>309</v>
      </c>
      <c r="X324">
        <v>463</v>
      </c>
      <c r="AA324">
        <v>1.2</v>
      </c>
      <c r="AB324">
        <v>0.13</v>
      </c>
      <c r="AC324">
        <v>1.35</v>
      </c>
      <c r="AD324">
        <v>0.16</v>
      </c>
      <c r="AE324" t="s">
        <v>71</v>
      </c>
      <c r="AF324" t="s">
        <v>62</v>
      </c>
      <c r="AG324" t="str">
        <f>IF(AE324="mean", "mean", "")</f>
        <v>mean</v>
      </c>
      <c r="AH324" t="s">
        <v>213</v>
      </c>
      <c r="AS324" t="s">
        <v>222</v>
      </c>
      <c r="AT324" t="s">
        <v>849</v>
      </c>
      <c r="AV324" t="s">
        <v>1803</v>
      </c>
      <c r="AW324" t="s">
        <v>1807</v>
      </c>
      <c r="AX324" t="s">
        <v>1808</v>
      </c>
      <c r="AY324" t="s">
        <v>1818</v>
      </c>
      <c r="AZ324" t="s">
        <v>76</v>
      </c>
    </row>
    <row r="325" spans="1:52" x14ac:dyDescent="0.2">
      <c r="A325" t="s">
        <v>1028</v>
      </c>
      <c r="B325" t="s">
        <v>1029</v>
      </c>
      <c r="C325" t="s">
        <v>1030</v>
      </c>
      <c r="D325">
        <v>2005</v>
      </c>
      <c r="E325" t="s">
        <v>1268</v>
      </c>
      <c r="F325" t="s">
        <v>1334</v>
      </c>
      <c r="G325" t="s">
        <v>1407</v>
      </c>
      <c r="H325" t="s">
        <v>1493</v>
      </c>
      <c r="I325" t="s">
        <v>1782</v>
      </c>
      <c r="J325" t="s">
        <v>134</v>
      </c>
      <c r="K325" t="s">
        <v>34</v>
      </c>
      <c r="O325" s="18" t="s">
        <v>20</v>
      </c>
      <c r="P325" s="18" t="s">
        <v>27</v>
      </c>
      <c r="Q325" t="s">
        <v>38</v>
      </c>
      <c r="R325" t="s">
        <v>44</v>
      </c>
      <c r="S325" t="s">
        <v>47</v>
      </c>
      <c r="T325" t="s">
        <v>50</v>
      </c>
      <c r="U325">
        <v>69</v>
      </c>
      <c r="V325">
        <v>2</v>
      </c>
      <c r="W325">
        <v>309</v>
      </c>
      <c r="X325">
        <v>463</v>
      </c>
      <c r="Y325">
        <v>27</v>
      </c>
      <c r="Z325">
        <v>23</v>
      </c>
      <c r="AG325" t="s">
        <v>1790</v>
      </c>
      <c r="AH325" t="s">
        <v>213</v>
      </c>
      <c r="AS325" t="s">
        <v>222</v>
      </c>
      <c r="AT325" t="s">
        <v>849</v>
      </c>
      <c r="AV325" t="s">
        <v>1803</v>
      </c>
      <c r="AW325" t="s">
        <v>1807</v>
      </c>
      <c r="AX325" t="s">
        <v>1808</v>
      </c>
      <c r="AY325" t="s">
        <v>1818</v>
      </c>
      <c r="AZ325" t="s">
        <v>76</v>
      </c>
    </row>
    <row r="326" spans="1:52" x14ac:dyDescent="0.2">
      <c r="A326" t="s">
        <v>1028</v>
      </c>
      <c r="B326" t="s">
        <v>1029</v>
      </c>
      <c r="C326" t="s">
        <v>1030</v>
      </c>
      <c r="D326">
        <v>2005</v>
      </c>
      <c r="E326" t="s">
        <v>1268</v>
      </c>
      <c r="F326" t="s">
        <v>1334</v>
      </c>
      <c r="G326" t="s">
        <v>1407</v>
      </c>
      <c r="H326" t="s">
        <v>1494</v>
      </c>
      <c r="I326" t="s">
        <v>1782</v>
      </c>
      <c r="J326" t="s">
        <v>134</v>
      </c>
      <c r="K326" t="s">
        <v>34</v>
      </c>
      <c r="O326" s="18" t="s">
        <v>20</v>
      </c>
      <c r="P326" s="18" t="s">
        <v>27</v>
      </c>
      <c r="Q326" t="s">
        <v>38</v>
      </c>
      <c r="R326" t="s">
        <v>45</v>
      </c>
      <c r="S326" t="s">
        <v>47</v>
      </c>
      <c r="T326" t="s">
        <v>50</v>
      </c>
      <c r="U326">
        <v>69</v>
      </c>
      <c r="V326">
        <v>2</v>
      </c>
      <c r="W326">
        <v>309</v>
      </c>
      <c r="X326">
        <v>463</v>
      </c>
      <c r="AA326">
        <v>1.1499999999999999</v>
      </c>
      <c r="AB326">
        <v>7.0000000000000007E-2</v>
      </c>
      <c r="AC326">
        <v>1.07</v>
      </c>
      <c r="AD326">
        <v>0.05</v>
      </c>
      <c r="AE326" t="s">
        <v>71</v>
      </c>
      <c r="AF326" t="s">
        <v>62</v>
      </c>
      <c r="AG326" t="str">
        <f t="shared" ref="AG326:AG331" si="11">IF(AE326="mean", "mean", "")</f>
        <v>mean</v>
      </c>
      <c r="AH326" t="s">
        <v>213</v>
      </c>
      <c r="AS326" t="s">
        <v>222</v>
      </c>
      <c r="AT326" t="s">
        <v>849</v>
      </c>
      <c r="AV326" t="s">
        <v>1803</v>
      </c>
      <c r="AW326" t="s">
        <v>1807</v>
      </c>
      <c r="AX326" t="s">
        <v>1808</v>
      </c>
      <c r="AY326" t="s">
        <v>1818</v>
      </c>
      <c r="AZ326" t="s">
        <v>76</v>
      </c>
    </row>
    <row r="327" spans="1:52" x14ac:dyDescent="0.2">
      <c r="A327" t="s">
        <v>1031</v>
      </c>
      <c r="B327" t="s">
        <v>625</v>
      </c>
      <c r="C327" t="s">
        <v>1032</v>
      </c>
      <c r="D327">
        <v>2001</v>
      </c>
      <c r="E327" t="s">
        <v>1269</v>
      </c>
      <c r="F327" t="s">
        <v>1335</v>
      </c>
      <c r="G327" t="s">
        <v>1408</v>
      </c>
      <c r="H327" t="s">
        <v>1495</v>
      </c>
      <c r="I327" t="s">
        <v>512</v>
      </c>
      <c r="J327" t="s">
        <v>83</v>
      </c>
      <c r="K327" t="s">
        <v>35</v>
      </c>
      <c r="L327" t="s">
        <v>12</v>
      </c>
      <c r="O327" s="18" t="s">
        <v>76</v>
      </c>
      <c r="P327" s="18" t="s">
        <v>27</v>
      </c>
      <c r="Q327" t="s">
        <v>38</v>
      </c>
      <c r="R327" t="s">
        <v>45</v>
      </c>
      <c r="S327" t="s">
        <v>47</v>
      </c>
      <c r="T327" t="s">
        <v>49</v>
      </c>
      <c r="U327">
        <v>7907</v>
      </c>
      <c r="V327">
        <v>2</v>
      </c>
      <c r="W327">
        <v>42</v>
      </c>
      <c r="X327">
        <v>40</v>
      </c>
      <c r="AA327">
        <v>4.0131578947368496</v>
      </c>
      <c r="AB327">
        <v>3.3935135236024001</v>
      </c>
      <c r="AC327">
        <v>5</v>
      </c>
      <c r="AD327">
        <v>3.9486012673960702</v>
      </c>
      <c r="AE327" t="s">
        <v>71</v>
      </c>
      <c r="AF327" t="s">
        <v>61</v>
      </c>
      <c r="AG327" t="str">
        <f t="shared" si="11"/>
        <v>mean</v>
      </c>
      <c r="AH327" t="s">
        <v>213</v>
      </c>
      <c r="AS327" t="s">
        <v>222</v>
      </c>
      <c r="AT327" t="s">
        <v>849</v>
      </c>
      <c r="AV327" t="s">
        <v>1803</v>
      </c>
      <c r="AW327" t="s">
        <v>1815</v>
      </c>
      <c r="AX327" t="s">
        <v>1816</v>
      </c>
      <c r="AY327" t="s">
        <v>1814</v>
      </c>
      <c r="AZ327" t="s">
        <v>76</v>
      </c>
    </row>
    <row r="328" spans="1:52" x14ac:dyDescent="0.2">
      <c r="A328" t="s">
        <v>1031</v>
      </c>
      <c r="B328" t="s">
        <v>625</v>
      </c>
      <c r="C328" t="s">
        <v>1032</v>
      </c>
      <c r="D328">
        <v>2001</v>
      </c>
      <c r="E328" t="s">
        <v>1269</v>
      </c>
      <c r="F328" t="s">
        <v>1335</v>
      </c>
      <c r="G328" t="s">
        <v>1408</v>
      </c>
      <c r="H328" t="s">
        <v>1496</v>
      </c>
      <c r="I328" t="s">
        <v>512</v>
      </c>
      <c r="J328" t="s">
        <v>83</v>
      </c>
      <c r="K328" t="s">
        <v>35</v>
      </c>
      <c r="L328" t="s">
        <v>12</v>
      </c>
      <c r="O328" s="18" t="s">
        <v>76</v>
      </c>
      <c r="P328" s="18" t="s">
        <v>27</v>
      </c>
      <c r="Q328" t="s">
        <v>38</v>
      </c>
      <c r="R328" t="s">
        <v>45</v>
      </c>
      <c r="S328" t="s">
        <v>47</v>
      </c>
      <c r="T328" t="s">
        <v>49</v>
      </c>
      <c r="U328">
        <v>7907</v>
      </c>
      <c r="V328">
        <v>2</v>
      </c>
      <c r="W328">
        <v>42</v>
      </c>
      <c r="X328">
        <v>41</v>
      </c>
      <c r="AA328">
        <v>4</v>
      </c>
      <c r="AB328">
        <v>3.4701884927825501</v>
      </c>
      <c r="AC328">
        <v>6.3960396039603999</v>
      </c>
      <c r="AD328">
        <v>4.8518318630780302</v>
      </c>
      <c r="AE328" t="s">
        <v>71</v>
      </c>
      <c r="AF328" t="s">
        <v>61</v>
      </c>
      <c r="AG328" t="str">
        <f t="shared" si="11"/>
        <v>mean</v>
      </c>
      <c r="AH328" t="s">
        <v>213</v>
      </c>
      <c r="AS328" t="s">
        <v>222</v>
      </c>
      <c r="AT328" t="s">
        <v>849</v>
      </c>
      <c r="AV328" t="s">
        <v>1803</v>
      </c>
      <c r="AW328" t="s">
        <v>1815</v>
      </c>
      <c r="AX328" t="s">
        <v>1816</v>
      </c>
      <c r="AY328" t="s">
        <v>1814</v>
      </c>
      <c r="AZ328" t="s">
        <v>76</v>
      </c>
    </row>
    <row r="329" spans="1:52" x14ac:dyDescent="0.2">
      <c r="A329" t="s">
        <v>1031</v>
      </c>
      <c r="B329" t="s">
        <v>625</v>
      </c>
      <c r="C329" t="s">
        <v>1032</v>
      </c>
      <c r="D329">
        <v>2001</v>
      </c>
      <c r="E329" t="s">
        <v>1269</v>
      </c>
      <c r="F329" t="s">
        <v>1335</v>
      </c>
      <c r="G329" t="s">
        <v>1409</v>
      </c>
      <c r="H329" t="s">
        <v>1497</v>
      </c>
      <c r="I329" t="s">
        <v>512</v>
      </c>
      <c r="J329" t="s">
        <v>83</v>
      </c>
      <c r="K329" t="s">
        <v>35</v>
      </c>
      <c r="L329" t="s">
        <v>12</v>
      </c>
      <c r="O329" s="18" t="s">
        <v>76</v>
      </c>
      <c r="P329" s="18" t="s">
        <v>27</v>
      </c>
      <c r="Q329" t="s">
        <v>38</v>
      </c>
      <c r="R329" t="s">
        <v>45</v>
      </c>
      <c r="S329" t="s">
        <v>47</v>
      </c>
      <c r="T329" t="s">
        <v>49</v>
      </c>
      <c r="U329">
        <v>7907</v>
      </c>
      <c r="V329">
        <v>3</v>
      </c>
      <c r="W329">
        <v>33.67</v>
      </c>
      <c r="X329">
        <v>33.67</v>
      </c>
      <c r="AA329">
        <v>2.5249999999999999</v>
      </c>
      <c r="AB329">
        <v>2.0081084331737702</v>
      </c>
      <c r="AC329">
        <v>3.6375000000000002</v>
      </c>
      <c r="AD329">
        <v>2.3056059788291399</v>
      </c>
      <c r="AE329" t="s">
        <v>71</v>
      </c>
      <c r="AF329" t="s">
        <v>61</v>
      </c>
      <c r="AG329" t="str">
        <f t="shared" si="11"/>
        <v>mean</v>
      </c>
      <c r="AH329" t="s">
        <v>213</v>
      </c>
      <c r="AS329" t="s">
        <v>222</v>
      </c>
      <c r="AT329" t="s">
        <v>849</v>
      </c>
      <c r="AV329" t="s">
        <v>1803</v>
      </c>
      <c r="AW329" t="s">
        <v>1815</v>
      </c>
      <c r="AX329" t="s">
        <v>1816</v>
      </c>
      <c r="AY329" t="s">
        <v>1814</v>
      </c>
      <c r="AZ329" t="s">
        <v>76</v>
      </c>
    </row>
    <row r="330" spans="1:52" x14ac:dyDescent="0.2">
      <c r="A330" t="s">
        <v>1031</v>
      </c>
      <c r="B330" t="s">
        <v>625</v>
      </c>
      <c r="C330" t="s">
        <v>1032</v>
      </c>
      <c r="D330">
        <v>2001</v>
      </c>
      <c r="E330" t="s">
        <v>1269</v>
      </c>
      <c r="F330" t="s">
        <v>1335</v>
      </c>
      <c r="G330" t="s">
        <v>1409</v>
      </c>
      <c r="H330" t="s">
        <v>1498</v>
      </c>
      <c r="I330" t="s">
        <v>512</v>
      </c>
      <c r="J330" t="s">
        <v>83</v>
      </c>
      <c r="K330" t="s">
        <v>35</v>
      </c>
      <c r="L330" t="s">
        <v>12</v>
      </c>
      <c r="O330" s="18" t="s">
        <v>76</v>
      </c>
      <c r="P330" s="18" t="s">
        <v>27</v>
      </c>
      <c r="Q330" t="s">
        <v>38</v>
      </c>
      <c r="R330" t="s">
        <v>45</v>
      </c>
      <c r="S330" t="s">
        <v>47</v>
      </c>
      <c r="T330" t="s">
        <v>49</v>
      </c>
      <c r="U330">
        <v>7907</v>
      </c>
      <c r="V330">
        <v>3</v>
      </c>
      <c r="W330">
        <v>33.67</v>
      </c>
      <c r="X330">
        <v>33.67</v>
      </c>
      <c r="AA330">
        <v>2.5249999999999999</v>
      </c>
      <c r="AB330">
        <v>1.9709212399668401</v>
      </c>
      <c r="AC330">
        <v>3.4</v>
      </c>
      <c r="AD330">
        <v>2.5287291380706698</v>
      </c>
      <c r="AE330" t="s">
        <v>71</v>
      </c>
      <c r="AF330" t="s">
        <v>61</v>
      </c>
      <c r="AG330" t="str">
        <f t="shared" si="11"/>
        <v>mean</v>
      </c>
      <c r="AH330" t="s">
        <v>213</v>
      </c>
      <c r="AS330" t="s">
        <v>222</v>
      </c>
      <c r="AT330" t="s">
        <v>849</v>
      </c>
      <c r="AV330" t="s">
        <v>1803</v>
      </c>
      <c r="AW330" t="s">
        <v>1815</v>
      </c>
      <c r="AX330" t="s">
        <v>1816</v>
      </c>
      <c r="AY330" t="s">
        <v>1814</v>
      </c>
      <c r="AZ330" t="s">
        <v>76</v>
      </c>
    </row>
    <row r="331" spans="1:52" x14ac:dyDescent="0.2">
      <c r="A331" t="s">
        <v>1033</v>
      </c>
      <c r="B331" t="s">
        <v>625</v>
      </c>
      <c r="C331" t="s">
        <v>1034</v>
      </c>
      <c r="D331">
        <v>2005</v>
      </c>
      <c r="E331" t="s">
        <v>1270</v>
      </c>
      <c r="F331" t="s">
        <v>1336</v>
      </c>
      <c r="G331" t="s">
        <v>1411</v>
      </c>
      <c r="H331" t="s">
        <v>1499</v>
      </c>
      <c r="I331" t="s">
        <v>512</v>
      </c>
      <c r="J331" t="s">
        <v>83</v>
      </c>
      <c r="K331" t="s">
        <v>35</v>
      </c>
      <c r="L331" t="s">
        <v>12</v>
      </c>
      <c r="O331" s="18" t="s">
        <v>76</v>
      </c>
      <c r="P331" s="18" t="s">
        <v>27</v>
      </c>
      <c r="Q331" t="s">
        <v>38</v>
      </c>
      <c r="R331" t="s">
        <v>45</v>
      </c>
      <c r="S331" t="s">
        <v>47</v>
      </c>
      <c r="T331" t="s">
        <v>49</v>
      </c>
      <c r="U331">
        <v>1513</v>
      </c>
      <c r="V331" t="s">
        <v>560</v>
      </c>
      <c r="W331">
        <v>40</v>
      </c>
      <c r="X331">
        <v>40</v>
      </c>
      <c r="AA331">
        <v>1.96813725490196</v>
      </c>
      <c r="AB331">
        <v>1.1626020809442601</v>
      </c>
      <c r="AC331">
        <v>2.7769607843137201</v>
      </c>
      <c r="AD331">
        <v>1.9376701349070999</v>
      </c>
      <c r="AE331" t="s">
        <v>71</v>
      </c>
      <c r="AF331" t="s">
        <v>61</v>
      </c>
      <c r="AG331" t="str">
        <f t="shared" si="11"/>
        <v>mean</v>
      </c>
      <c r="AH331" t="s">
        <v>213</v>
      </c>
      <c r="AS331" t="s">
        <v>222</v>
      </c>
      <c r="AT331" t="s">
        <v>849</v>
      </c>
      <c r="AV331" t="s">
        <v>1803</v>
      </c>
      <c r="AW331" t="s">
        <v>1815</v>
      </c>
      <c r="AX331" t="s">
        <v>1816</v>
      </c>
      <c r="AY331" t="s">
        <v>1814</v>
      </c>
      <c r="AZ331" t="s">
        <v>76</v>
      </c>
    </row>
    <row r="332" spans="1:52" x14ac:dyDescent="0.2">
      <c r="A332" t="s">
        <v>1035</v>
      </c>
      <c r="B332" t="s">
        <v>1036</v>
      </c>
      <c r="C332" t="s">
        <v>1037</v>
      </c>
      <c r="D332">
        <v>2004</v>
      </c>
      <c r="E332" t="s">
        <v>1271</v>
      </c>
      <c r="F332" t="s">
        <v>1337</v>
      </c>
      <c r="G332" t="s">
        <v>1412</v>
      </c>
      <c r="H332" t="s">
        <v>1500</v>
      </c>
      <c r="I332" t="s">
        <v>1783</v>
      </c>
      <c r="J332" t="s">
        <v>82</v>
      </c>
      <c r="K332" t="s">
        <v>34</v>
      </c>
      <c r="O332" s="18" t="s">
        <v>20</v>
      </c>
      <c r="P332" s="18" t="s">
        <v>27</v>
      </c>
      <c r="Q332" t="s">
        <v>38</v>
      </c>
      <c r="R332" t="s">
        <v>44</v>
      </c>
      <c r="S332" t="s">
        <v>47</v>
      </c>
      <c r="T332" t="s">
        <v>50</v>
      </c>
      <c r="U332">
        <v>363</v>
      </c>
      <c r="V332">
        <v>3</v>
      </c>
      <c r="W332">
        <v>12</v>
      </c>
      <c r="X332">
        <v>11</v>
      </c>
      <c r="Y332">
        <v>9</v>
      </c>
      <c r="Z332">
        <v>7</v>
      </c>
      <c r="AG332" t="s">
        <v>1790</v>
      </c>
      <c r="AH332" t="s">
        <v>213</v>
      </c>
      <c r="AM332" t="s">
        <v>1038</v>
      </c>
      <c r="AS332" t="s">
        <v>849</v>
      </c>
      <c r="AT332" t="s">
        <v>849</v>
      </c>
      <c r="AV332" t="s">
        <v>1803</v>
      </c>
      <c r="AW332" t="s">
        <v>1807</v>
      </c>
      <c r="AX332" t="s">
        <v>1808</v>
      </c>
      <c r="AY332" t="s">
        <v>1811</v>
      </c>
      <c r="AZ332" t="s">
        <v>76</v>
      </c>
    </row>
    <row r="333" spans="1:52" x14ac:dyDescent="0.2">
      <c r="A333" t="s">
        <v>1039</v>
      </c>
      <c r="B333" t="s">
        <v>1040</v>
      </c>
      <c r="C333" t="s">
        <v>1041</v>
      </c>
      <c r="D333">
        <v>2003</v>
      </c>
      <c r="E333" t="s">
        <v>1272</v>
      </c>
      <c r="F333" t="s">
        <v>1338</v>
      </c>
      <c r="G333" t="s">
        <v>1413</v>
      </c>
      <c r="H333" t="s">
        <v>1501</v>
      </c>
      <c r="I333" t="s">
        <v>514</v>
      </c>
      <c r="J333" t="s">
        <v>82</v>
      </c>
      <c r="K333" t="s">
        <v>35</v>
      </c>
      <c r="L333" t="s">
        <v>11</v>
      </c>
      <c r="M333" t="s">
        <v>13</v>
      </c>
      <c r="N333">
        <v>1</v>
      </c>
      <c r="O333" s="18" t="s">
        <v>76</v>
      </c>
      <c r="P333" s="18" t="s">
        <v>1825</v>
      </c>
      <c r="S333" t="s">
        <v>47</v>
      </c>
      <c r="T333" t="s">
        <v>49</v>
      </c>
      <c r="U333">
        <v>518</v>
      </c>
      <c r="V333" t="s">
        <v>671</v>
      </c>
      <c r="W333">
        <v>17</v>
      </c>
      <c r="X333">
        <v>25</v>
      </c>
      <c r="AA333">
        <v>134.07494145199101</v>
      </c>
      <c r="AB333">
        <v>28.688524590164</v>
      </c>
      <c r="AC333">
        <v>123.536299765808</v>
      </c>
      <c r="AD333">
        <v>53.864168618267001</v>
      </c>
      <c r="AE333" t="s">
        <v>71</v>
      </c>
      <c r="AF333" t="s">
        <v>61</v>
      </c>
      <c r="AG333" t="str">
        <f t="shared" ref="AG333:AG339" si="12">IF(AE333="mean", "mean", "")</f>
        <v>mean</v>
      </c>
      <c r="AH333" t="s">
        <v>213</v>
      </c>
      <c r="AS333" t="s">
        <v>849</v>
      </c>
      <c r="AT333" t="s">
        <v>849</v>
      </c>
      <c r="AV333" t="s">
        <v>1803</v>
      </c>
      <c r="AW333" t="s">
        <v>1807</v>
      </c>
      <c r="AX333" t="s">
        <v>1808</v>
      </c>
      <c r="AY333" t="s">
        <v>1811</v>
      </c>
      <c r="AZ333" t="s">
        <v>76</v>
      </c>
    </row>
    <row r="334" spans="1:52" x14ac:dyDescent="0.2">
      <c r="A334" t="s">
        <v>1039</v>
      </c>
      <c r="B334" t="s">
        <v>1040</v>
      </c>
      <c r="C334" t="s">
        <v>1041</v>
      </c>
      <c r="D334">
        <v>2003</v>
      </c>
      <c r="E334" t="s">
        <v>1272</v>
      </c>
      <c r="F334" t="s">
        <v>1338</v>
      </c>
      <c r="G334" t="s">
        <v>1413</v>
      </c>
      <c r="H334" t="s">
        <v>1502</v>
      </c>
      <c r="I334" t="s">
        <v>514</v>
      </c>
      <c r="J334" t="s">
        <v>82</v>
      </c>
      <c r="K334" t="s">
        <v>35</v>
      </c>
      <c r="L334" t="s">
        <v>11</v>
      </c>
      <c r="M334" t="s">
        <v>13</v>
      </c>
      <c r="N334">
        <v>1</v>
      </c>
      <c r="O334" s="18" t="s">
        <v>76</v>
      </c>
      <c r="P334" s="18" t="s">
        <v>1825</v>
      </c>
      <c r="S334" t="s">
        <v>47</v>
      </c>
      <c r="T334" t="s">
        <v>49</v>
      </c>
      <c r="U334">
        <v>518</v>
      </c>
      <c r="V334" t="s">
        <v>671</v>
      </c>
      <c r="W334">
        <v>17</v>
      </c>
      <c r="X334">
        <v>25</v>
      </c>
      <c r="AA334">
        <v>128.504672897196</v>
      </c>
      <c r="AB334">
        <v>40.303738317757002</v>
      </c>
      <c r="AC334">
        <v>92.873831775701007</v>
      </c>
      <c r="AD334">
        <v>37.967289719626201</v>
      </c>
      <c r="AE334" t="s">
        <v>71</v>
      </c>
      <c r="AF334" t="s">
        <v>61</v>
      </c>
      <c r="AG334" t="str">
        <f t="shared" si="12"/>
        <v>mean</v>
      </c>
      <c r="AH334" t="s">
        <v>213</v>
      </c>
      <c r="AS334" t="s">
        <v>849</v>
      </c>
      <c r="AT334" t="s">
        <v>849</v>
      </c>
      <c r="AV334" t="s">
        <v>1803</v>
      </c>
      <c r="AW334" t="s">
        <v>1807</v>
      </c>
      <c r="AX334" t="s">
        <v>1808</v>
      </c>
      <c r="AY334" t="s">
        <v>1811</v>
      </c>
      <c r="AZ334" t="s">
        <v>76</v>
      </c>
    </row>
    <row r="335" spans="1:52" x14ac:dyDescent="0.2">
      <c r="A335" t="s">
        <v>1039</v>
      </c>
      <c r="B335" t="s">
        <v>1040</v>
      </c>
      <c r="C335" t="s">
        <v>1041</v>
      </c>
      <c r="D335">
        <v>2003</v>
      </c>
      <c r="E335" t="s">
        <v>1272</v>
      </c>
      <c r="F335" t="s">
        <v>1338</v>
      </c>
      <c r="G335" t="s">
        <v>1413</v>
      </c>
      <c r="H335" t="s">
        <v>1503</v>
      </c>
      <c r="I335" t="s">
        <v>514</v>
      </c>
      <c r="J335" t="s">
        <v>82</v>
      </c>
      <c r="K335" t="s">
        <v>35</v>
      </c>
      <c r="L335" t="s">
        <v>11</v>
      </c>
      <c r="M335" t="s">
        <v>13</v>
      </c>
      <c r="N335">
        <v>1</v>
      </c>
      <c r="O335" s="18" t="s">
        <v>76</v>
      </c>
      <c r="P335" s="18" t="s">
        <v>1825</v>
      </c>
      <c r="S335" t="s">
        <v>47</v>
      </c>
      <c r="T335" t="s">
        <v>49</v>
      </c>
      <c r="U335">
        <v>518</v>
      </c>
      <c r="V335" t="s">
        <v>671</v>
      </c>
      <c r="W335">
        <v>17</v>
      </c>
      <c r="X335">
        <v>25</v>
      </c>
      <c r="AA335">
        <v>150.821596244131</v>
      </c>
      <c r="AB335">
        <v>39.319248826291101</v>
      </c>
      <c r="AC335">
        <v>116.784037558685</v>
      </c>
      <c r="AD335">
        <v>46.948356807511701</v>
      </c>
      <c r="AE335" t="s">
        <v>71</v>
      </c>
      <c r="AF335" t="s">
        <v>61</v>
      </c>
      <c r="AG335" t="str">
        <f t="shared" si="12"/>
        <v>mean</v>
      </c>
      <c r="AH335" t="s">
        <v>213</v>
      </c>
      <c r="AS335" t="s">
        <v>849</v>
      </c>
      <c r="AT335" t="s">
        <v>849</v>
      </c>
      <c r="AV335" t="s">
        <v>1803</v>
      </c>
      <c r="AW335" t="s">
        <v>1807</v>
      </c>
      <c r="AX335" t="s">
        <v>1808</v>
      </c>
      <c r="AY335" t="s">
        <v>1811</v>
      </c>
      <c r="AZ335" t="s">
        <v>76</v>
      </c>
    </row>
    <row r="336" spans="1:52" x14ac:dyDescent="0.2">
      <c r="A336" t="s">
        <v>1039</v>
      </c>
      <c r="B336" t="s">
        <v>1040</v>
      </c>
      <c r="C336" t="s">
        <v>1041</v>
      </c>
      <c r="D336">
        <v>2003</v>
      </c>
      <c r="E336" t="s">
        <v>1272</v>
      </c>
      <c r="F336" t="s">
        <v>1338</v>
      </c>
      <c r="G336" t="s">
        <v>1413</v>
      </c>
      <c r="H336" t="s">
        <v>1504</v>
      </c>
      <c r="I336" t="s">
        <v>514</v>
      </c>
      <c r="J336" t="s">
        <v>82</v>
      </c>
      <c r="K336" t="s">
        <v>35</v>
      </c>
      <c r="L336" t="s">
        <v>11</v>
      </c>
      <c r="M336" t="s">
        <v>13</v>
      </c>
      <c r="N336">
        <v>1</v>
      </c>
      <c r="O336" s="18" t="s">
        <v>76</v>
      </c>
      <c r="P336" s="18" t="s">
        <v>1825</v>
      </c>
      <c r="S336" t="s">
        <v>47</v>
      </c>
      <c r="T336" t="s">
        <v>49</v>
      </c>
      <c r="U336">
        <v>518</v>
      </c>
      <c r="V336" t="s">
        <v>671</v>
      </c>
      <c r="W336">
        <v>17</v>
      </c>
      <c r="X336">
        <v>25</v>
      </c>
      <c r="AA336">
        <v>147.78037383177599</v>
      </c>
      <c r="AB336">
        <v>42.640186915887902</v>
      </c>
      <c r="AC336">
        <v>144.27570093457899</v>
      </c>
      <c r="AD336">
        <v>63.6682242990655</v>
      </c>
      <c r="AE336" t="s">
        <v>71</v>
      </c>
      <c r="AF336" t="s">
        <v>61</v>
      </c>
      <c r="AG336" t="str">
        <f t="shared" si="12"/>
        <v>mean</v>
      </c>
      <c r="AH336" t="s">
        <v>213</v>
      </c>
      <c r="AS336" t="s">
        <v>849</v>
      </c>
      <c r="AT336" t="s">
        <v>849</v>
      </c>
      <c r="AV336" t="s">
        <v>1803</v>
      </c>
      <c r="AW336" t="s">
        <v>1807</v>
      </c>
      <c r="AX336" t="s">
        <v>1808</v>
      </c>
      <c r="AY336" t="s">
        <v>1811</v>
      </c>
      <c r="AZ336" t="s">
        <v>76</v>
      </c>
    </row>
    <row r="337" spans="1:52" x14ac:dyDescent="0.2">
      <c r="A337" t="s">
        <v>1039</v>
      </c>
      <c r="B337" t="s">
        <v>1040</v>
      </c>
      <c r="C337" t="s">
        <v>1041</v>
      </c>
      <c r="D337">
        <v>2003</v>
      </c>
      <c r="E337" t="s">
        <v>1272</v>
      </c>
      <c r="F337" t="s">
        <v>1338</v>
      </c>
      <c r="G337" t="s">
        <v>1413</v>
      </c>
      <c r="H337" t="s">
        <v>1505</v>
      </c>
      <c r="I337" t="s">
        <v>514</v>
      </c>
      <c r="J337" t="s">
        <v>82</v>
      </c>
      <c r="K337" t="s">
        <v>35</v>
      </c>
      <c r="L337" t="s">
        <v>11</v>
      </c>
      <c r="M337" t="s">
        <v>13</v>
      </c>
      <c r="N337">
        <v>1</v>
      </c>
      <c r="O337" s="18" t="s">
        <v>76</v>
      </c>
      <c r="P337" s="18" t="s">
        <v>1825</v>
      </c>
      <c r="S337" t="s">
        <v>47</v>
      </c>
      <c r="T337" t="s">
        <v>49</v>
      </c>
      <c r="U337">
        <v>518</v>
      </c>
      <c r="V337" t="s">
        <v>671</v>
      </c>
      <c r="W337">
        <v>17</v>
      </c>
      <c r="X337">
        <v>25</v>
      </c>
      <c r="AA337">
        <v>173.30210772833701</v>
      </c>
      <c r="AB337">
        <v>30.444964871194401</v>
      </c>
      <c r="AC337">
        <v>153.981264637002</v>
      </c>
      <c r="AD337">
        <v>53.864168618267001</v>
      </c>
      <c r="AE337" t="s">
        <v>71</v>
      </c>
      <c r="AF337" t="s">
        <v>61</v>
      </c>
      <c r="AG337" t="str">
        <f t="shared" si="12"/>
        <v>mean</v>
      </c>
      <c r="AH337" t="s">
        <v>213</v>
      </c>
      <c r="AS337" t="s">
        <v>849</v>
      </c>
      <c r="AT337" t="s">
        <v>849</v>
      </c>
      <c r="AV337" t="s">
        <v>1803</v>
      </c>
      <c r="AW337" t="s">
        <v>1807</v>
      </c>
      <c r="AX337" t="s">
        <v>1808</v>
      </c>
      <c r="AY337" t="s">
        <v>1811</v>
      </c>
      <c r="AZ337" t="s">
        <v>76</v>
      </c>
    </row>
    <row r="338" spans="1:52" x14ac:dyDescent="0.2">
      <c r="A338" t="s">
        <v>1039</v>
      </c>
      <c r="B338" t="s">
        <v>1040</v>
      </c>
      <c r="C338" t="s">
        <v>1041</v>
      </c>
      <c r="D338">
        <v>2003</v>
      </c>
      <c r="E338" t="s">
        <v>1272</v>
      </c>
      <c r="F338" t="s">
        <v>1338</v>
      </c>
      <c r="G338" t="s">
        <v>1414</v>
      </c>
      <c r="H338" t="s">
        <v>1506</v>
      </c>
      <c r="I338" t="s">
        <v>514</v>
      </c>
      <c r="J338" t="s">
        <v>82</v>
      </c>
      <c r="K338" t="s">
        <v>35</v>
      </c>
      <c r="L338" t="s">
        <v>11</v>
      </c>
      <c r="M338" t="s">
        <v>13</v>
      </c>
      <c r="N338">
        <v>1</v>
      </c>
      <c r="O338" s="18" t="s">
        <v>76</v>
      </c>
      <c r="P338" s="18" t="s">
        <v>1825</v>
      </c>
      <c r="S338" t="s">
        <v>47</v>
      </c>
      <c r="T338" t="s">
        <v>51</v>
      </c>
      <c r="U338">
        <v>518</v>
      </c>
      <c r="W338">
        <v>12</v>
      </c>
      <c r="X338">
        <v>18</v>
      </c>
      <c r="AA338">
        <v>74.900000000000006</v>
      </c>
      <c r="AB338">
        <v>23.6</v>
      </c>
      <c r="AC338">
        <v>58.5</v>
      </c>
      <c r="AD338">
        <v>18.7</v>
      </c>
      <c r="AE338" t="s">
        <v>71</v>
      </c>
      <c r="AF338" t="s">
        <v>61</v>
      </c>
      <c r="AG338" t="str">
        <f t="shared" si="12"/>
        <v>mean</v>
      </c>
      <c r="AH338" t="s">
        <v>213</v>
      </c>
      <c r="AS338" t="s">
        <v>849</v>
      </c>
      <c r="AT338" t="s">
        <v>849</v>
      </c>
      <c r="AV338" t="s">
        <v>1803</v>
      </c>
      <c r="AW338" t="s">
        <v>1807</v>
      </c>
      <c r="AX338" t="s">
        <v>1808</v>
      </c>
      <c r="AY338" t="s">
        <v>1811</v>
      </c>
      <c r="AZ338" t="s">
        <v>76</v>
      </c>
    </row>
    <row r="339" spans="1:52" x14ac:dyDescent="0.2">
      <c r="A339" t="s">
        <v>1039</v>
      </c>
      <c r="B339" t="s">
        <v>1040</v>
      </c>
      <c r="C339" t="s">
        <v>1041</v>
      </c>
      <c r="D339">
        <v>2003</v>
      </c>
      <c r="E339" t="s">
        <v>1272</v>
      </c>
      <c r="F339" t="s">
        <v>1338</v>
      </c>
      <c r="G339" t="s">
        <v>1414</v>
      </c>
      <c r="H339" t="s">
        <v>1507</v>
      </c>
      <c r="I339" t="s">
        <v>514</v>
      </c>
      <c r="J339" t="s">
        <v>82</v>
      </c>
      <c r="K339" t="s">
        <v>35</v>
      </c>
      <c r="L339" t="s">
        <v>11</v>
      </c>
      <c r="M339" t="s">
        <v>13</v>
      </c>
      <c r="N339">
        <v>1</v>
      </c>
      <c r="O339" s="18" t="s">
        <v>76</v>
      </c>
      <c r="P339" s="18" t="s">
        <v>1042</v>
      </c>
      <c r="S339" t="s">
        <v>47</v>
      </c>
      <c r="T339" t="s">
        <v>51</v>
      </c>
      <c r="U339">
        <v>518</v>
      </c>
      <c r="W339">
        <v>12</v>
      </c>
      <c r="X339">
        <v>18</v>
      </c>
      <c r="AA339">
        <v>0.44</v>
      </c>
      <c r="AB339">
        <v>0.15</v>
      </c>
      <c r="AC339">
        <v>0.18</v>
      </c>
      <c r="AD339">
        <v>0.1</v>
      </c>
      <c r="AE339" t="s">
        <v>71</v>
      </c>
      <c r="AF339" t="s">
        <v>61</v>
      </c>
      <c r="AG339" t="str">
        <f t="shared" si="12"/>
        <v>mean</v>
      </c>
      <c r="AH339" t="s">
        <v>213</v>
      </c>
      <c r="AS339" t="s">
        <v>849</v>
      </c>
      <c r="AT339" t="s">
        <v>849</v>
      </c>
      <c r="AV339" t="s">
        <v>1803</v>
      </c>
      <c r="AW339" t="s">
        <v>1807</v>
      </c>
      <c r="AX339" t="s">
        <v>1808</v>
      </c>
      <c r="AY339" t="s">
        <v>1811</v>
      </c>
      <c r="AZ339" t="s">
        <v>76</v>
      </c>
    </row>
    <row r="340" spans="1:52" x14ac:dyDescent="0.2">
      <c r="A340" t="s">
        <v>1039</v>
      </c>
      <c r="B340" t="s">
        <v>1040</v>
      </c>
      <c r="C340" t="s">
        <v>1041</v>
      </c>
      <c r="D340">
        <v>2003</v>
      </c>
      <c r="E340" t="s">
        <v>1272</v>
      </c>
      <c r="F340" t="s">
        <v>1338</v>
      </c>
      <c r="G340" t="s">
        <v>1414</v>
      </c>
      <c r="H340" t="s">
        <v>1508</v>
      </c>
      <c r="I340" t="s">
        <v>514</v>
      </c>
      <c r="J340" t="s">
        <v>82</v>
      </c>
      <c r="K340" t="s">
        <v>34</v>
      </c>
      <c r="O340" s="18" t="s">
        <v>76</v>
      </c>
      <c r="P340" s="18" t="s">
        <v>1825</v>
      </c>
      <c r="Q340" t="s">
        <v>38</v>
      </c>
      <c r="R340" t="s">
        <v>45</v>
      </c>
      <c r="S340" t="s">
        <v>47</v>
      </c>
      <c r="T340" t="s">
        <v>51</v>
      </c>
      <c r="U340">
        <v>518</v>
      </c>
      <c r="AG340" t="s">
        <v>4</v>
      </c>
      <c r="AH340" t="s">
        <v>214</v>
      </c>
      <c r="AN340">
        <v>18</v>
      </c>
      <c r="AO340">
        <v>-0.3</v>
      </c>
      <c r="AP340">
        <v>0.09</v>
      </c>
      <c r="AS340" t="s">
        <v>222</v>
      </c>
      <c r="AT340" t="s">
        <v>849</v>
      </c>
      <c r="AV340" t="s">
        <v>1803</v>
      </c>
      <c r="AW340" t="s">
        <v>1807</v>
      </c>
      <c r="AX340" t="s">
        <v>1808</v>
      </c>
      <c r="AY340" t="s">
        <v>1811</v>
      </c>
      <c r="AZ340" t="s">
        <v>76</v>
      </c>
    </row>
    <row r="341" spans="1:52" x14ac:dyDescent="0.2">
      <c r="A341" t="s">
        <v>1039</v>
      </c>
      <c r="B341" t="s">
        <v>1040</v>
      </c>
      <c r="C341" t="s">
        <v>1041</v>
      </c>
      <c r="D341">
        <v>2003</v>
      </c>
      <c r="E341" t="s">
        <v>1272</v>
      </c>
      <c r="F341" t="s">
        <v>1338</v>
      </c>
      <c r="G341" t="s">
        <v>1415</v>
      </c>
      <c r="H341" t="s">
        <v>1509</v>
      </c>
      <c r="I341" t="s">
        <v>514</v>
      </c>
      <c r="J341" t="s">
        <v>82</v>
      </c>
      <c r="K341" t="s">
        <v>35</v>
      </c>
      <c r="L341" t="s">
        <v>11</v>
      </c>
      <c r="M341" t="s">
        <v>13</v>
      </c>
      <c r="N341">
        <v>1</v>
      </c>
      <c r="O341" s="18" t="s">
        <v>20</v>
      </c>
      <c r="P341" s="18" t="s">
        <v>1042</v>
      </c>
      <c r="S341" t="s">
        <v>47</v>
      </c>
      <c r="T341" t="s">
        <v>50</v>
      </c>
      <c r="U341">
        <v>519</v>
      </c>
      <c r="V341">
        <v>1</v>
      </c>
      <c r="W341">
        <v>11</v>
      </c>
      <c r="X341">
        <v>12</v>
      </c>
      <c r="AA341">
        <v>65.400000000000006</v>
      </c>
      <c r="AB341">
        <v>31.78</v>
      </c>
      <c r="AC341">
        <v>54.6</v>
      </c>
      <c r="AD341">
        <v>32.42</v>
      </c>
      <c r="AE341" t="s">
        <v>71</v>
      </c>
      <c r="AF341" t="s">
        <v>61</v>
      </c>
      <c r="AG341" t="str">
        <f>IF(AE341="mean", "mean", "")</f>
        <v>mean</v>
      </c>
      <c r="AH341" t="s">
        <v>213</v>
      </c>
      <c r="AS341" t="s">
        <v>849</v>
      </c>
      <c r="AT341" t="s">
        <v>849</v>
      </c>
      <c r="AV341" t="s">
        <v>1803</v>
      </c>
      <c r="AW341" t="s">
        <v>1807</v>
      </c>
      <c r="AX341" t="s">
        <v>1808</v>
      </c>
      <c r="AY341" t="s">
        <v>1811</v>
      </c>
      <c r="AZ341" t="s">
        <v>76</v>
      </c>
    </row>
    <row r="342" spans="1:52" x14ac:dyDescent="0.2">
      <c r="A342" t="s">
        <v>1039</v>
      </c>
      <c r="B342" t="s">
        <v>1040</v>
      </c>
      <c r="C342" t="s">
        <v>1041</v>
      </c>
      <c r="D342">
        <v>2003</v>
      </c>
      <c r="E342" t="s">
        <v>1272</v>
      </c>
      <c r="F342" t="s">
        <v>1338</v>
      </c>
      <c r="G342" t="s">
        <v>1415</v>
      </c>
      <c r="H342" t="s">
        <v>1510</v>
      </c>
      <c r="I342" t="s">
        <v>514</v>
      </c>
      <c r="J342" t="s">
        <v>82</v>
      </c>
      <c r="K342" t="s">
        <v>35</v>
      </c>
      <c r="L342" t="s">
        <v>11</v>
      </c>
      <c r="M342" t="s">
        <v>13</v>
      </c>
      <c r="N342">
        <v>1</v>
      </c>
      <c r="O342" s="18" t="s">
        <v>20</v>
      </c>
      <c r="P342" s="18" t="s">
        <v>1042</v>
      </c>
      <c r="S342" t="s">
        <v>47</v>
      </c>
      <c r="T342" t="s">
        <v>50</v>
      </c>
      <c r="U342">
        <v>519</v>
      </c>
      <c r="V342">
        <v>1</v>
      </c>
      <c r="W342">
        <v>11</v>
      </c>
      <c r="X342">
        <v>12</v>
      </c>
      <c r="AA342">
        <v>61.4</v>
      </c>
      <c r="AB342">
        <v>50.32</v>
      </c>
      <c r="AC342">
        <v>41.3</v>
      </c>
      <c r="AD342">
        <v>32.630000000000003</v>
      </c>
      <c r="AE342" t="s">
        <v>71</v>
      </c>
      <c r="AF342" t="s">
        <v>61</v>
      </c>
      <c r="AG342" t="str">
        <f>IF(AE342="mean", "mean", "")</f>
        <v>mean</v>
      </c>
      <c r="AH342" t="s">
        <v>213</v>
      </c>
      <c r="AS342" t="s">
        <v>849</v>
      </c>
      <c r="AT342" t="s">
        <v>849</v>
      </c>
      <c r="AV342" t="s">
        <v>1803</v>
      </c>
      <c r="AW342" t="s">
        <v>1807</v>
      </c>
      <c r="AX342" t="s">
        <v>1808</v>
      </c>
      <c r="AY342" t="s">
        <v>1811</v>
      </c>
      <c r="AZ342" t="s">
        <v>76</v>
      </c>
    </row>
    <row r="343" spans="1:52" x14ac:dyDescent="0.2">
      <c r="A343" t="s">
        <v>1043</v>
      </c>
      <c r="B343" t="s">
        <v>1044</v>
      </c>
      <c r="C343" t="s">
        <v>1045</v>
      </c>
      <c r="D343">
        <v>1995</v>
      </c>
      <c r="E343" t="s">
        <v>1273</v>
      </c>
      <c r="F343" t="s">
        <v>1339</v>
      </c>
      <c r="G343" t="s">
        <v>1416</v>
      </c>
      <c r="H343" t="s">
        <v>1511</v>
      </c>
      <c r="I343" t="s">
        <v>1046</v>
      </c>
      <c r="J343" t="s">
        <v>83</v>
      </c>
      <c r="K343" t="s">
        <v>34</v>
      </c>
      <c r="O343" s="18" t="s">
        <v>20</v>
      </c>
      <c r="P343" s="18" t="s">
        <v>27</v>
      </c>
      <c r="Q343" t="s">
        <v>38</v>
      </c>
      <c r="R343" t="s">
        <v>44</v>
      </c>
      <c r="S343" t="s">
        <v>47</v>
      </c>
      <c r="T343" t="s">
        <v>50</v>
      </c>
      <c r="U343">
        <v>664</v>
      </c>
      <c r="V343">
        <v>2</v>
      </c>
      <c r="W343">
        <v>624</v>
      </c>
      <c r="X343">
        <v>227</v>
      </c>
      <c r="Y343">
        <v>185</v>
      </c>
      <c r="Z343">
        <v>27</v>
      </c>
      <c r="AG343" t="s">
        <v>1790</v>
      </c>
      <c r="AH343" t="s">
        <v>213</v>
      </c>
      <c r="AS343" t="s">
        <v>222</v>
      </c>
      <c r="AT343" t="s">
        <v>849</v>
      </c>
      <c r="AV343" t="s">
        <v>1803</v>
      </c>
      <c r="AW343" t="s">
        <v>1815</v>
      </c>
      <c r="AX343" t="s">
        <v>1816</v>
      </c>
      <c r="AY343" t="s">
        <v>1806</v>
      </c>
      <c r="AZ343" t="s">
        <v>76</v>
      </c>
    </row>
    <row r="344" spans="1:52" x14ac:dyDescent="0.2">
      <c r="A344" t="s">
        <v>1043</v>
      </c>
      <c r="B344" t="s">
        <v>1044</v>
      </c>
      <c r="C344" t="s">
        <v>1045</v>
      </c>
      <c r="D344">
        <v>1995</v>
      </c>
      <c r="E344" t="s">
        <v>1273</v>
      </c>
      <c r="F344" t="s">
        <v>1340</v>
      </c>
      <c r="G344" t="s">
        <v>1417</v>
      </c>
      <c r="H344" t="s">
        <v>1512</v>
      </c>
      <c r="I344" t="s">
        <v>1046</v>
      </c>
      <c r="J344" t="s">
        <v>83</v>
      </c>
      <c r="K344" t="s">
        <v>35</v>
      </c>
      <c r="L344" t="s">
        <v>11</v>
      </c>
      <c r="M344" t="s">
        <v>17</v>
      </c>
      <c r="N344">
        <v>1</v>
      </c>
      <c r="O344" s="18" t="s">
        <v>20</v>
      </c>
      <c r="P344" s="18" t="s">
        <v>27</v>
      </c>
      <c r="S344" t="s">
        <v>47</v>
      </c>
      <c r="T344" t="s">
        <v>50</v>
      </c>
      <c r="U344">
        <v>666</v>
      </c>
      <c r="V344">
        <v>4</v>
      </c>
      <c r="W344">
        <v>32</v>
      </c>
      <c r="X344">
        <v>32</v>
      </c>
      <c r="Y344">
        <v>14</v>
      </c>
      <c r="Z344">
        <v>18</v>
      </c>
      <c r="AG344" t="s">
        <v>1790</v>
      </c>
      <c r="AH344" t="s">
        <v>213</v>
      </c>
      <c r="AS344" t="s">
        <v>849</v>
      </c>
      <c r="AT344" t="s">
        <v>849</v>
      </c>
      <c r="AV344" t="s">
        <v>1803</v>
      </c>
      <c r="AW344" t="s">
        <v>1815</v>
      </c>
      <c r="AX344" t="s">
        <v>1816</v>
      </c>
      <c r="AY344" t="s">
        <v>1806</v>
      </c>
      <c r="AZ344" t="s">
        <v>76</v>
      </c>
    </row>
    <row r="345" spans="1:52" x14ac:dyDescent="0.2">
      <c r="A345" t="s">
        <v>1043</v>
      </c>
      <c r="B345" t="s">
        <v>1044</v>
      </c>
      <c r="C345" t="s">
        <v>1045</v>
      </c>
      <c r="D345">
        <v>1995</v>
      </c>
      <c r="E345" t="s">
        <v>1273</v>
      </c>
      <c r="F345" t="s">
        <v>1340</v>
      </c>
      <c r="G345" t="s">
        <v>1410</v>
      </c>
      <c r="H345" t="s">
        <v>1513</v>
      </c>
      <c r="I345" t="s">
        <v>1046</v>
      </c>
      <c r="J345" t="s">
        <v>83</v>
      </c>
      <c r="K345" t="s">
        <v>35</v>
      </c>
      <c r="L345" t="s">
        <v>11</v>
      </c>
      <c r="M345" t="s">
        <v>17</v>
      </c>
      <c r="N345">
        <v>1</v>
      </c>
      <c r="O345" s="18" t="s">
        <v>20</v>
      </c>
      <c r="P345" s="18" t="s">
        <v>27</v>
      </c>
      <c r="S345" t="s">
        <v>47</v>
      </c>
      <c r="T345" t="s">
        <v>50</v>
      </c>
      <c r="U345">
        <v>666</v>
      </c>
      <c r="V345">
        <v>4</v>
      </c>
      <c r="W345">
        <v>38</v>
      </c>
      <c r="X345">
        <v>38</v>
      </c>
      <c r="Y345">
        <v>26</v>
      </c>
      <c r="Z345">
        <v>12</v>
      </c>
      <c r="AG345" t="s">
        <v>1790</v>
      </c>
      <c r="AH345" t="s">
        <v>213</v>
      </c>
      <c r="AS345" t="s">
        <v>849</v>
      </c>
      <c r="AT345" t="s">
        <v>849</v>
      </c>
      <c r="AV345" t="s">
        <v>1803</v>
      </c>
      <c r="AW345" t="s">
        <v>1815</v>
      </c>
      <c r="AX345" t="s">
        <v>1816</v>
      </c>
      <c r="AY345" t="s">
        <v>1806</v>
      </c>
      <c r="AZ345" t="s">
        <v>76</v>
      </c>
    </row>
    <row r="346" spans="1:52" x14ac:dyDescent="0.2">
      <c r="A346" t="s">
        <v>1047</v>
      </c>
      <c r="B346" t="s">
        <v>1048</v>
      </c>
      <c r="C346" t="s">
        <v>1049</v>
      </c>
      <c r="D346">
        <v>1998</v>
      </c>
      <c r="E346" t="s">
        <v>1274</v>
      </c>
      <c r="F346" t="s">
        <v>1341</v>
      </c>
      <c r="G346" t="s">
        <v>1418</v>
      </c>
      <c r="H346" t="s">
        <v>1514</v>
      </c>
      <c r="I346" t="s">
        <v>1046</v>
      </c>
      <c r="J346" t="s">
        <v>83</v>
      </c>
      <c r="K346" t="s">
        <v>35</v>
      </c>
      <c r="L346" t="s">
        <v>11</v>
      </c>
      <c r="M346" t="s">
        <v>17</v>
      </c>
      <c r="N346">
        <v>1</v>
      </c>
      <c r="O346" s="18" t="s">
        <v>20</v>
      </c>
      <c r="P346" s="18" t="s">
        <v>1042</v>
      </c>
      <c r="S346" t="s">
        <v>47</v>
      </c>
      <c r="T346" t="s">
        <v>49</v>
      </c>
      <c r="U346">
        <v>2199</v>
      </c>
      <c r="V346" t="s">
        <v>1050</v>
      </c>
      <c r="W346">
        <v>95</v>
      </c>
      <c r="X346">
        <v>38</v>
      </c>
      <c r="AA346">
        <v>19.265822784810101</v>
      </c>
      <c r="AB346">
        <v>28.129988741980299</v>
      </c>
      <c r="AC346">
        <v>34.911392405063303</v>
      </c>
      <c r="AD346">
        <v>27.154633835863301</v>
      </c>
      <c r="AE346" t="s">
        <v>71</v>
      </c>
      <c r="AF346" t="s">
        <v>61</v>
      </c>
      <c r="AG346" t="str">
        <f t="shared" ref="AG346:AG359" si="13">IF(AE346="mean", "mean", "")</f>
        <v>mean</v>
      </c>
      <c r="AH346" t="s">
        <v>213</v>
      </c>
      <c r="AS346" t="s">
        <v>849</v>
      </c>
      <c r="AT346" t="s">
        <v>849</v>
      </c>
      <c r="AV346" t="s">
        <v>1803</v>
      </c>
      <c r="AW346" t="s">
        <v>1815</v>
      </c>
      <c r="AX346" t="s">
        <v>1816</v>
      </c>
      <c r="AY346" t="s">
        <v>1806</v>
      </c>
      <c r="AZ346" t="s">
        <v>76</v>
      </c>
    </row>
    <row r="347" spans="1:52" x14ac:dyDescent="0.2">
      <c r="A347" t="s">
        <v>1047</v>
      </c>
      <c r="B347" t="s">
        <v>1048</v>
      </c>
      <c r="C347" t="s">
        <v>1049</v>
      </c>
      <c r="D347">
        <v>1998</v>
      </c>
      <c r="E347" t="s">
        <v>1274</v>
      </c>
      <c r="F347" t="s">
        <v>1341</v>
      </c>
      <c r="G347" t="s">
        <v>1418</v>
      </c>
      <c r="H347" t="s">
        <v>1515</v>
      </c>
      <c r="I347" t="s">
        <v>1046</v>
      </c>
      <c r="J347" t="s">
        <v>83</v>
      </c>
      <c r="K347" t="s">
        <v>35</v>
      </c>
      <c r="L347" t="s">
        <v>11</v>
      </c>
      <c r="M347" t="s">
        <v>17</v>
      </c>
      <c r="N347">
        <v>1</v>
      </c>
      <c r="O347" s="18" t="s">
        <v>20</v>
      </c>
      <c r="P347" s="18" t="s">
        <v>1042</v>
      </c>
      <c r="S347" t="s">
        <v>47</v>
      </c>
      <c r="T347" t="s">
        <v>49</v>
      </c>
      <c r="U347">
        <v>2199</v>
      </c>
      <c r="V347" t="s">
        <v>1050</v>
      </c>
      <c r="W347">
        <v>95</v>
      </c>
      <c r="X347">
        <v>21</v>
      </c>
      <c r="AA347">
        <v>19.4177215189873</v>
      </c>
      <c r="AB347">
        <v>26.649463018718201</v>
      </c>
      <c r="AC347">
        <v>35.518987341772203</v>
      </c>
      <c r="AD347">
        <v>26.4513229987325</v>
      </c>
      <c r="AE347" t="s">
        <v>71</v>
      </c>
      <c r="AF347" t="s">
        <v>61</v>
      </c>
      <c r="AG347" t="str">
        <f t="shared" si="13"/>
        <v>mean</v>
      </c>
      <c r="AH347" t="s">
        <v>213</v>
      </c>
      <c r="AS347" t="s">
        <v>849</v>
      </c>
      <c r="AT347" t="s">
        <v>849</v>
      </c>
      <c r="AV347" t="s">
        <v>1803</v>
      </c>
      <c r="AW347" t="s">
        <v>1815</v>
      </c>
      <c r="AX347" t="s">
        <v>1816</v>
      </c>
      <c r="AY347" t="s">
        <v>1806</v>
      </c>
      <c r="AZ347" t="s">
        <v>76</v>
      </c>
    </row>
    <row r="348" spans="1:52" x14ac:dyDescent="0.2">
      <c r="A348" t="s">
        <v>1047</v>
      </c>
      <c r="B348" t="s">
        <v>1048</v>
      </c>
      <c r="C348" t="s">
        <v>1049</v>
      </c>
      <c r="D348">
        <v>1998</v>
      </c>
      <c r="E348" t="s">
        <v>1274</v>
      </c>
      <c r="F348" t="s">
        <v>1341</v>
      </c>
      <c r="G348" t="s">
        <v>1418</v>
      </c>
      <c r="H348" t="s">
        <v>1516</v>
      </c>
      <c r="I348" t="s">
        <v>1046</v>
      </c>
      <c r="J348" t="s">
        <v>83</v>
      </c>
      <c r="K348" t="s">
        <v>35</v>
      </c>
      <c r="L348" t="s">
        <v>11</v>
      </c>
      <c r="M348" t="s">
        <v>17</v>
      </c>
      <c r="N348">
        <v>1</v>
      </c>
      <c r="O348" s="18" t="s">
        <v>20</v>
      </c>
      <c r="P348" s="18" t="s">
        <v>1042</v>
      </c>
      <c r="S348" t="s">
        <v>47</v>
      </c>
      <c r="T348" t="s">
        <v>49</v>
      </c>
      <c r="U348">
        <v>2199</v>
      </c>
      <c r="V348" t="s">
        <v>1050</v>
      </c>
      <c r="W348">
        <v>95</v>
      </c>
      <c r="X348">
        <v>17</v>
      </c>
      <c r="AA348">
        <v>19.4177215189873</v>
      </c>
      <c r="AB348">
        <v>26.649463018718201</v>
      </c>
      <c r="AC348">
        <v>35.2151898734177</v>
      </c>
      <c r="AD348">
        <v>26.9306645926419</v>
      </c>
      <c r="AE348" t="s">
        <v>71</v>
      </c>
      <c r="AF348" t="s">
        <v>61</v>
      </c>
      <c r="AG348" t="str">
        <f t="shared" si="13"/>
        <v>mean</v>
      </c>
      <c r="AH348" t="s">
        <v>213</v>
      </c>
      <c r="AS348" t="s">
        <v>849</v>
      </c>
      <c r="AT348" t="s">
        <v>849</v>
      </c>
      <c r="AV348" t="s">
        <v>1803</v>
      </c>
      <c r="AW348" t="s">
        <v>1815</v>
      </c>
      <c r="AX348" t="s">
        <v>1816</v>
      </c>
      <c r="AY348" t="s">
        <v>1806</v>
      </c>
      <c r="AZ348" t="s">
        <v>76</v>
      </c>
    </row>
    <row r="349" spans="1:52" x14ac:dyDescent="0.2">
      <c r="A349" t="s">
        <v>1047</v>
      </c>
      <c r="B349" t="s">
        <v>1048</v>
      </c>
      <c r="C349" t="s">
        <v>1049</v>
      </c>
      <c r="D349">
        <v>1998</v>
      </c>
      <c r="E349" t="s">
        <v>1274</v>
      </c>
      <c r="F349" t="s">
        <v>1341</v>
      </c>
      <c r="G349" t="s">
        <v>1418</v>
      </c>
      <c r="H349" t="s">
        <v>1517</v>
      </c>
      <c r="I349" t="s">
        <v>1046</v>
      </c>
      <c r="J349" t="s">
        <v>83</v>
      </c>
      <c r="K349" t="s">
        <v>35</v>
      </c>
      <c r="L349" t="s">
        <v>11</v>
      </c>
      <c r="M349" t="s">
        <v>17</v>
      </c>
      <c r="N349">
        <v>1</v>
      </c>
      <c r="O349" s="18" t="s">
        <v>20</v>
      </c>
      <c r="P349" s="18" t="s">
        <v>1042</v>
      </c>
      <c r="S349" t="s">
        <v>47</v>
      </c>
      <c r="T349" t="s">
        <v>49</v>
      </c>
      <c r="U349">
        <v>2199</v>
      </c>
      <c r="V349" t="s">
        <v>1050</v>
      </c>
      <c r="W349">
        <v>95</v>
      </c>
      <c r="X349">
        <v>12</v>
      </c>
      <c r="AA349">
        <v>19.137055837563501</v>
      </c>
      <c r="AB349">
        <v>28.201384652492901</v>
      </c>
      <c r="AC349">
        <v>40.761421319797002</v>
      </c>
      <c r="AD349">
        <v>26.3764082370895</v>
      </c>
      <c r="AE349" t="s">
        <v>71</v>
      </c>
      <c r="AF349" t="s">
        <v>61</v>
      </c>
      <c r="AG349" t="str">
        <f t="shared" si="13"/>
        <v>mean</v>
      </c>
      <c r="AH349" t="s">
        <v>213</v>
      </c>
      <c r="AS349" t="s">
        <v>849</v>
      </c>
      <c r="AT349" t="s">
        <v>849</v>
      </c>
      <c r="AV349" t="s">
        <v>1803</v>
      </c>
      <c r="AW349" t="s">
        <v>1815</v>
      </c>
      <c r="AX349" t="s">
        <v>1816</v>
      </c>
      <c r="AY349" t="s">
        <v>1806</v>
      </c>
      <c r="AZ349" t="s">
        <v>76</v>
      </c>
    </row>
    <row r="350" spans="1:52" x14ac:dyDescent="0.2">
      <c r="A350" t="s">
        <v>1047</v>
      </c>
      <c r="B350" t="s">
        <v>1048</v>
      </c>
      <c r="C350" t="s">
        <v>1049</v>
      </c>
      <c r="D350">
        <v>1998</v>
      </c>
      <c r="E350" t="s">
        <v>1274</v>
      </c>
      <c r="F350" t="s">
        <v>1341</v>
      </c>
      <c r="G350" t="s">
        <v>1418</v>
      </c>
      <c r="H350" t="s">
        <v>1518</v>
      </c>
      <c r="I350" t="s">
        <v>1046</v>
      </c>
      <c r="J350" t="s">
        <v>83</v>
      </c>
      <c r="K350" t="s">
        <v>35</v>
      </c>
      <c r="L350" t="s">
        <v>11</v>
      </c>
      <c r="M350" t="s">
        <v>17</v>
      </c>
      <c r="N350">
        <v>1</v>
      </c>
      <c r="O350" s="18" t="s">
        <v>20</v>
      </c>
      <c r="P350" s="18" t="s">
        <v>1042</v>
      </c>
      <c r="S350" t="s">
        <v>47</v>
      </c>
      <c r="T350" t="s">
        <v>49</v>
      </c>
      <c r="U350">
        <v>2199</v>
      </c>
      <c r="V350" t="s">
        <v>1050</v>
      </c>
      <c r="W350">
        <v>95</v>
      </c>
      <c r="X350">
        <v>3</v>
      </c>
      <c r="AA350">
        <v>19.265822784810101</v>
      </c>
      <c r="AB350">
        <v>28.129988741980299</v>
      </c>
      <c r="AC350">
        <v>52.531645569620302</v>
      </c>
      <c r="AD350">
        <v>26.5727288452339</v>
      </c>
      <c r="AE350" t="s">
        <v>71</v>
      </c>
      <c r="AF350" t="s">
        <v>61</v>
      </c>
      <c r="AG350" t="str">
        <f t="shared" si="13"/>
        <v>mean</v>
      </c>
      <c r="AH350" t="s">
        <v>213</v>
      </c>
      <c r="AS350" t="s">
        <v>849</v>
      </c>
      <c r="AT350" t="s">
        <v>849</v>
      </c>
      <c r="AV350" t="s">
        <v>1803</v>
      </c>
      <c r="AW350" t="s">
        <v>1815</v>
      </c>
      <c r="AX350" t="s">
        <v>1816</v>
      </c>
      <c r="AY350" t="s">
        <v>1806</v>
      </c>
      <c r="AZ350" t="s">
        <v>76</v>
      </c>
    </row>
    <row r="351" spans="1:52" x14ac:dyDescent="0.2">
      <c r="A351" t="s">
        <v>1047</v>
      </c>
      <c r="B351" t="s">
        <v>1048</v>
      </c>
      <c r="C351" t="s">
        <v>1049</v>
      </c>
      <c r="D351">
        <v>1998</v>
      </c>
      <c r="E351" t="s">
        <v>1274</v>
      </c>
      <c r="F351" t="s">
        <v>1341</v>
      </c>
      <c r="G351" t="s">
        <v>1418</v>
      </c>
      <c r="H351" t="s">
        <v>1519</v>
      </c>
      <c r="I351" t="s">
        <v>1046</v>
      </c>
      <c r="J351" t="s">
        <v>83</v>
      </c>
      <c r="K351" t="s">
        <v>35</v>
      </c>
      <c r="L351" t="s">
        <v>11</v>
      </c>
      <c r="M351" t="s">
        <v>17</v>
      </c>
      <c r="N351">
        <v>1</v>
      </c>
      <c r="O351" s="18" t="s">
        <v>20</v>
      </c>
      <c r="P351" s="18" t="s">
        <v>1042</v>
      </c>
      <c r="S351" t="s">
        <v>47</v>
      </c>
      <c r="T351" t="s">
        <v>49</v>
      </c>
      <c r="U351">
        <v>2199</v>
      </c>
      <c r="V351" t="s">
        <v>1050</v>
      </c>
      <c r="W351">
        <v>95</v>
      </c>
      <c r="X351">
        <v>4</v>
      </c>
      <c r="AA351">
        <v>19.265822784810101</v>
      </c>
      <c r="AB351">
        <v>28.129988741980299</v>
      </c>
      <c r="AC351">
        <v>62.860759493670898</v>
      </c>
      <c r="AD351">
        <v>26.430379746835399</v>
      </c>
      <c r="AE351" t="s">
        <v>71</v>
      </c>
      <c r="AF351" t="s">
        <v>61</v>
      </c>
      <c r="AG351" t="str">
        <f t="shared" si="13"/>
        <v>mean</v>
      </c>
      <c r="AH351" t="s">
        <v>213</v>
      </c>
      <c r="AS351" t="s">
        <v>849</v>
      </c>
      <c r="AT351" t="s">
        <v>849</v>
      </c>
      <c r="AV351" t="s">
        <v>1803</v>
      </c>
      <c r="AW351" t="s">
        <v>1815</v>
      </c>
      <c r="AX351" t="s">
        <v>1816</v>
      </c>
      <c r="AY351" t="s">
        <v>1806</v>
      </c>
      <c r="AZ351" t="s">
        <v>76</v>
      </c>
    </row>
    <row r="352" spans="1:52" x14ac:dyDescent="0.2">
      <c r="A352" t="s">
        <v>1047</v>
      </c>
      <c r="B352" t="s">
        <v>1048</v>
      </c>
      <c r="C352" t="s">
        <v>1049</v>
      </c>
      <c r="D352">
        <v>1998</v>
      </c>
      <c r="E352" t="s">
        <v>1274</v>
      </c>
      <c r="F352" t="s">
        <v>1341</v>
      </c>
      <c r="G352" t="s">
        <v>1418</v>
      </c>
      <c r="H352" t="s">
        <v>1520</v>
      </c>
      <c r="I352" t="s">
        <v>1046</v>
      </c>
      <c r="J352" t="s">
        <v>83</v>
      </c>
      <c r="K352" t="s">
        <v>35</v>
      </c>
      <c r="L352" t="s">
        <v>11</v>
      </c>
      <c r="M352" t="s">
        <v>17</v>
      </c>
      <c r="N352">
        <v>1</v>
      </c>
      <c r="O352" s="18" t="s">
        <v>20</v>
      </c>
      <c r="P352" s="18" t="s">
        <v>1042</v>
      </c>
      <c r="S352" t="s">
        <v>47</v>
      </c>
      <c r="T352" t="s">
        <v>49</v>
      </c>
      <c r="U352">
        <v>2199</v>
      </c>
      <c r="V352" t="s">
        <v>528</v>
      </c>
      <c r="W352">
        <v>53</v>
      </c>
      <c r="X352">
        <v>15</v>
      </c>
      <c r="AA352">
        <v>27.5510204081633</v>
      </c>
      <c r="AB352">
        <v>28.2289975298632</v>
      </c>
      <c r="AC352">
        <v>56.530612244898002</v>
      </c>
      <c r="AD352">
        <v>26.0833572295602</v>
      </c>
      <c r="AE352" t="s">
        <v>71</v>
      </c>
      <c r="AF352" t="s">
        <v>61</v>
      </c>
      <c r="AG352" t="str">
        <f t="shared" si="13"/>
        <v>mean</v>
      </c>
      <c r="AH352" t="s">
        <v>213</v>
      </c>
      <c r="AS352" t="s">
        <v>849</v>
      </c>
      <c r="AT352" t="s">
        <v>849</v>
      </c>
      <c r="AV352" t="s">
        <v>1803</v>
      </c>
      <c r="AW352" t="s">
        <v>1815</v>
      </c>
      <c r="AX352" t="s">
        <v>1816</v>
      </c>
      <c r="AY352" t="s">
        <v>1806</v>
      </c>
      <c r="AZ352" t="s">
        <v>76</v>
      </c>
    </row>
    <row r="353" spans="1:52" x14ac:dyDescent="0.2">
      <c r="A353" t="s">
        <v>1047</v>
      </c>
      <c r="B353" t="s">
        <v>1048</v>
      </c>
      <c r="C353" t="s">
        <v>1049</v>
      </c>
      <c r="D353">
        <v>1998</v>
      </c>
      <c r="E353" t="s">
        <v>1274</v>
      </c>
      <c r="F353" t="s">
        <v>1341</v>
      </c>
      <c r="G353" t="s">
        <v>1418</v>
      </c>
      <c r="H353" t="s">
        <v>1521</v>
      </c>
      <c r="I353" t="s">
        <v>1046</v>
      </c>
      <c r="J353" t="s">
        <v>83</v>
      </c>
      <c r="K353" t="s">
        <v>35</v>
      </c>
      <c r="L353" t="s">
        <v>11</v>
      </c>
      <c r="M353" t="s">
        <v>17</v>
      </c>
      <c r="N353">
        <v>1</v>
      </c>
      <c r="O353" s="18" t="s">
        <v>20</v>
      </c>
      <c r="P353" s="18" t="s">
        <v>1042</v>
      </c>
      <c r="S353" t="s">
        <v>47</v>
      </c>
      <c r="T353" t="s">
        <v>49</v>
      </c>
      <c r="U353">
        <v>2199</v>
      </c>
      <c r="V353" t="s">
        <v>528</v>
      </c>
      <c r="W353">
        <v>53</v>
      </c>
      <c r="X353">
        <v>20</v>
      </c>
      <c r="AA353">
        <v>27.5510204081633</v>
      </c>
      <c r="AB353">
        <v>28.2289975298632</v>
      </c>
      <c r="AC353">
        <v>47.551020408163303</v>
      </c>
      <c r="AD353">
        <v>27.380424214283099</v>
      </c>
      <c r="AE353" t="s">
        <v>71</v>
      </c>
      <c r="AF353" t="s">
        <v>61</v>
      </c>
      <c r="AG353" t="str">
        <f t="shared" si="13"/>
        <v>mean</v>
      </c>
      <c r="AH353" t="s">
        <v>213</v>
      </c>
      <c r="AS353" t="s">
        <v>849</v>
      </c>
      <c r="AT353" t="s">
        <v>849</v>
      </c>
      <c r="AV353" t="s">
        <v>1803</v>
      </c>
      <c r="AW353" t="s">
        <v>1815</v>
      </c>
      <c r="AX353" t="s">
        <v>1816</v>
      </c>
      <c r="AY353" t="s">
        <v>1806</v>
      </c>
      <c r="AZ353" t="s">
        <v>76</v>
      </c>
    </row>
    <row r="354" spans="1:52" x14ac:dyDescent="0.2">
      <c r="A354" t="s">
        <v>1047</v>
      </c>
      <c r="B354" t="s">
        <v>1048</v>
      </c>
      <c r="C354" t="s">
        <v>1049</v>
      </c>
      <c r="D354">
        <v>1998</v>
      </c>
      <c r="E354" t="s">
        <v>1274</v>
      </c>
      <c r="F354" t="s">
        <v>1341</v>
      </c>
      <c r="G354" t="s">
        <v>1418</v>
      </c>
      <c r="H354" t="s">
        <v>1522</v>
      </c>
      <c r="I354" t="s">
        <v>1046</v>
      </c>
      <c r="J354" t="s">
        <v>83</v>
      </c>
      <c r="K354" t="s">
        <v>35</v>
      </c>
      <c r="L354" t="s">
        <v>11</v>
      </c>
      <c r="M354" t="s">
        <v>17</v>
      </c>
      <c r="N354">
        <v>1</v>
      </c>
      <c r="O354" s="18" t="s">
        <v>20</v>
      </c>
      <c r="P354" s="18" t="s">
        <v>1042</v>
      </c>
      <c r="S354" t="s">
        <v>47</v>
      </c>
      <c r="T354" t="s">
        <v>49</v>
      </c>
      <c r="U354">
        <v>2199</v>
      </c>
      <c r="V354" t="s">
        <v>528</v>
      </c>
      <c r="W354">
        <v>53</v>
      </c>
      <c r="X354">
        <v>8</v>
      </c>
      <c r="AA354">
        <v>27.440273037542699</v>
      </c>
      <c r="AB354">
        <v>28.3253422313303</v>
      </c>
      <c r="AC354">
        <v>36.860068259385699</v>
      </c>
      <c r="AD354">
        <v>30.1184048778433</v>
      </c>
      <c r="AE354" t="s">
        <v>71</v>
      </c>
      <c r="AF354" t="s">
        <v>61</v>
      </c>
      <c r="AG354" t="str">
        <f t="shared" si="13"/>
        <v>mean</v>
      </c>
      <c r="AH354" t="s">
        <v>213</v>
      </c>
      <c r="AS354" t="s">
        <v>849</v>
      </c>
      <c r="AT354" t="s">
        <v>849</v>
      </c>
      <c r="AV354" t="s">
        <v>1803</v>
      </c>
      <c r="AW354" t="s">
        <v>1815</v>
      </c>
      <c r="AX354" t="s">
        <v>1816</v>
      </c>
      <c r="AY354" t="s">
        <v>1806</v>
      </c>
      <c r="AZ354" t="s">
        <v>76</v>
      </c>
    </row>
    <row r="355" spans="1:52" x14ac:dyDescent="0.2">
      <c r="A355" t="s">
        <v>1047</v>
      </c>
      <c r="B355" t="s">
        <v>1048</v>
      </c>
      <c r="C355" t="s">
        <v>1049</v>
      </c>
      <c r="D355">
        <v>1998</v>
      </c>
      <c r="E355" t="s">
        <v>1274</v>
      </c>
      <c r="F355" t="s">
        <v>1341</v>
      </c>
      <c r="G355" t="s">
        <v>1418</v>
      </c>
      <c r="H355" t="s">
        <v>1523</v>
      </c>
      <c r="I355" t="s">
        <v>1046</v>
      </c>
      <c r="J355" t="s">
        <v>83</v>
      </c>
      <c r="K355" t="s">
        <v>35</v>
      </c>
      <c r="L355" t="s">
        <v>11</v>
      </c>
      <c r="M355" t="s">
        <v>17</v>
      </c>
      <c r="N355">
        <v>1</v>
      </c>
      <c r="O355" s="18" t="s">
        <v>20</v>
      </c>
      <c r="P355" s="18" t="s">
        <v>1042</v>
      </c>
      <c r="S355" t="s">
        <v>47</v>
      </c>
      <c r="T355" t="s">
        <v>49</v>
      </c>
      <c r="U355">
        <v>2199</v>
      </c>
      <c r="V355" t="s">
        <v>528</v>
      </c>
      <c r="W355">
        <v>53</v>
      </c>
      <c r="X355">
        <v>3</v>
      </c>
      <c r="AA355">
        <v>27.645051194539299</v>
      </c>
      <c r="AB355">
        <v>26.834534745470801</v>
      </c>
      <c r="AC355">
        <v>1.0238907849829499</v>
      </c>
      <c r="AD355">
        <v>26.956149087078799</v>
      </c>
      <c r="AE355" t="s">
        <v>71</v>
      </c>
      <c r="AF355" t="s">
        <v>61</v>
      </c>
      <c r="AG355" t="str">
        <f t="shared" si="13"/>
        <v>mean</v>
      </c>
      <c r="AH355" t="s">
        <v>213</v>
      </c>
      <c r="AS355" t="s">
        <v>849</v>
      </c>
      <c r="AT355" t="s">
        <v>849</v>
      </c>
      <c r="AV355" t="s">
        <v>1803</v>
      </c>
      <c r="AW355" t="s">
        <v>1815</v>
      </c>
      <c r="AX355" t="s">
        <v>1816</v>
      </c>
      <c r="AY355" t="s">
        <v>1806</v>
      </c>
      <c r="AZ355" t="s">
        <v>76</v>
      </c>
    </row>
    <row r="356" spans="1:52" x14ac:dyDescent="0.2">
      <c r="A356" t="s">
        <v>1047</v>
      </c>
      <c r="B356" t="s">
        <v>1048</v>
      </c>
      <c r="C356" t="s">
        <v>1049</v>
      </c>
      <c r="D356">
        <v>1998</v>
      </c>
      <c r="E356" t="s">
        <v>1274</v>
      </c>
      <c r="F356" t="s">
        <v>1341</v>
      </c>
      <c r="G356" t="s">
        <v>1418</v>
      </c>
      <c r="H356" t="s">
        <v>1524</v>
      </c>
      <c r="I356" t="s">
        <v>1046</v>
      </c>
      <c r="J356" t="s">
        <v>83</v>
      </c>
      <c r="K356" t="s">
        <v>35</v>
      </c>
      <c r="L356" t="s">
        <v>11</v>
      </c>
      <c r="M356" t="s">
        <v>17</v>
      </c>
      <c r="N356">
        <v>1</v>
      </c>
      <c r="O356" s="18" t="s">
        <v>20</v>
      </c>
      <c r="P356" s="18" t="s">
        <v>1042</v>
      </c>
      <c r="S356" t="s">
        <v>47</v>
      </c>
      <c r="T356" t="s">
        <v>49</v>
      </c>
      <c r="U356">
        <v>2199</v>
      </c>
      <c r="V356" t="s">
        <v>528</v>
      </c>
      <c r="W356">
        <v>53</v>
      </c>
      <c r="X356">
        <v>7</v>
      </c>
      <c r="AA356">
        <v>27.589743589743598</v>
      </c>
      <c r="AB356">
        <v>26.880405745035699</v>
      </c>
      <c r="AC356">
        <v>-0.92307692307689804</v>
      </c>
      <c r="AD356">
        <v>27.135910882713699</v>
      </c>
      <c r="AE356" t="s">
        <v>71</v>
      </c>
      <c r="AF356" t="s">
        <v>61</v>
      </c>
      <c r="AG356" t="str">
        <f t="shared" si="13"/>
        <v>mean</v>
      </c>
      <c r="AH356" t="s">
        <v>213</v>
      </c>
      <c r="AS356" t="s">
        <v>849</v>
      </c>
      <c r="AT356" t="s">
        <v>849</v>
      </c>
      <c r="AV356" t="s">
        <v>1803</v>
      </c>
      <c r="AW356" t="s">
        <v>1815</v>
      </c>
      <c r="AX356" t="s">
        <v>1816</v>
      </c>
      <c r="AY356" t="s">
        <v>1806</v>
      </c>
      <c r="AZ356" t="s">
        <v>76</v>
      </c>
    </row>
    <row r="357" spans="1:52" x14ac:dyDescent="0.2">
      <c r="A357" t="s">
        <v>1047</v>
      </c>
      <c r="B357" t="s">
        <v>1048</v>
      </c>
      <c r="C357" t="s">
        <v>1049</v>
      </c>
      <c r="D357">
        <v>1998</v>
      </c>
      <c r="E357" t="s">
        <v>1274</v>
      </c>
      <c r="F357" t="s">
        <v>1341</v>
      </c>
      <c r="G357" t="s">
        <v>1419</v>
      </c>
      <c r="H357" t="s">
        <v>1525</v>
      </c>
      <c r="I357" t="s">
        <v>1046</v>
      </c>
      <c r="J357" t="s">
        <v>83</v>
      </c>
      <c r="K357" t="s">
        <v>35</v>
      </c>
      <c r="L357" t="s">
        <v>11</v>
      </c>
      <c r="M357" t="s">
        <v>17</v>
      </c>
      <c r="N357">
        <v>1</v>
      </c>
      <c r="O357" s="18" t="s">
        <v>20</v>
      </c>
      <c r="P357" s="18" t="s">
        <v>1042</v>
      </c>
      <c r="S357" t="s">
        <v>47</v>
      </c>
      <c r="T357" t="s">
        <v>49</v>
      </c>
      <c r="U357">
        <v>2199</v>
      </c>
      <c r="V357">
        <v>3</v>
      </c>
      <c r="W357">
        <v>58</v>
      </c>
      <c r="X357">
        <v>39</v>
      </c>
      <c r="AA357">
        <v>1.9567839195979899</v>
      </c>
      <c r="AB357">
        <v>0.31381577622152801</v>
      </c>
      <c r="AC357">
        <v>1.74874371859297</v>
      </c>
      <c r="AD357">
        <v>0.32637175469016799</v>
      </c>
      <c r="AE357" t="s">
        <v>71</v>
      </c>
      <c r="AF357" t="s">
        <v>61</v>
      </c>
      <c r="AG357" t="str">
        <f t="shared" si="13"/>
        <v>mean</v>
      </c>
      <c r="AH357" t="s">
        <v>213</v>
      </c>
      <c r="AS357" t="s">
        <v>849</v>
      </c>
      <c r="AT357" t="s">
        <v>222</v>
      </c>
      <c r="AV357" t="s">
        <v>1803</v>
      </c>
      <c r="AW357" t="s">
        <v>1815</v>
      </c>
      <c r="AX357" t="s">
        <v>1816</v>
      </c>
      <c r="AY357" t="s">
        <v>1806</v>
      </c>
      <c r="AZ357" t="s">
        <v>76</v>
      </c>
    </row>
    <row r="358" spans="1:52" x14ac:dyDescent="0.2">
      <c r="A358" t="s">
        <v>1047</v>
      </c>
      <c r="B358" t="s">
        <v>1048</v>
      </c>
      <c r="C358" t="s">
        <v>1049</v>
      </c>
      <c r="D358">
        <v>1998</v>
      </c>
      <c r="E358" t="s">
        <v>1274</v>
      </c>
      <c r="F358" t="s">
        <v>1341</v>
      </c>
      <c r="G358" t="s">
        <v>1419</v>
      </c>
      <c r="H358" t="s">
        <v>1526</v>
      </c>
      <c r="I358" t="s">
        <v>1046</v>
      </c>
      <c r="J358" t="s">
        <v>83</v>
      </c>
      <c r="K358" t="s">
        <v>35</v>
      </c>
      <c r="L358" t="s">
        <v>11</v>
      </c>
      <c r="M358" t="s">
        <v>17</v>
      </c>
      <c r="N358">
        <v>1</v>
      </c>
      <c r="O358" s="18" t="s">
        <v>20</v>
      </c>
      <c r="P358" s="18" t="s">
        <v>1042</v>
      </c>
      <c r="S358" t="s">
        <v>47</v>
      </c>
      <c r="T358" t="s">
        <v>49</v>
      </c>
      <c r="U358">
        <v>2199</v>
      </c>
      <c r="V358">
        <v>3</v>
      </c>
      <c r="W358">
        <v>58</v>
      </c>
      <c r="X358">
        <v>23</v>
      </c>
      <c r="AA358">
        <v>1.95488721804511</v>
      </c>
      <c r="AB358">
        <v>0.32829899102972199</v>
      </c>
      <c r="AC358">
        <v>1.7563909774436099</v>
      </c>
      <c r="AD358">
        <v>0.37020453864168301</v>
      </c>
      <c r="AE358" t="s">
        <v>71</v>
      </c>
      <c r="AF358" t="s">
        <v>61</v>
      </c>
      <c r="AG358" t="str">
        <f t="shared" si="13"/>
        <v>mean</v>
      </c>
      <c r="AH358" t="s">
        <v>213</v>
      </c>
      <c r="AS358" t="s">
        <v>849</v>
      </c>
      <c r="AT358" t="s">
        <v>222</v>
      </c>
      <c r="AV358" t="s">
        <v>1803</v>
      </c>
      <c r="AW358" t="s">
        <v>1815</v>
      </c>
      <c r="AX358" t="s">
        <v>1816</v>
      </c>
      <c r="AY358" t="s">
        <v>1806</v>
      </c>
      <c r="AZ358" t="s">
        <v>76</v>
      </c>
    </row>
    <row r="359" spans="1:52" x14ac:dyDescent="0.2">
      <c r="A359" t="s">
        <v>1047</v>
      </c>
      <c r="B359" t="s">
        <v>1048</v>
      </c>
      <c r="C359" t="s">
        <v>1049</v>
      </c>
      <c r="D359">
        <v>1998</v>
      </c>
      <c r="E359" t="s">
        <v>1274</v>
      </c>
      <c r="F359" t="s">
        <v>1341</v>
      </c>
      <c r="G359" t="s">
        <v>1419</v>
      </c>
      <c r="H359" t="s">
        <v>1527</v>
      </c>
      <c r="I359" t="s">
        <v>1046</v>
      </c>
      <c r="J359" t="s">
        <v>83</v>
      </c>
      <c r="K359" t="s">
        <v>35</v>
      </c>
      <c r="L359" t="s">
        <v>11</v>
      </c>
      <c r="M359" t="s">
        <v>17</v>
      </c>
      <c r="N359">
        <v>1</v>
      </c>
      <c r="O359" s="18" t="s">
        <v>20</v>
      </c>
      <c r="P359" s="18" t="s">
        <v>1042</v>
      </c>
      <c r="S359" t="s">
        <v>47</v>
      </c>
      <c r="T359" t="s">
        <v>49</v>
      </c>
      <c r="U359">
        <v>2199</v>
      </c>
      <c r="V359">
        <v>3</v>
      </c>
      <c r="W359">
        <v>58</v>
      </c>
      <c r="X359">
        <v>12</v>
      </c>
      <c r="AA359">
        <v>1.95577889447236</v>
      </c>
      <c r="AB359">
        <v>0.321469819544004</v>
      </c>
      <c r="AC359">
        <v>1.7829145728643201</v>
      </c>
      <c r="AD359">
        <v>0.53885563448224405</v>
      </c>
      <c r="AE359" t="s">
        <v>71</v>
      </c>
      <c r="AF359" t="s">
        <v>61</v>
      </c>
      <c r="AG359" t="str">
        <f t="shared" si="13"/>
        <v>mean</v>
      </c>
      <c r="AH359" t="s">
        <v>213</v>
      </c>
      <c r="AS359" t="s">
        <v>849</v>
      </c>
      <c r="AT359" t="s">
        <v>222</v>
      </c>
      <c r="AV359" t="s">
        <v>1803</v>
      </c>
      <c r="AW359" t="s">
        <v>1815</v>
      </c>
      <c r="AX359" t="s">
        <v>1816</v>
      </c>
      <c r="AY359" t="s">
        <v>1806</v>
      </c>
      <c r="AZ359" t="s">
        <v>76</v>
      </c>
    </row>
    <row r="360" spans="1:52" x14ac:dyDescent="0.2">
      <c r="A360" t="s">
        <v>1051</v>
      </c>
      <c r="B360" t="s">
        <v>1052</v>
      </c>
      <c r="C360" t="s">
        <v>1053</v>
      </c>
      <c r="D360">
        <v>2010</v>
      </c>
      <c r="E360" t="s">
        <v>1275</v>
      </c>
      <c r="F360" t="s">
        <v>1342</v>
      </c>
      <c r="G360" t="s">
        <v>1420</v>
      </c>
      <c r="H360" t="s">
        <v>1528</v>
      </c>
      <c r="I360" t="s">
        <v>1054</v>
      </c>
      <c r="J360" t="s">
        <v>29</v>
      </c>
      <c r="K360" t="s">
        <v>35</v>
      </c>
      <c r="L360" t="s">
        <v>11</v>
      </c>
      <c r="M360" t="s">
        <v>19</v>
      </c>
      <c r="N360">
        <v>0</v>
      </c>
      <c r="O360" s="18" t="s">
        <v>20</v>
      </c>
      <c r="P360" s="18" t="s">
        <v>26</v>
      </c>
      <c r="S360" t="s">
        <v>47</v>
      </c>
      <c r="T360" t="s">
        <v>51</v>
      </c>
      <c r="U360">
        <v>828</v>
      </c>
      <c r="W360">
        <v>176</v>
      </c>
      <c r="X360">
        <v>190</v>
      </c>
      <c r="Y360">
        <v>53</v>
      </c>
      <c r="Z360">
        <v>42</v>
      </c>
      <c r="AG360" t="s">
        <v>1790</v>
      </c>
      <c r="AH360" t="s">
        <v>213</v>
      </c>
      <c r="AS360" t="s">
        <v>849</v>
      </c>
      <c r="AT360" t="s">
        <v>849</v>
      </c>
      <c r="AV360" t="s">
        <v>1803</v>
      </c>
      <c r="AW360" t="s">
        <v>1804</v>
      </c>
      <c r="AX360" t="s">
        <v>1808</v>
      </c>
      <c r="AY360" t="s">
        <v>1814</v>
      </c>
      <c r="AZ360" t="s">
        <v>76</v>
      </c>
    </row>
    <row r="361" spans="1:52" x14ac:dyDescent="0.2">
      <c r="A361" t="s">
        <v>1055</v>
      </c>
      <c r="B361" t="s">
        <v>1056</v>
      </c>
      <c r="C361" t="s">
        <v>1057</v>
      </c>
      <c r="D361">
        <v>2000</v>
      </c>
      <c r="E361" t="s">
        <v>1276</v>
      </c>
      <c r="F361" t="s">
        <v>1343</v>
      </c>
      <c r="G361" t="s">
        <v>1421</v>
      </c>
      <c r="H361" t="s">
        <v>1529</v>
      </c>
      <c r="I361" t="s">
        <v>1058</v>
      </c>
      <c r="J361" t="s">
        <v>29</v>
      </c>
      <c r="K361" t="s">
        <v>34</v>
      </c>
      <c r="O361" s="18" t="s">
        <v>20</v>
      </c>
      <c r="P361" s="18" t="s">
        <v>27</v>
      </c>
      <c r="Q361" t="s">
        <v>38</v>
      </c>
      <c r="R361" t="s">
        <v>45</v>
      </c>
      <c r="S361" t="s">
        <v>47</v>
      </c>
      <c r="T361" t="s">
        <v>49</v>
      </c>
      <c r="U361">
        <v>567</v>
      </c>
      <c r="V361">
        <v>1</v>
      </c>
      <c r="W361">
        <v>145</v>
      </c>
      <c r="X361">
        <v>25</v>
      </c>
      <c r="AA361">
        <v>17.521613832852999</v>
      </c>
      <c r="AB361">
        <v>15.1008645533141</v>
      </c>
      <c r="AC361">
        <v>20.518731988472599</v>
      </c>
      <c r="AD361">
        <v>17.060518731988498</v>
      </c>
      <c r="AE361" t="s">
        <v>71</v>
      </c>
      <c r="AF361" t="s">
        <v>61</v>
      </c>
      <c r="AG361" t="str">
        <f>IF(AE361="mean", "mean", "")</f>
        <v>mean</v>
      </c>
      <c r="AH361" t="s">
        <v>213</v>
      </c>
      <c r="AS361" t="s">
        <v>222</v>
      </c>
      <c r="AT361" t="s">
        <v>849</v>
      </c>
      <c r="AV361" t="s">
        <v>1803</v>
      </c>
      <c r="AW361" t="s">
        <v>1804</v>
      </c>
      <c r="AX361" t="s">
        <v>1808</v>
      </c>
      <c r="AY361" t="s">
        <v>1814</v>
      </c>
      <c r="AZ361" t="s">
        <v>76</v>
      </c>
    </row>
    <row r="362" spans="1:52" x14ac:dyDescent="0.2">
      <c r="A362" t="s">
        <v>1059</v>
      </c>
      <c r="B362" t="s">
        <v>1060</v>
      </c>
      <c r="C362" t="s">
        <v>1061</v>
      </c>
      <c r="D362">
        <v>2015</v>
      </c>
      <c r="E362" t="s">
        <v>1277</v>
      </c>
      <c r="F362" t="s">
        <v>1344</v>
      </c>
      <c r="G362" t="s">
        <v>1422</v>
      </c>
      <c r="H362" t="s">
        <v>1530</v>
      </c>
      <c r="I362" t="s">
        <v>512</v>
      </c>
      <c r="J362" t="s">
        <v>83</v>
      </c>
      <c r="K362" t="s">
        <v>35</v>
      </c>
      <c r="L362" t="s">
        <v>11</v>
      </c>
      <c r="M362" t="s">
        <v>15</v>
      </c>
      <c r="N362">
        <v>1</v>
      </c>
      <c r="O362" s="18" t="s">
        <v>76</v>
      </c>
      <c r="P362" s="18" t="s">
        <v>1825</v>
      </c>
      <c r="S362" t="s">
        <v>47</v>
      </c>
      <c r="T362" t="s">
        <v>53</v>
      </c>
      <c r="W362">
        <v>144</v>
      </c>
      <c r="X362">
        <v>150</v>
      </c>
      <c r="AA362">
        <v>33.006944444444443</v>
      </c>
      <c r="AB362">
        <v>47.24308459813502</v>
      </c>
      <c r="AC362">
        <v>10.733333333333333</v>
      </c>
      <c r="AD362">
        <v>29.324307132723831</v>
      </c>
      <c r="AE362" t="s">
        <v>71</v>
      </c>
      <c r="AF362" t="s">
        <v>61</v>
      </c>
      <c r="AG362" t="str">
        <f>IF(AE362="mean", "mean", "")</f>
        <v>mean</v>
      </c>
      <c r="AH362" t="s">
        <v>213</v>
      </c>
      <c r="AS362" t="s">
        <v>849</v>
      </c>
      <c r="AT362" t="s">
        <v>849</v>
      </c>
      <c r="AV362" t="s">
        <v>1803</v>
      </c>
      <c r="AW362" t="s">
        <v>1815</v>
      </c>
      <c r="AX362" t="s">
        <v>1816</v>
      </c>
      <c r="AY362" t="s">
        <v>1814</v>
      </c>
      <c r="AZ362" t="s">
        <v>76</v>
      </c>
    </row>
    <row r="363" spans="1:52" x14ac:dyDescent="0.2">
      <c r="A363" t="s">
        <v>1059</v>
      </c>
      <c r="B363" t="s">
        <v>1060</v>
      </c>
      <c r="C363" t="s">
        <v>1061</v>
      </c>
      <c r="D363">
        <v>2015</v>
      </c>
      <c r="E363" t="s">
        <v>1277</v>
      </c>
      <c r="F363" t="s">
        <v>1344</v>
      </c>
      <c r="G363" t="s">
        <v>1422</v>
      </c>
      <c r="H363" t="s">
        <v>1531</v>
      </c>
      <c r="I363" t="s">
        <v>512</v>
      </c>
      <c r="J363" t="s">
        <v>83</v>
      </c>
      <c r="K363" t="s">
        <v>35</v>
      </c>
      <c r="L363" t="s">
        <v>11</v>
      </c>
      <c r="M363" t="s">
        <v>15</v>
      </c>
      <c r="N363">
        <v>1</v>
      </c>
      <c r="O363" s="18" t="s">
        <v>76</v>
      </c>
      <c r="P363" s="18" t="s">
        <v>1825</v>
      </c>
      <c r="S363" t="s">
        <v>47</v>
      </c>
      <c r="T363" t="s">
        <v>53</v>
      </c>
      <c r="W363">
        <v>144</v>
      </c>
      <c r="X363">
        <v>147</v>
      </c>
      <c r="AA363">
        <v>33.006944444444443</v>
      </c>
      <c r="AB363">
        <v>47.24308459813502</v>
      </c>
      <c r="AC363">
        <v>14.993197278911564</v>
      </c>
      <c r="AD363">
        <v>32.304098005153584</v>
      </c>
      <c r="AE363" t="s">
        <v>71</v>
      </c>
      <c r="AF363" t="s">
        <v>61</v>
      </c>
      <c r="AG363" t="str">
        <f>IF(AE363="mean", "mean", "")</f>
        <v>mean</v>
      </c>
      <c r="AH363" t="s">
        <v>213</v>
      </c>
      <c r="AS363" t="s">
        <v>849</v>
      </c>
      <c r="AT363" t="s">
        <v>849</v>
      </c>
      <c r="AV363" t="s">
        <v>1803</v>
      </c>
      <c r="AW363" t="s">
        <v>1815</v>
      </c>
      <c r="AX363" t="s">
        <v>1816</v>
      </c>
      <c r="AY363" t="s">
        <v>1814</v>
      </c>
      <c r="AZ363" t="s">
        <v>76</v>
      </c>
    </row>
    <row r="364" spans="1:52" x14ac:dyDescent="0.2">
      <c r="A364" t="s">
        <v>1062</v>
      </c>
      <c r="B364" t="s">
        <v>1063</v>
      </c>
      <c r="C364" t="s">
        <v>1064</v>
      </c>
      <c r="D364">
        <v>1992</v>
      </c>
      <c r="E364" t="s">
        <v>1278</v>
      </c>
      <c r="F364" t="s">
        <v>1345</v>
      </c>
      <c r="G364" t="s">
        <v>1423</v>
      </c>
      <c r="H364" t="s">
        <v>1532</v>
      </c>
      <c r="I364" t="s">
        <v>230</v>
      </c>
      <c r="J364" t="s">
        <v>31</v>
      </c>
      <c r="K364" t="s">
        <v>34</v>
      </c>
      <c r="O364" s="18" t="s">
        <v>20</v>
      </c>
      <c r="P364" s="18" t="s">
        <v>24</v>
      </c>
      <c r="Q364" t="s">
        <v>38</v>
      </c>
      <c r="R364" t="s">
        <v>45</v>
      </c>
      <c r="S364" t="s">
        <v>47</v>
      </c>
      <c r="T364" t="s">
        <v>50</v>
      </c>
      <c r="U364">
        <v>1148</v>
      </c>
      <c r="V364">
        <v>2</v>
      </c>
      <c r="AG364" t="s">
        <v>4</v>
      </c>
      <c r="AH364" t="s">
        <v>214</v>
      </c>
      <c r="AN364">
        <v>51</v>
      </c>
      <c r="AO364">
        <v>-9.5000000000000001E-2</v>
      </c>
      <c r="AS364" t="s">
        <v>222</v>
      </c>
      <c r="AT364" t="s">
        <v>222</v>
      </c>
      <c r="AV364" t="s">
        <v>1803</v>
      </c>
      <c r="AW364" t="s">
        <v>1815</v>
      </c>
      <c r="AX364" t="s">
        <v>1805</v>
      </c>
      <c r="AY364" t="s">
        <v>1806</v>
      </c>
      <c r="AZ364" t="s">
        <v>76</v>
      </c>
    </row>
    <row r="365" spans="1:52" x14ac:dyDescent="0.2">
      <c r="A365" t="s">
        <v>1062</v>
      </c>
      <c r="B365" t="s">
        <v>1063</v>
      </c>
      <c r="C365" t="s">
        <v>1064</v>
      </c>
      <c r="D365">
        <v>1992</v>
      </c>
      <c r="E365" t="s">
        <v>1278</v>
      </c>
      <c r="F365" t="s">
        <v>1345</v>
      </c>
      <c r="G365" t="s">
        <v>1423</v>
      </c>
      <c r="H365" t="s">
        <v>1533</v>
      </c>
      <c r="I365" t="s">
        <v>230</v>
      </c>
      <c r="J365" t="s">
        <v>31</v>
      </c>
      <c r="K365" t="s">
        <v>34</v>
      </c>
      <c r="O365" s="18" t="s">
        <v>20</v>
      </c>
      <c r="P365" s="18" t="s">
        <v>24</v>
      </c>
      <c r="Q365" t="s">
        <v>38</v>
      </c>
      <c r="R365" t="s">
        <v>45</v>
      </c>
      <c r="S365" t="s">
        <v>47</v>
      </c>
      <c r="T365" t="s">
        <v>50</v>
      </c>
      <c r="U365">
        <v>1148</v>
      </c>
      <c r="V365">
        <v>2</v>
      </c>
      <c r="AG365" t="s">
        <v>4</v>
      </c>
      <c r="AH365" t="s">
        <v>214</v>
      </c>
      <c r="AN365">
        <v>51</v>
      </c>
      <c r="AO365">
        <v>7.3999999999999996E-2</v>
      </c>
      <c r="AS365" t="s">
        <v>222</v>
      </c>
      <c r="AT365" t="s">
        <v>849</v>
      </c>
      <c r="AV365" t="s">
        <v>1803</v>
      </c>
      <c r="AW365" t="s">
        <v>1815</v>
      </c>
      <c r="AX365" t="s">
        <v>1805</v>
      </c>
      <c r="AY365" t="s">
        <v>1806</v>
      </c>
      <c r="AZ365" t="s">
        <v>76</v>
      </c>
    </row>
    <row r="366" spans="1:52" x14ac:dyDescent="0.2">
      <c r="A366" t="s">
        <v>1062</v>
      </c>
      <c r="B366" t="s">
        <v>1063</v>
      </c>
      <c r="C366" t="s">
        <v>1064</v>
      </c>
      <c r="D366">
        <v>1992</v>
      </c>
      <c r="E366" t="s">
        <v>1278</v>
      </c>
      <c r="F366" t="s">
        <v>1345</v>
      </c>
      <c r="G366" t="s">
        <v>1423</v>
      </c>
      <c r="H366" t="s">
        <v>1534</v>
      </c>
      <c r="I366" t="s">
        <v>230</v>
      </c>
      <c r="J366" t="s">
        <v>31</v>
      </c>
      <c r="K366" t="s">
        <v>34</v>
      </c>
      <c r="O366" s="18" t="s">
        <v>20</v>
      </c>
      <c r="P366" s="18" t="s">
        <v>24</v>
      </c>
      <c r="Q366" t="s">
        <v>38</v>
      </c>
      <c r="R366" t="s">
        <v>45</v>
      </c>
      <c r="S366" t="s">
        <v>47</v>
      </c>
      <c r="T366" t="s">
        <v>50</v>
      </c>
      <c r="U366">
        <v>1148</v>
      </c>
      <c r="V366">
        <v>2</v>
      </c>
      <c r="AG366" t="s">
        <v>4</v>
      </c>
      <c r="AH366" t="s">
        <v>214</v>
      </c>
      <c r="AN366">
        <v>51</v>
      </c>
      <c r="AO366">
        <v>8.4000000000000005E-2</v>
      </c>
      <c r="AS366" t="s">
        <v>222</v>
      </c>
      <c r="AT366" t="s">
        <v>222</v>
      </c>
      <c r="AV366" t="s">
        <v>1803</v>
      </c>
      <c r="AW366" t="s">
        <v>1815</v>
      </c>
      <c r="AX366" t="s">
        <v>1805</v>
      </c>
      <c r="AY366" t="s">
        <v>1806</v>
      </c>
      <c r="AZ366" t="s">
        <v>76</v>
      </c>
    </row>
    <row r="367" spans="1:52" x14ac:dyDescent="0.2">
      <c r="A367" t="s">
        <v>1062</v>
      </c>
      <c r="B367" t="s">
        <v>1063</v>
      </c>
      <c r="C367" t="s">
        <v>1064</v>
      </c>
      <c r="D367">
        <v>1992</v>
      </c>
      <c r="E367" t="s">
        <v>1278</v>
      </c>
      <c r="F367" t="s">
        <v>1345</v>
      </c>
      <c r="G367" t="s">
        <v>1423</v>
      </c>
      <c r="H367" t="s">
        <v>1535</v>
      </c>
      <c r="I367" t="s">
        <v>230</v>
      </c>
      <c r="J367" t="s">
        <v>31</v>
      </c>
      <c r="K367" t="s">
        <v>34</v>
      </c>
      <c r="O367" s="18" t="s">
        <v>20</v>
      </c>
      <c r="P367" s="18" t="s">
        <v>24</v>
      </c>
      <c r="Q367" t="s">
        <v>38</v>
      </c>
      <c r="R367" t="s">
        <v>45</v>
      </c>
      <c r="S367" t="s">
        <v>47</v>
      </c>
      <c r="T367" t="s">
        <v>50</v>
      </c>
      <c r="U367">
        <v>1148</v>
      </c>
      <c r="V367">
        <v>2</v>
      </c>
      <c r="W367" s="8"/>
      <c r="X367" s="8"/>
      <c r="AG367" t="s">
        <v>4</v>
      </c>
      <c r="AH367" t="s">
        <v>214</v>
      </c>
      <c r="AN367">
        <v>51</v>
      </c>
      <c r="AO367">
        <v>-8.6999999999999994E-2</v>
      </c>
      <c r="AS367" t="s">
        <v>222</v>
      </c>
      <c r="AT367" t="s">
        <v>849</v>
      </c>
      <c r="AV367" t="s">
        <v>1803</v>
      </c>
      <c r="AW367" t="s">
        <v>1815</v>
      </c>
      <c r="AX367" t="s">
        <v>1805</v>
      </c>
      <c r="AY367" t="s">
        <v>1806</v>
      </c>
      <c r="AZ367" t="s">
        <v>76</v>
      </c>
    </row>
    <row r="368" spans="1:52" x14ac:dyDescent="0.2">
      <c r="A368" t="s">
        <v>1062</v>
      </c>
      <c r="B368" t="s">
        <v>1063</v>
      </c>
      <c r="C368" t="s">
        <v>1064</v>
      </c>
      <c r="D368">
        <v>1992</v>
      </c>
      <c r="E368" t="s">
        <v>1278</v>
      </c>
      <c r="F368" t="s">
        <v>1345</v>
      </c>
      <c r="G368" t="s">
        <v>1423</v>
      </c>
      <c r="H368" t="s">
        <v>1536</v>
      </c>
      <c r="I368" t="s">
        <v>230</v>
      </c>
      <c r="J368" t="s">
        <v>31</v>
      </c>
      <c r="K368" t="s">
        <v>34</v>
      </c>
      <c r="O368" s="18" t="s">
        <v>20</v>
      </c>
      <c r="P368" s="18" t="s">
        <v>24</v>
      </c>
      <c r="Q368" t="s">
        <v>38</v>
      </c>
      <c r="R368" t="s">
        <v>45</v>
      </c>
      <c r="S368" t="s">
        <v>47</v>
      </c>
      <c r="T368" t="s">
        <v>50</v>
      </c>
      <c r="U368">
        <v>1148</v>
      </c>
      <c r="V368">
        <v>2</v>
      </c>
      <c r="W368" s="8"/>
      <c r="X368" s="8"/>
      <c r="AG368" t="s">
        <v>4</v>
      </c>
      <c r="AH368" t="s">
        <v>214</v>
      </c>
      <c r="AN368">
        <v>51</v>
      </c>
      <c r="AO368">
        <v>1.7000000000000001E-2</v>
      </c>
      <c r="AS368" t="s">
        <v>222</v>
      </c>
      <c r="AT368" t="s">
        <v>849</v>
      </c>
      <c r="AV368" t="s">
        <v>1803</v>
      </c>
      <c r="AW368" t="s">
        <v>1815</v>
      </c>
      <c r="AX368" t="s">
        <v>1805</v>
      </c>
      <c r="AY368" t="s">
        <v>1806</v>
      </c>
      <c r="AZ368" t="s">
        <v>76</v>
      </c>
    </row>
    <row r="369" spans="1:52" x14ac:dyDescent="0.2">
      <c r="A369" t="s">
        <v>1062</v>
      </c>
      <c r="B369" t="s">
        <v>1063</v>
      </c>
      <c r="C369" t="s">
        <v>1064</v>
      </c>
      <c r="D369">
        <v>1992</v>
      </c>
      <c r="E369" t="s">
        <v>1278</v>
      </c>
      <c r="F369" t="s">
        <v>1345</v>
      </c>
      <c r="G369" t="s">
        <v>1423</v>
      </c>
      <c r="H369" t="s">
        <v>1537</v>
      </c>
      <c r="I369" t="s">
        <v>230</v>
      </c>
      <c r="J369" t="s">
        <v>31</v>
      </c>
      <c r="K369" t="s">
        <v>34</v>
      </c>
      <c r="O369" s="18" t="s">
        <v>20</v>
      </c>
      <c r="P369" s="18" t="s">
        <v>24</v>
      </c>
      <c r="Q369" t="s">
        <v>38</v>
      </c>
      <c r="R369" t="s">
        <v>45</v>
      </c>
      <c r="S369" t="s">
        <v>47</v>
      </c>
      <c r="T369" t="s">
        <v>50</v>
      </c>
      <c r="U369">
        <v>1148</v>
      </c>
      <c r="V369">
        <v>2</v>
      </c>
      <c r="W369" s="8"/>
      <c r="X369" s="8"/>
      <c r="AG369" t="s">
        <v>4</v>
      </c>
      <c r="AH369" t="s">
        <v>214</v>
      </c>
      <c r="AN369">
        <v>51</v>
      </c>
      <c r="AO369">
        <v>0.13700000000000001</v>
      </c>
      <c r="AS369" t="s">
        <v>222</v>
      </c>
      <c r="AT369" t="s">
        <v>849</v>
      </c>
      <c r="AV369" t="s">
        <v>1803</v>
      </c>
      <c r="AW369" t="s">
        <v>1815</v>
      </c>
      <c r="AX369" t="s">
        <v>1805</v>
      </c>
      <c r="AY369" t="s">
        <v>1806</v>
      </c>
      <c r="AZ369" t="s">
        <v>76</v>
      </c>
    </row>
    <row r="370" spans="1:52" x14ac:dyDescent="0.2">
      <c r="A370" t="s">
        <v>1062</v>
      </c>
      <c r="B370" t="s">
        <v>1063</v>
      </c>
      <c r="C370" t="s">
        <v>1064</v>
      </c>
      <c r="D370">
        <v>1992</v>
      </c>
      <c r="E370" t="s">
        <v>1278</v>
      </c>
      <c r="F370" t="s">
        <v>1345</v>
      </c>
      <c r="G370" t="s">
        <v>1423</v>
      </c>
      <c r="H370" t="s">
        <v>1538</v>
      </c>
      <c r="I370" t="s">
        <v>230</v>
      </c>
      <c r="J370" t="s">
        <v>31</v>
      </c>
      <c r="K370" t="s">
        <v>34</v>
      </c>
      <c r="O370" s="18" t="s">
        <v>20</v>
      </c>
      <c r="P370" s="18" t="s">
        <v>24</v>
      </c>
      <c r="Q370" t="s">
        <v>38</v>
      </c>
      <c r="R370" t="s">
        <v>45</v>
      </c>
      <c r="S370" t="s">
        <v>47</v>
      </c>
      <c r="T370" t="s">
        <v>50</v>
      </c>
      <c r="U370">
        <v>1148</v>
      </c>
      <c r="V370">
        <v>2</v>
      </c>
      <c r="AB370" s="9"/>
      <c r="AG370" t="s">
        <v>4</v>
      </c>
      <c r="AH370" t="s">
        <v>214</v>
      </c>
      <c r="AN370">
        <v>51</v>
      </c>
      <c r="AO370">
        <v>-0.10199999999999999</v>
      </c>
      <c r="AS370" t="s">
        <v>222</v>
      </c>
      <c r="AT370" t="s">
        <v>222</v>
      </c>
      <c r="AV370" t="s">
        <v>1803</v>
      </c>
      <c r="AW370" t="s">
        <v>1815</v>
      </c>
      <c r="AX370" t="s">
        <v>1805</v>
      </c>
      <c r="AY370" t="s">
        <v>1806</v>
      </c>
      <c r="AZ370" t="s">
        <v>76</v>
      </c>
    </row>
    <row r="371" spans="1:52" x14ac:dyDescent="0.2">
      <c r="A371" t="s">
        <v>1062</v>
      </c>
      <c r="B371" t="s">
        <v>1063</v>
      </c>
      <c r="C371" t="s">
        <v>1064</v>
      </c>
      <c r="D371">
        <v>1992</v>
      </c>
      <c r="E371" t="s">
        <v>1278</v>
      </c>
      <c r="F371" t="s">
        <v>1345</v>
      </c>
      <c r="G371" t="s">
        <v>1423</v>
      </c>
      <c r="H371" t="s">
        <v>1539</v>
      </c>
      <c r="I371" t="s">
        <v>230</v>
      </c>
      <c r="J371" t="s">
        <v>31</v>
      </c>
      <c r="K371" t="s">
        <v>34</v>
      </c>
      <c r="O371" s="18" t="s">
        <v>20</v>
      </c>
      <c r="P371" s="18" t="s">
        <v>24</v>
      </c>
      <c r="Q371" t="s">
        <v>38</v>
      </c>
      <c r="R371" t="s">
        <v>45</v>
      </c>
      <c r="S371" t="s">
        <v>47</v>
      </c>
      <c r="T371" t="s">
        <v>50</v>
      </c>
      <c r="U371">
        <v>1148</v>
      </c>
      <c r="V371">
        <v>2</v>
      </c>
      <c r="AB371" s="9"/>
      <c r="AG371" t="s">
        <v>4</v>
      </c>
      <c r="AH371" t="s">
        <v>214</v>
      </c>
      <c r="AN371">
        <v>51</v>
      </c>
      <c r="AO371">
        <v>-0.15</v>
      </c>
      <c r="AS371" t="s">
        <v>222</v>
      </c>
      <c r="AT371" t="s">
        <v>849</v>
      </c>
      <c r="AV371" t="s">
        <v>1803</v>
      </c>
      <c r="AW371" t="s">
        <v>1815</v>
      </c>
      <c r="AX371" t="s">
        <v>1805</v>
      </c>
      <c r="AY371" t="s">
        <v>1806</v>
      </c>
      <c r="AZ371" t="s">
        <v>76</v>
      </c>
    </row>
    <row r="372" spans="1:52" x14ac:dyDescent="0.2">
      <c r="A372" t="s">
        <v>1065</v>
      </c>
      <c r="B372" t="s">
        <v>1066</v>
      </c>
      <c r="C372" t="s">
        <v>1067</v>
      </c>
      <c r="D372">
        <v>2002</v>
      </c>
      <c r="E372" t="s">
        <v>1279</v>
      </c>
      <c r="F372" t="s">
        <v>1346</v>
      </c>
      <c r="G372" t="s">
        <v>1424</v>
      </c>
      <c r="H372" t="s">
        <v>1540</v>
      </c>
      <c r="I372" t="s">
        <v>1068</v>
      </c>
      <c r="J372" t="s">
        <v>82</v>
      </c>
      <c r="K372" t="s">
        <v>34</v>
      </c>
      <c r="O372" s="18" t="s">
        <v>20</v>
      </c>
      <c r="P372" s="18" t="s">
        <v>27</v>
      </c>
      <c r="Q372" t="s">
        <v>38</v>
      </c>
      <c r="R372" t="s">
        <v>44</v>
      </c>
      <c r="S372" t="s">
        <v>47</v>
      </c>
      <c r="T372" t="s">
        <v>50</v>
      </c>
      <c r="U372">
        <v>134</v>
      </c>
      <c r="V372">
        <v>1</v>
      </c>
      <c r="W372">
        <v>16</v>
      </c>
      <c r="X372">
        <v>45</v>
      </c>
      <c r="Y372">
        <v>6</v>
      </c>
      <c r="Z372">
        <v>18</v>
      </c>
      <c r="AB372" s="9"/>
      <c r="AG372" t="s">
        <v>1790</v>
      </c>
      <c r="AH372" t="s">
        <v>213</v>
      </c>
      <c r="AS372" t="s">
        <v>222</v>
      </c>
      <c r="AT372" t="s">
        <v>849</v>
      </c>
      <c r="AV372" t="s">
        <v>1810</v>
      </c>
      <c r="AW372" t="s">
        <v>1807</v>
      </c>
      <c r="AX372" t="s">
        <v>1808</v>
      </c>
      <c r="AY372" t="s">
        <v>1806</v>
      </c>
      <c r="AZ372" t="s">
        <v>1809</v>
      </c>
    </row>
    <row r="373" spans="1:52" x14ac:dyDescent="0.2">
      <c r="A373" t="s">
        <v>1065</v>
      </c>
      <c r="B373" t="s">
        <v>1066</v>
      </c>
      <c r="C373" t="s">
        <v>1067</v>
      </c>
      <c r="D373">
        <v>2002</v>
      </c>
      <c r="E373" t="s">
        <v>1279</v>
      </c>
      <c r="F373" t="s">
        <v>1347</v>
      </c>
      <c r="G373" t="s">
        <v>1425</v>
      </c>
      <c r="H373" t="s">
        <v>1541</v>
      </c>
      <c r="I373" t="s">
        <v>1068</v>
      </c>
      <c r="J373" t="s">
        <v>82</v>
      </c>
      <c r="K373" t="s">
        <v>34</v>
      </c>
      <c r="O373" s="18" t="s">
        <v>20</v>
      </c>
      <c r="P373" s="18" t="s">
        <v>27</v>
      </c>
      <c r="Q373" t="s">
        <v>38</v>
      </c>
      <c r="R373" t="s">
        <v>44</v>
      </c>
      <c r="S373" t="s">
        <v>47</v>
      </c>
      <c r="T373" t="s">
        <v>50</v>
      </c>
      <c r="U373">
        <v>134</v>
      </c>
      <c r="V373">
        <v>1</v>
      </c>
      <c r="W373">
        <v>221</v>
      </c>
      <c r="X373">
        <v>72</v>
      </c>
      <c r="Y373">
        <v>25</v>
      </c>
      <c r="Z373">
        <v>9</v>
      </c>
      <c r="AG373" t="s">
        <v>1790</v>
      </c>
      <c r="AH373" t="s">
        <v>213</v>
      </c>
      <c r="AS373" t="s">
        <v>222</v>
      </c>
      <c r="AT373" t="s">
        <v>849</v>
      </c>
      <c r="AV373" t="s">
        <v>1810</v>
      </c>
      <c r="AW373" t="s">
        <v>1807</v>
      </c>
      <c r="AX373" t="s">
        <v>1808</v>
      </c>
      <c r="AY373" t="s">
        <v>1806</v>
      </c>
      <c r="AZ373" t="s">
        <v>1809</v>
      </c>
    </row>
    <row r="374" spans="1:52" x14ac:dyDescent="0.2">
      <c r="A374" t="s">
        <v>1065</v>
      </c>
      <c r="B374" t="s">
        <v>1066</v>
      </c>
      <c r="C374" t="s">
        <v>1069</v>
      </c>
      <c r="D374">
        <v>2002</v>
      </c>
      <c r="E374" t="s">
        <v>1279</v>
      </c>
      <c r="F374" t="s">
        <v>1348</v>
      </c>
      <c r="G374" t="s">
        <v>1426</v>
      </c>
      <c r="H374" t="s">
        <v>1542</v>
      </c>
      <c r="I374" t="s">
        <v>1068</v>
      </c>
      <c r="J374" t="s">
        <v>82</v>
      </c>
      <c r="K374" t="s">
        <v>35</v>
      </c>
      <c r="L374" t="s">
        <v>11</v>
      </c>
      <c r="M374" t="s">
        <v>17</v>
      </c>
      <c r="N374">
        <v>1</v>
      </c>
      <c r="O374" s="18" t="s">
        <v>20</v>
      </c>
      <c r="P374" s="18" t="s">
        <v>27</v>
      </c>
      <c r="S374" t="s">
        <v>47</v>
      </c>
      <c r="T374" t="s">
        <v>50</v>
      </c>
      <c r="U374">
        <v>136</v>
      </c>
      <c r="V374">
        <v>2</v>
      </c>
      <c r="W374">
        <v>18</v>
      </c>
      <c r="X374">
        <v>18</v>
      </c>
      <c r="Y374">
        <v>4</v>
      </c>
      <c r="Z374">
        <v>2</v>
      </c>
      <c r="AG374" t="s">
        <v>1790</v>
      </c>
      <c r="AH374" t="s">
        <v>213</v>
      </c>
      <c r="AS374" t="s">
        <v>849</v>
      </c>
      <c r="AT374" t="s">
        <v>849</v>
      </c>
      <c r="AV374" t="s">
        <v>1810</v>
      </c>
      <c r="AW374" t="s">
        <v>1807</v>
      </c>
      <c r="AX374" t="s">
        <v>1808</v>
      </c>
      <c r="AY374" t="s">
        <v>1806</v>
      </c>
      <c r="AZ374" t="s">
        <v>1809</v>
      </c>
    </row>
    <row r="375" spans="1:52" x14ac:dyDescent="0.2">
      <c r="A375" t="s">
        <v>1065</v>
      </c>
      <c r="B375" t="s">
        <v>1066</v>
      </c>
      <c r="C375" t="s">
        <v>1070</v>
      </c>
      <c r="D375">
        <v>2002</v>
      </c>
      <c r="E375" t="s">
        <v>1279</v>
      </c>
      <c r="F375" t="s">
        <v>1348</v>
      </c>
      <c r="G375" t="s">
        <v>1426</v>
      </c>
      <c r="H375" t="s">
        <v>1543</v>
      </c>
      <c r="I375" t="s">
        <v>1068</v>
      </c>
      <c r="J375" t="s">
        <v>82</v>
      </c>
      <c r="K375" t="s">
        <v>35</v>
      </c>
      <c r="L375" t="s">
        <v>11</v>
      </c>
      <c r="M375" t="s">
        <v>17</v>
      </c>
      <c r="N375">
        <v>1</v>
      </c>
      <c r="O375" s="18" t="s">
        <v>20</v>
      </c>
      <c r="P375" s="18" t="s">
        <v>27</v>
      </c>
      <c r="S375" t="s">
        <v>47</v>
      </c>
      <c r="T375" t="s">
        <v>50</v>
      </c>
      <c r="U375">
        <v>136</v>
      </c>
      <c r="V375">
        <v>2</v>
      </c>
      <c r="W375">
        <v>15</v>
      </c>
      <c r="X375">
        <v>15</v>
      </c>
      <c r="Y375">
        <v>1</v>
      </c>
      <c r="Z375">
        <v>3</v>
      </c>
      <c r="AG375" t="s">
        <v>1790</v>
      </c>
      <c r="AH375" t="s">
        <v>213</v>
      </c>
      <c r="AS375" t="s">
        <v>849</v>
      </c>
      <c r="AT375" t="s">
        <v>849</v>
      </c>
      <c r="AV375" t="s">
        <v>1810</v>
      </c>
      <c r="AW375" t="s">
        <v>1807</v>
      </c>
      <c r="AX375" t="s">
        <v>1808</v>
      </c>
      <c r="AY375" t="s">
        <v>1806</v>
      </c>
      <c r="AZ375" t="s">
        <v>1809</v>
      </c>
    </row>
    <row r="376" spans="1:52" x14ac:dyDescent="0.2">
      <c r="A376" t="s">
        <v>1065</v>
      </c>
      <c r="B376" t="s">
        <v>1066</v>
      </c>
      <c r="C376" t="s">
        <v>1071</v>
      </c>
      <c r="D376">
        <v>2002</v>
      </c>
      <c r="E376" t="s">
        <v>1279</v>
      </c>
      <c r="F376" t="s">
        <v>1348</v>
      </c>
      <c r="G376" t="s">
        <v>1426</v>
      </c>
      <c r="H376" t="s">
        <v>1544</v>
      </c>
      <c r="I376" t="s">
        <v>1068</v>
      </c>
      <c r="J376" t="s">
        <v>82</v>
      </c>
      <c r="K376" t="s">
        <v>35</v>
      </c>
      <c r="L376" t="s">
        <v>11</v>
      </c>
      <c r="M376" t="s">
        <v>17</v>
      </c>
      <c r="N376">
        <v>1</v>
      </c>
      <c r="O376" s="18" t="s">
        <v>20</v>
      </c>
      <c r="P376" s="18" t="s">
        <v>1824</v>
      </c>
      <c r="S376" t="s">
        <v>47</v>
      </c>
      <c r="T376" t="s">
        <v>50</v>
      </c>
      <c r="U376">
        <v>136</v>
      </c>
      <c r="V376">
        <v>2</v>
      </c>
      <c r="W376">
        <v>18</v>
      </c>
      <c r="X376">
        <v>18</v>
      </c>
      <c r="Y376">
        <v>7</v>
      </c>
      <c r="Z376">
        <v>11</v>
      </c>
      <c r="AG376" t="s">
        <v>1790</v>
      </c>
      <c r="AH376" t="s">
        <v>213</v>
      </c>
      <c r="AS376" t="s">
        <v>849</v>
      </c>
      <c r="AT376" t="s">
        <v>222</v>
      </c>
      <c r="AV376" t="s">
        <v>1810</v>
      </c>
      <c r="AW376" t="s">
        <v>1807</v>
      </c>
      <c r="AX376" t="s">
        <v>1808</v>
      </c>
      <c r="AY376" t="s">
        <v>1806</v>
      </c>
      <c r="AZ376" t="s">
        <v>1809</v>
      </c>
    </row>
    <row r="377" spans="1:52" x14ac:dyDescent="0.2">
      <c r="A377" t="s">
        <v>1065</v>
      </c>
      <c r="B377" t="s">
        <v>1066</v>
      </c>
      <c r="C377" t="s">
        <v>1072</v>
      </c>
      <c r="D377">
        <v>2002</v>
      </c>
      <c r="E377" t="s">
        <v>1279</v>
      </c>
      <c r="F377" t="s">
        <v>1348</v>
      </c>
      <c r="G377" t="s">
        <v>1426</v>
      </c>
      <c r="H377" t="s">
        <v>1545</v>
      </c>
      <c r="I377" t="s">
        <v>1068</v>
      </c>
      <c r="J377" t="s">
        <v>82</v>
      </c>
      <c r="K377" t="s">
        <v>35</v>
      </c>
      <c r="L377" t="s">
        <v>11</v>
      </c>
      <c r="M377" t="s">
        <v>17</v>
      </c>
      <c r="N377">
        <v>1</v>
      </c>
      <c r="O377" s="18" t="s">
        <v>20</v>
      </c>
      <c r="P377" s="18" t="s">
        <v>1824</v>
      </c>
      <c r="S377" t="s">
        <v>47</v>
      </c>
      <c r="T377" t="s">
        <v>50</v>
      </c>
      <c r="U377">
        <v>136</v>
      </c>
      <c r="V377">
        <v>2</v>
      </c>
      <c r="W377">
        <v>15</v>
      </c>
      <c r="X377">
        <v>15</v>
      </c>
      <c r="Y377">
        <v>3</v>
      </c>
      <c r="Z377">
        <v>3</v>
      </c>
      <c r="AG377" t="s">
        <v>1790</v>
      </c>
      <c r="AH377" t="s">
        <v>213</v>
      </c>
      <c r="AS377" t="s">
        <v>849</v>
      </c>
      <c r="AT377" t="s">
        <v>222</v>
      </c>
      <c r="AV377" t="s">
        <v>1810</v>
      </c>
      <c r="AW377" t="s">
        <v>1807</v>
      </c>
      <c r="AX377" t="s">
        <v>1808</v>
      </c>
      <c r="AY377" t="s">
        <v>1806</v>
      </c>
      <c r="AZ377" t="s">
        <v>1809</v>
      </c>
    </row>
    <row r="378" spans="1:52" x14ac:dyDescent="0.2">
      <c r="A378" t="s">
        <v>1065</v>
      </c>
      <c r="B378" t="s">
        <v>1066</v>
      </c>
      <c r="C378" t="s">
        <v>1073</v>
      </c>
      <c r="D378">
        <v>2002</v>
      </c>
      <c r="E378" t="s">
        <v>1279</v>
      </c>
      <c r="F378" t="s">
        <v>1348</v>
      </c>
      <c r="G378" t="s">
        <v>1426</v>
      </c>
      <c r="H378" t="s">
        <v>1546</v>
      </c>
      <c r="I378" t="s">
        <v>1068</v>
      </c>
      <c r="J378" t="s">
        <v>82</v>
      </c>
      <c r="K378" t="s">
        <v>35</v>
      </c>
      <c r="L378" t="s">
        <v>11</v>
      </c>
      <c r="M378" t="s">
        <v>17</v>
      </c>
      <c r="N378">
        <v>1</v>
      </c>
      <c r="O378" s="18" t="s">
        <v>20</v>
      </c>
      <c r="P378" s="18" t="s">
        <v>1824</v>
      </c>
      <c r="S378" t="s">
        <v>47</v>
      </c>
      <c r="T378" t="s">
        <v>50</v>
      </c>
      <c r="U378">
        <v>136</v>
      </c>
      <c r="V378">
        <v>2</v>
      </c>
      <c r="W378">
        <v>18</v>
      </c>
      <c r="X378">
        <v>18</v>
      </c>
      <c r="AA378">
        <v>492</v>
      </c>
      <c r="AB378">
        <v>220</v>
      </c>
      <c r="AC378">
        <v>465</v>
      </c>
      <c r="AD378">
        <v>258</v>
      </c>
      <c r="AE378" t="s">
        <v>71</v>
      </c>
      <c r="AF378" t="s">
        <v>62</v>
      </c>
      <c r="AG378" t="str">
        <f>IF(AE378="mean", "mean", "")</f>
        <v>mean</v>
      </c>
      <c r="AH378" t="s">
        <v>213</v>
      </c>
      <c r="AS378" t="s">
        <v>849</v>
      </c>
      <c r="AT378" t="s">
        <v>222</v>
      </c>
      <c r="AV378" t="s">
        <v>1810</v>
      </c>
      <c r="AW378" t="s">
        <v>1807</v>
      </c>
      <c r="AX378" t="s">
        <v>1808</v>
      </c>
      <c r="AY378" t="s">
        <v>1806</v>
      </c>
      <c r="AZ378" t="s">
        <v>1809</v>
      </c>
    </row>
    <row r="379" spans="1:52" x14ac:dyDescent="0.2">
      <c r="A379" t="s">
        <v>1065</v>
      </c>
      <c r="B379" t="s">
        <v>1066</v>
      </c>
      <c r="C379" t="s">
        <v>1074</v>
      </c>
      <c r="D379">
        <v>2002</v>
      </c>
      <c r="E379" t="s">
        <v>1279</v>
      </c>
      <c r="F379" t="s">
        <v>1348</v>
      </c>
      <c r="G379" t="s">
        <v>1426</v>
      </c>
      <c r="H379" t="s">
        <v>1547</v>
      </c>
      <c r="I379" t="s">
        <v>1068</v>
      </c>
      <c r="J379" t="s">
        <v>82</v>
      </c>
      <c r="K379" t="s">
        <v>35</v>
      </c>
      <c r="L379" t="s">
        <v>11</v>
      </c>
      <c r="M379" t="s">
        <v>17</v>
      </c>
      <c r="N379">
        <v>1</v>
      </c>
      <c r="O379" s="18" t="s">
        <v>20</v>
      </c>
      <c r="P379" s="18" t="s">
        <v>1824</v>
      </c>
      <c r="S379" t="s">
        <v>47</v>
      </c>
      <c r="T379" t="s">
        <v>50</v>
      </c>
      <c r="U379">
        <v>136</v>
      </c>
      <c r="V379">
        <v>2</v>
      </c>
      <c r="W379">
        <v>15</v>
      </c>
      <c r="X379">
        <v>15</v>
      </c>
      <c r="AA379">
        <v>131</v>
      </c>
      <c r="AB379">
        <v>57</v>
      </c>
      <c r="AC379">
        <v>131</v>
      </c>
      <c r="AD379">
        <v>55</v>
      </c>
      <c r="AE379" t="s">
        <v>71</v>
      </c>
      <c r="AF379" t="s">
        <v>62</v>
      </c>
      <c r="AG379" t="str">
        <f>IF(AE379="mean", "mean", "")</f>
        <v>mean</v>
      </c>
      <c r="AH379" t="s">
        <v>213</v>
      </c>
      <c r="AS379" t="s">
        <v>849</v>
      </c>
      <c r="AT379" t="s">
        <v>222</v>
      </c>
      <c r="AV379" t="s">
        <v>1810</v>
      </c>
      <c r="AW379" t="s">
        <v>1807</v>
      </c>
      <c r="AX379" t="s">
        <v>1808</v>
      </c>
      <c r="AY379" t="s">
        <v>1806</v>
      </c>
      <c r="AZ379" t="s">
        <v>1809</v>
      </c>
    </row>
    <row r="380" spans="1:52" x14ac:dyDescent="0.2">
      <c r="A380" t="s">
        <v>1065</v>
      </c>
      <c r="B380" t="s">
        <v>1066</v>
      </c>
      <c r="C380" t="s">
        <v>1075</v>
      </c>
      <c r="D380">
        <v>2002</v>
      </c>
      <c r="E380" t="s">
        <v>1279</v>
      </c>
      <c r="F380" t="s">
        <v>1348</v>
      </c>
      <c r="G380" t="s">
        <v>1426</v>
      </c>
      <c r="H380" t="s">
        <v>1548</v>
      </c>
      <c r="I380" t="s">
        <v>1068</v>
      </c>
      <c r="J380" t="s">
        <v>82</v>
      </c>
      <c r="K380" t="s">
        <v>35</v>
      </c>
      <c r="L380" t="s">
        <v>11</v>
      </c>
      <c r="M380" t="s">
        <v>17</v>
      </c>
      <c r="N380">
        <v>1</v>
      </c>
      <c r="O380" s="18" t="s">
        <v>20</v>
      </c>
      <c r="P380" s="18" t="s">
        <v>1824</v>
      </c>
      <c r="S380" t="s">
        <v>47</v>
      </c>
      <c r="T380" t="s">
        <v>50</v>
      </c>
      <c r="U380">
        <v>136</v>
      </c>
      <c r="V380">
        <v>2</v>
      </c>
      <c r="W380">
        <v>18</v>
      </c>
      <c r="X380">
        <v>18</v>
      </c>
      <c r="AA380">
        <v>2.1</v>
      </c>
      <c r="AB380">
        <v>0.5</v>
      </c>
      <c r="AC380">
        <v>2.6</v>
      </c>
      <c r="AD380">
        <v>0.4</v>
      </c>
      <c r="AE380" t="s">
        <v>71</v>
      </c>
      <c r="AF380" t="s">
        <v>62</v>
      </c>
      <c r="AG380" t="str">
        <f>IF(AE380="mean", "mean", "")</f>
        <v>mean</v>
      </c>
      <c r="AH380" t="s">
        <v>213</v>
      </c>
      <c r="AS380" t="s">
        <v>849</v>
      </c>
      <c r="AT380" t="s">
        <v>222</v>
      </c>
      <c r="AV380" t="s">
        <v>1810</v>
      </c>
      <c r="AW380" t="s">
        <v>1807</v>
      </c>
      <c r="AX380" t="s">
        <v>1808</v>
      </c>
      <c r="AY380" t="s">
        <v>1806</v>
      </c>
      <c r="AZ380" t="s">
        <v>1809</v>
      </c>
    </row>
    <row r="381" spans="1:52" x14ac:dyDescent="0.2">
      <c r="A381" t="s">
        <v>1065</v>
      </c>
      <c r="B381" t="s">
        <v>1066</v>
      </c>
      <c r="C381" t="s">
        <v>1076</v>
      </c>
      <c r="D381">
        <v>2002</v>
      </c>
      <c r="E381" t="s">
        <v>1279</v>
      </c>
      <c r="F381" t="s">
        <v>1348</v>
      </c>
      <c r="G381" t="s">
        <v>1426</v>
      </c>
      <c r="H381" t="s">
        <v>1549</v>
      </c>
      <c r="I381" t="s">
        <v>1068</v>
      </c>
      <c r="J381" t="s">
        <v>82</v>
      </c>
      <c r="K381" t="s">
        <v>35</v>
      </c>
      <c r="L381" t="s">
        <v>11</v>
      </c>
      <c r="M381" t="s">
        <v>17</v>
      </c>
      <c r="N381">
        <v>1</v>
      </c>
      <c r="O381" s="19" t="s">
        <v>20</v>
      </c>
      <c r="P381" s="18" t="s">
        <v>1824</v>
      </c>
      <c r="S381" t="s">
        <v>47</v>
      </c>
      <c r="T381" t="s">
        <v>50</v>
      </c>
      <c r="U381">
        <v>136</v>
      </c>
      <c r="V381">
        <v>2</v>
      </c>
      <c r="W381">
        <v>15</v>
      </c>
      <c r="X381">
        <v>15</v>
      </c>
      <c r="AA381">
        <v>2</v>
      </c>
      <c r="AB381">
        <v>0.3</v>
      </c>
      <c r="AC381">
        <v>2.1</v>
      </c>
      <c r="AD381">
        <v>0.4</v>
      </c>
      <c r="AE381" t="s">
        <v>71</v>
      </c>
      <c r="AF381" t="s">
        <v>62</v>
      </c>
      <c r="AG381" t="str">
        <f>IF(AE381="mean", "mean", "")</f>
        <v>mean</v>
      </c>
      <c r="AH381" t="s">
        <v>213</v>
      </c>
      <c r="AS381" t="s">
        <v>849</v>
      </c>
      <c r="AT381" t="s">
        <v>222</v>
      </c>
      <c r="AV381" t="s">
        <v>1810</v>
      </c>
      <c r="AW381" t="s">
        <v>1807</v>
      </c>
      <c r="AX381" t="s">
        <v>1808</v>
      </c>
      <c r="AY381" t="s">
        <v>1806</v>
      </c>
      <c r="AZ381" t="s">
        <v>1809</v>
      </c>
    </row>
    <row r="382" spans="1:52" x14ac:dyDescent="0.2">
      <c r="A382" t="s">
        <v>1065</v>
      </c>
      <c r="B382" t="s">
        <v>1066</v>
      </c>
      <c r="C382" t="s">
        <v>1077</v>
      </c>
      <c r="D382">
        <v>2002</v>
      </c>
      <c r="E382" t="s">
        <v>1279</v>
      </c>
      <c r="F382" t="s">
        <v>1348</v>
      </c>
      <c r="G382" t="s">
        <v>1426</v>
      </c>
      <c r="H382" t="s">
        <v>1550</v>
      </c>
      <c r="I382" t="s">
        <v>1068</v>
      </c>
      <c r="J382" t="s">
        <v>82</v>
      </c>
      <c r="K382" t="s">
        <v>35</v>
      </c>
      <c r="L382" t="s">
        <v>11</v>
      </c>
      <c r="M382" t="s">
        <v>17</v>
      </c>
      <c r="N382">
        <v>1</v>
      </c>
      <c r="O382" s="19" t="s">
        <v>20</v>
      </c>
      <c r="P382" s="18" t="s">
        <v>1042</v>
      </c>
      <c r="S382" t="s">
        <v>47</v>
      </c>
      <c r="T382" t="s">
        <v>50</v>
      </c>
      <c r="U382">
        <v>136</v>
      </c>
      <c r="V382">
        <v>3</v>
      </c>
      <c r="W382">
        <v>19</v>
      </c>
      <c r="X382">
        <v>19</v>
      </c>
      <c r="Y382">
        <v>18</v>
      </c>
      <c r="Z382">
        <v>18</v>
      </c>
      <c r="AG382" t="s">
        <v>1790</v>
      </c>
      <c r="AH382" t="s">
        <v>213</v>
      </c>
      <c r="AS382" t="s">
        <v>849</v>
      </c>
      <c r="AT382" t="s">
        <v>849</v>
      </c>
      <c r="AV382" t="s">
        <v>1810</v>
      </c>
      <c r="AW382" t="s">
        <v>1807</v>
      </c>
      <c r="AX382" t="s">
        <v>1808</v>
      </c>
      <c r="AY382" t="s">
        <v>1806</v>
      </c>
      <c r="AZ382" t="s">
        <v>1809</v>
      </c>
    </row>
    <row r="383" spans="1:52" x14ac:dyDescent="0.2">
      <c r="A383" t="s">
        <v>1065</v>
      </c>
      <c r="B383" t="s">
        <v>1066</v>
      </c>
      <c r="C383" t="s">
        <v>1078</v>
      </c>
      <c r="D383">
        <v>2002</v>
      </c>
      <c r="E383" t="s">
        <v>1279</v>
      </c>
      <c r="F383" t="s">
        <v>1348</v>
      </c>
      <c r="G383" t="s">
        <v>1426</v>
      </c>
      <c r="H383" t="s">
        <v>1551</v>
      </c>
      <c r="I383" t="s">
        <v>1068</v>
      </c>
      <c r="J383" t="s">
        <v>82</v>
      </c>
      <c r="K383" t="s">
        <v>35</v>
      </c>
      <c r="L383" t="s">
        <v>11</v>
      </c>
      <c r="M383" t="s">
        <v>17</v>
      </c>
      <c r="N383">
        <v>1</v>
      </c>
      <c r="O383" s="19" t="s">
        <v>20</v>
      </c>
      <c r="P383" s="18" t="s">
        <v>1042</v>
      </c>
      <c r="S383" t="s">
        <v>47</v>
      </c>
      <c r="T383" t="s">
        <v>50</v>
      </c>
      <c r="U383">
        <v>136</v>
      </c>
      <c r="V383">
        <v>3</v>
      </c>
      <c r="W383">
        <v>16</v>
      </c>
      <c r="X383">
        <v>16</v>
      </c>
      <c r="Y383">
        <v>15</v>
      </c>
      <c r="Z383">
        <v>15</v>
      </c>
      <c r="AG383" t="s">
        <v>1790</v>
      </c>
      <c r="AH383" t="s">
        <v>213</v>
      </c>
      <c r="AS383" t="s">
        <v>849</v>
      </c>
      <c r="AT383" t="s">
        <v>849</v>
      </c>
      <c r="AV383" t="s">
        <v>1810</v>
      </c>
      <c r="AW383" t="s">
        <v>1807</v>
      </c>
      <c r="AX383" t="s">
        <v>1808</v>
      </c>
      <c r="AY383" t="s">
        <v>1806</v>
      </c>
      <c r="AZ383" t="s">
        <v>1809</v>
      </c>
    </row>
    <row r="384" spans="1:52" x14ac:dyDescent="0.2">
      <c r="A384" t="s">
        <v>1065</v>
      </c>
      <c r="B384" t="s">
        <v>1066</v>
      </c>
      <c r="C384" t="s">
        <v>1079</v>
      </c>
      <c r="D384">
        <v>2002</v>
      </c>
      <c r="E384" t="s">
        <v>1279</v>
      </c>
      <c r="F384" t="s">
        <v>1348</v>
      </c>
      <c r="G384" t="s">
        <v>1426</v>
      </c>
      <c r="H384" t="s">
        <v>1552</v>
      </c>
      <c r="I384" t="s">
        <v>1068</v>
      </c>
      <c r="J384" t="s">
        <v>82</v>
      </c>
      <c r="K384" t="s">
        <v>35</v>
      </c>
      <c r="L384" t="s">
        <v>11</v>
      </c>
      <c r="M384" t="s">
        <v>17</v>
      </c>
      <c r="N384">
        <v>1</v>
      </c>
      <c r="O384" s="19" t="s">
        <v>20</v>
      </c>
      <c r="P384" s="18" t="s">
        <v>1042</v>
      </c>
      <c r="S384" t="s">
        <v>47</v>
      </c>
      <c r="T384" t="s">
        <v>50</v>
      </c>
      <c r="U384">
        <v>136</v>
      </c>
      <c r="V384">
        <v>3</v>
      </c>
      <c r="W384">
        <v>19</v>
      </c>
      <c r="X384">
        <v>19</v>
      </c>
      <c r="AA384">
        <v>666</v>
      </c>
      <c r="AB384">
        <v>203</v>
      </c>
      <c r="AC384">
        <v>647</v>
      </c>
      <c r="AD384">
        <v>222</v>
      </c>
      <c r="AE384" t="s">
        <v>71</v>
      </c>
      <c r="AF384" t="s">
        <v>62</v>
      </c>
      <c r="AG384" t="str">
        <f>IF(AE384="mean", "mean", "")</f>
        <v>mean</v>
      </c>
      <c r="AH384" t="s">
        <v>213</v>
      </c>
      <c r="AS384" t="s">
        <v>849</v>
      </c>
      <c r="AT384" t="s">
        <v>222</v>
      </c>
      <c r="AV384" t="s">
        <v>1810</v>
      </c>
      <c r="AW384" t="s">
        <v>1807</v>
      </c>
      <c r="AX384" t="s">
        <v>1808</v>
      </c>
      <c r="AY384" t="s">
        <v>1806</v>
      </c>
      <c r="AZ384" t="s">
        <v>1809</v>
      </c>
    </row>
    <row r="385" spans="1:52" x14ac:dyDescent="0.2">
      <c r="A385" t="s">
        <v>1065</v>
      </c>
      <c r="B385" t="s">
        <v>1066</v>
      </c>
      <c r="C385" t="s">
        <v>1080</v>
      </c>
      <c r="D385">
        <v>2002</v>
      </c>
      <c r="E385" t="s">
        <v>1279</v>
      </c>
      <c r="F385" t="s">
        <v>1348</v>
      </c>
      <c r="G385" t="s">
        <v>1426</v>
      </c>
      <c r="H385" t="s">
        <v>1553</v>
      </c>
      <c r="I385" t="s">
        <v>1068</v>
      </c>
      <c r="J385" t="s">
        <v>82</v>
      </c>
      <c r="K385" t="s">
        <v>35</v>
      </c>
      <c r="L385" t="s">
        <v>11</v>
      </c>
      <c r="M385" t="s">
        <v>17</v>
      </c>
      <c r="N385">
        <v>1</v>
      </c>
      <c r="O385" s="19" t="s">
        <v>20</v>
      </c>
      <c r="P385" s="18" t="s">
        <v>1042</v>
      </c>
      <c r="S385" t="s">
        <v>47</v>
      </c>
      <c r="T385" t="s">
        <v>50</v>
      </c>
      <c r="U385">
        <v>136</v>
      </c>
      <c r="V385">
        <v>3</v>
      </c>
      <c r="W385">
        <v>16</v>
      </c>
      <c r="X385">
        <v>16</v>
      </c>
      <c r="AA385">
        <v>503</v>
      </c>
      <c r="AB385">
        <v>222</v>
      </c>
      <c r="AC385">
        <v>629</v>
      </c>
      <c r="AD385">
        <v>249</v>
      </c>
      <c r="AE385" t="s">
        <v>71</v>
      </c>
      <c r="AF385" t="s">
        <v>62</v>
      </c>
      <c r="AG385" t="str">
        <f>IF(AE385="mean", "mean", "")</f>
        <v>mean</v>
      </c>
      <c r="AH385" t="s">
        <v>213</v>
      </c>
      <c r="AS385" t="s">
        <v>849</v>
      </c>
      <c r="AT385" t="s">
        <v>222</v>
      </c>
      <c r="AV385" t="s">
        <v>1810</v>
      </c>
      <c r="AW385" t="s">
        <v>1807</v>
      </c>
      <c r="AX385" t="s">
        <v>1808</v>
      </c>
      <c r="AY385" t="s">
        <v>1806</v>
      </c>
      <c r="AZ385" t="s">
        <v>1809</v>
      </c>
    </row>
    <row r="386" spans="1:52" x14ac:dyDescent="0.2">
      <c r="A386" t="s">
        <v>1065</v>
      </c>
      <c r="B386" t="s">
        <v>1066</v>
      </c>
      <c r="C386" t="s">
        <v>1081</v>
      </c>
      <c r="D386">
        <v>2002</v>
      </c>
      <c r="E386" t="s">
        <v>1279</v>
      </c>
      <c r="F386" t="s">
        <v>1348</v>
      </c>
      <c r="G386" t="s">
        <v>1426</v>
      </c>
      <c r="H386" t="s">
        <v>1554</v>
      </c>
      <c r="I386" t="s">
        <v>1068</v>
      </c>
      <c r="J386" t="s">
        <v>82</v>
      </c>
      <c r="K386" t="s">
        <v>35</v>
      </c>
      <c r="L386" t="s">
        <v>11</v>
      </c>
      <c r="M386" t="s">
        <v>17</v>
      </c>
      <c r="N386">
        <v>1</v>
      </c>
      <c r="O386" s="19" t="s">
        <v>20</v>
      </c>
      <c r="P386" s="18" t="s">
        <v>27</v>
      </c>
      <c r="S386" t="s">
        <v>47</v>
      </c>
      <c r="T386" t="s">
        <v>50</v>
      </c>
      <c r="U386">
        <v>137</v>
      </c>
      <c r="V386">
        <v>4</v>
      </c>
      <c r="W386">
        <v>19</v>
      </c>
      <c r="X386">
        <v>19</v>
      </c>
      <c r="Y386">
        <v>17</v>
      </c>
      <c r="Z386">
        <v>17</v>
      </c>
      <c r="AG386" t="s">
        <v>1790</v>
      </c>
      <c r="AH386" t="s">
        <v>213</v>
      </c>
      <c r="AS386" t="s">
        <v>849</v>
      </c>
      <c r="AT386" t="s">
        <v>849</v>
      </c>
      <c r="AV386" t="s">
        <v>1810</v>
      </c>
      <c r="AW386" t="s">
        <v>1807</v>
      </c>
      <c r="AX386" t="s">
        <v>1808</v>
      </c>
      <c r="AY386" t="s">
        <v>1806</v>
      </c>
      <c r="AZ386" t="s">
        <v>1809</v>
      </c>
    </row>
    <row r="387" spans="1:52" x14ac:dyDescent="0.2">
      <c r="A387" t="s">
        <v>1065</v>
      </c>
      <c r="B387" t="s">
        <v>1066</v>
      </c>
      <c r="C387" t="s">
        <v>1082</v>
      </c>
      <c r="D387">
        <v>2002</v>
      </c>
      <c r="E387" t="s">
        <v>1279</v>
      </c>
      <c r="F387" t="s">
        <v>1348</v>
      </c>
      <c r="G387" t="s">
        <v>1426</v>
      </c>
      <c r="H387" t="s">
        <v>1555</v>
      </c>
      <c r="I387" t="s">
        <v>1068</v>
      </c>
      <c r="J387" t="s">
        <v>82</v>
      </c>
      <c r="K387" t="s">
        <v>35</v>
      </c>
      <c r="L387" t="s">
        <v>11</v>
      </c>
      <c r="M387" t="s">
        <v>17</v>
      </c>
      <c r="N387">
        <v>1</v>
      </c>
      <c r="O387" s="19" t="s">
        <v>20</v>
      </c>
      <c r="P387" s="18" t="s">
        <v>27</v>
      </c>
      <c r="S387" t="s">
        <v>47</v>
      </c>
      <c r="T387" t="s">
        <v>50</v>
      </c>
      <c r="U387">
        <v>137</v>
      </c>
      <c r="V387">
        <v>4</v>
      </c>
      <c r="W387">
        <v>16</v>
      </c>
      <c r="X387">
        <v>16</v>
      </c>
      <c r="Y387">
        <v>12</v>
      </c>
      <c r="Z387">
        <v>13</v>
      </c>
      <c r="AG387" t="s">
        <v>1790</v>
      </c>
      <c r="AH387" t="s">
        <v>213</v>
      </c>
      <c r="AS387" t="s">
        <v>849</v>
      </c>
      <c r="AT387" t="s">
        <v>849</v>
      </c>
      <c r="AV387" t="s">
        <v>1810</v>
      </c>
      <c r="AW387" t="s">
        <v>1807</v>
      </c>
      <c r="AX387" t="s">
        <v>1808</v>
      </c>
      <c r="AY387" t="s">
        <v>1806</v>
      </c>
      <c r="AZ387" t="s">
        <v>1809</v>
      </c>
    </row>
    <row r="388" spans="1:52" x14ac:dyDescent="0.2">
      <c r="A388" t="s">
        <v>1065</v>
      </c>
      <c r="B388" t="s">
        <v>1066</v>
      </c>
      <c r="C388" t="s">
        <v>1083</v>
      </c>
      <c r="D388">
        <v>2002</v>
      </c>
      <c r="E388" t="s">
        <v>1279</v>
      </c>
      <c r="F388" t="s">
        <v>1348</v>
      </c>
      <c r="G388" t="s">
        <v>1426</v>
      </c>
      <c r="H388" t="s">
        <v>1556</v>
      </c>
      <c r="I388" t="s">
        <v>1068</v>
      </c>
      <c r="J388" t="s">
        <v>82</v>
      </c>
      <c r="K388" t="s">
        <v>35</v>
      </c>
      <c r="L388" t="s">
        <v>11</v>
      </c>
      <c r="M388" t="s">
        <v>17</v>
      </c>
      <c r="N388">
        <v>1</v>
      </c>
      <c r="O388" s="19" t="s">
        <v>20</v>
      </c>
      <c r="P388" s="18" t="s">
        <v>1042</v>
      </c>
      <c r="S388" t="s">
        <v>47</v>
      </c>
      <c r="T388" t="s">
        <v>50</v>
      </c>
      <c r="U388">
        <v>137</v>
      </c>
      <c r="V388">
        <v>4</v>
      </c>
      <c r="W388">
        <v>19</v>
      </c>
      <c r="X388">
        <v>19</v>
      </c>
      <c r="AA388">
        <v>168</v>
      </c>
      <c r="AB388">
        <v>23</v>
      </c>
      <c r="AC388">
        <v>149</v>
      </c>
      <c r="AD388">
        <v>21</v>
      </c>
      <c r="AE388" t="s">
        <v>71</v>
      </c>
      <c r="AF388" t="s">
        <v>62</v>
      </c>
      <c r="AG388" t="str">
        <f>IF(AE388="mean", "mean", "")</f>
        <v>mean</v>
      </c>
      <c r="AH388" t="s">
        <v>213</v>
      </c>
      <c r="AS388" t="s">
        <v>849</v>
      </c>
      <c r="AT388" t="s">
        <v>849</v>
      </c>
      <c r="AV388" t="s">
        <v>1810</v>
      </c>
      <c r="AW388" t="s">
        <v>1807</v>
      </c>
      <c r="AX388" t="s">
        <v>1808</v>
      </c>
      <c r="AY388" t="s">
        <v>1806</v>
      </c>
      <c r="AZ388" t="s">
        <v>1809</v>
      </c>
    </row>
    <row r="389" spans="1:52" x14ac:dyDescent="0.2">
      <c r="A389" t="s">
        <v>1065</v>
      </c>
      <c r="B389" t="s">
        <v>1066</v>
      </c>
      <c r="C389" t="s">
        <v>1084</v>
      </c>
      <c r="D389">
        <v>2002</v>
      </c>
      <c r="E389" t="s">
        <v>1279</v>
      </c>
      <c r="F389" t="s">
        <v>1348</v>
      </c>
      <c r="G389" t="s">
        <v>1426</v>
      </c>
      <c r="H389" t="s">
        <v>1557</v>
      </c>
      <c r="I389" t="s">
        <v>1068</v>
      </c>
      <c r="J389" t="s">
        <v>82</v>
      </c>
      <c r="K389" t="s">
        <v>35</v>
      </c>
      <c r="L389" t="s">
        <v>11</v>
      </c>
      <c r="M389" t="s">
        <v>17</v>
      </c>
      <c r="N389">
        <v>1</v>
      </c>
      <c r="O389" s="19" t="s">
        <v>20</v>
      </c>
      <c r="P389" s="18" t="s">
        <v>1042</v>
      </c>
      <c r="S389" t="s">
        <v>47</v>
      </c>
      <c r="T389" t="s">
        <v>50</v>
      </c>
      <c r="U389">
        <v>137</v>
      </c>
      <c r="V389">
        <v>4</v>
      </c>
      <c r="W389">
        <v>16</v>
      </c>
      <c r="X389">
        <v>16</v>
      </c>
      <c r="AA389">
        <v>77.2</v>
      </c>
      <c r="AB389">
        <v>15</v>
      </c>
      <c r="AC389">
        <v>63.6</v>
      </c>
      <c r="AD389">
        <v>14</v>
      </c>
      <c r="AE389" t="s">
        <v>71</v>
      </c>
      <c r="AF389" t="s">
        <v>62</v>
      </c>
      <c r="AG389" t="str">
        <f>IF(AE389="mean", "mean", "")</f>
        <v>mean</v>
      </c>
      <c r="AH389" t="s">
        <v>213</v>
      </c>
      <c r="AS389" t="s">
        <v>849</v>
      </c>
      <c r="AT389" t="s">
        <v>849</v>
      </c>
      <c r="AV389" t="s">
        <v>1810</v>
      </c>
      <c r="AW389" t="s">
        <v>1807</v>
      </c>
      <c r="AX389" t="s">
        <v>1808</v>
      </c>
      <c r="AY389" t="s">
        <v>1806</v>
      </c>
      <c r="AZ389" t="s">
        <v>1809</v>
      </c>
    </row>
    <row r="390" spans="1:52" x14ac:dyDescent="0.2">
      <c r="A390" t="s">
        <v>1065</v>
      </c>
      <c r="B390" t="s">
        <v>1066</v>
      </c>
      <c r="C390" t="s">
        <v>1085</v>
      </c>
      <c r="D390">
        <v>2002</v>
      </c>
      <c r="E390" t="s">
        <v>1279</v>
      </c>
      <c r="F390" t="s">
        <v>1348</v>
      </c>
      <c r="G390" t="s">
        <v>1426</v>
      </c>
      <c r="H390" t="s">
        <v>1558</v>
      </c>
      <c r="I390" t="s">
        <v>1068</v>
      </c>
      <c r="J390" t="s">
        <v>82</v>
      </c>
      <c r="K390" t="s">
        <v>35</v>
      </c>
      <c r="L390" t="s">
        <v>11</v>
      </c>
      <c r="M390" t="s">
        <v>17</v>
      </c>
      <c r="N390">
        <v>1</v>
      </c>
      <c r="O390" s="19" t="s">
        <v>20</v>
      </c>
      <c r="P390" s="18" t="s">
        <v>27</v>
      </c>
      <c r="S390" t="s">
        <v>47</v>
      </c>
      <c r="T390" t="s">
        <v>50</v>
      </c>
      <c r="U390">
        <v>137</v>
      </c>
      <c r="V390">
        <v>4</v>
      </c>
      <c r="W390">
        <v>19</v>
      </c>
      <c r="X390">
        <v>19</v>
      </c>
      <c r="AA390">
        <v>1.79</v>
      </c>
      <c r="AB390">
        <v>0.2</v>
      </c>
      <c r="AC390">
        <v>1.63</v>
      </c>
      <c r="AD390">
        <v>0.2</v>
      </c>
      <c r="AE390" t="s">
        <v>71</v>
      </c>
      <c r="AF390" t="s">
        <v>62</v>
      </c>
      <c r="AG390" t="str">
        <f>IF(AE390="mean", "mean", "")</f>
        <v>mean</v>
      </c>
      <c r="AH390" t="s">
        <v>213</v>
      </c>
      <c r="AS390" t="s">
        <v>849</v>
      </c>
      <c r="AT390" t="s">
        <v>849</v>
      </c>
      <c r="AV390" t="s">
        <v>1810</v>
      </c>
      <c r="AW390" t="s">
        <v>1807</v>
      </c>
      <c r="AX390" t="s">
        <v>1808</v>
      </c>
      <c r="AY390" t="s">
        <v>1806</v>
      </c>
      <c r="AZ390" t="s">
        <v>1809</v>
      </c>
    </row>
    <row r="391" spans="1:52" x14ac:dyDescent="0.2">
      <c r="A391" t="s">
        <v>1065</v>
      </c>
      <c r="B391" t="s">
        <v>1066</v>
      </c>
      <c r="C391" t="s">
        <v>1086</v>
      </c>
      <c r="D391">
        <v>2002</v>
      </c>
      <c r="E391" t="s">
        <v>1279</v>
      </c>
      <c r="F391" t="s">
        <v>1348</v>
      </c>
      <c r="G391" t="s">
        <v>1426</v>
      </c>
      <c r="H391" t="s">
        <v>1559</v>
      </c>
      <c r="I391" t="s">
        <v>1068</v>
      </c>
      <c r="J391" t="s">
        <v>82</v>
      </c>
      <c r="K391" t="s">
        <v>35</v>
      </c>
      <c r="L391" t="s">
        <v>11</v>
      </c>
      <c r="M391" t="s">
        <v>17</v>
      </c>
      <c r="N391">
        <v>1</v>
      </c>
      <c r="O391" s="19" t="s">
        <v>20</v>
      </c>
      <c r="P391" s="18" t="s">
        <v>27</v>
      </c>
      <c r="S391" t="s">
        <v>47</v>
      </c>
      <c r="T391" t="s">
        <v>50</v>
      </c>
      <c r="U391">
        <v>137</v>
      </c>
      <c r="V391">
        <v>4</v>
      </c>
      <c r="W391">
        <v>16</v>
      </c>
      <c r="X391">
        <v>16</v>
      </c>
      <c r="AA391">
        <v>1</v>
      </c>
      <c r="AB391">
        <v>0.2</v>
      </c>
      <c r="AC391">
        <v>0.94</v>
      </c>
      <c r="AD391">
        <v>0.2</v>
      </c>
      <c r="AE391" t="s">
        <v>71</v>
      </c>
      <c r="AF391" t="s">
        <v>62</v>
      </c>
      <c r="AG391" t="str">
        <f>IF(AE391="mean", "mean", "")</f>
        <v>mean</v>
      </c>
      <c r="AH391" t="s">
        <v>213</v>
      </c>
      <c r="AS391" t="s">
        <v>849</v>
      </c>
      <c r="AT391" t="s">
        <v>849</v>
      </c>
      <c r="AV391" t="s">
        <v>1810</v>
      </c>
      <c r="AW391" t="s">
        <v>1807</v>
      </c>
      <c r="AX391" t="s">
        <v>1808</v>
      </c>
      <c r="AY391" t="s">
        <v>1806</v>
      </c>
      <c r="AZ391" t="s">
        <v>1809</v>
      </c>
    </row>
    <row r="392" spans="1:52" x14ac:dyDescent="0.2">
      <c r="A392" t="s">
        <v>1087</v>
      </c>
      <c r="B392" t="s">
        <v>1088</v>
      </c>
      <c r="C392" t="s">
        <v>1089</v>
      </c>
      <c r="D392">
        <v>2000</v>
      </c>
      <c r="E392" t="s">
        <v>1280</v>
      </c>
      <c r="F392" t="s">
        <v>1349</v>
      </c>
      <c r="G392" t="s">
        <v>1427</v>
      </c>
      <c r="H392" t="s">
        <v>1560</v>
      </c>
      <c r="I392" t="s">
        <v>1090</v>
      </c>
      <c r="J392" t="s">
        <v>82</v>
      </c>
      <c r="K392" t="s">
        <v>35</v>
      </c>
      <c r="L392" t="s">
        <v>11</v>
      </c>
      <c r="M392" t="s">
        <v>13</v>
      </c>
      <c r="N392">
        <v>1</v>
      </c>
      <c r="O392" s="19" t="s">
        <v>20</v>
      </c>
      <c r="P392" s="18" t="s">
        <v>23</v>
      </c>
      <c r="S392" t="s">
        <v>47</v>
      </c>
      <c r="T392" t="s">
        <v>51</v>
      </c>
      <c r="U392">
        <v>546</v>
      </c>
      <c r="W392">
        <v>27</v>
      </c>
      <c r="X392">
        <v>27</v>
      </c>
      <c r="Y392">
        <v>18</v>
      </c>
      <c r="Z392">
        <v>9</v>
      </c>
      <c r="AG392" t="s">
        <v>1790</v>
      </c>
      <c r="AH392" t="s">
        <v>213</v>
      </c>
      <c r="AS392" t="s">
        <v>849</v>
      </c>
      <c r="AT392" t="s">
        <v>849</v>
      </c>
      <c r="AV392" t="s">
        <v>1803</v>
      </c>
      <c r="AW392" t="s">
        <v>1807</v>
      </c>
      <c r="AX392" t="s">
        <v>1808</v>
      </c>
      <c r="AY392" t="s">
        <v>1811</v>
      </c>
      <c r="AZ392" t="s">
        <v>76</v>
      </c>
    </row>
    <row r="393" spans="1:52" x14ac:dyDescent="0.2">
      <c r="A393" t="s">
        <v>1087</v>
      </c>
      <c r="B393" t="s">
        <v>1088</v>
      </c>
      <c r="C393" t="s">
        <v>1089</v>
      </c>
      <c r="D393">
        <v>2000</v>
      </c>
      <c r="E393" t="s">
        <v>1280</v>
      </c>
      <c r="F393" t="s">
        <v>1349</v>
      </c>
      <c r="G393" t="s">
        <v>1427</v>
      </c>
      <c r="H393" t="s">
        <v>1561</v>
      </c>
      <c r="I393" t="s">
        <v>1090</v>
      </c>
      <c r="J393" t="s">
        <v>82</v>
      </c>
      <c r="K393" t="s">
        <v>34</v>
      </c>
      <c r="O393" s="19" t="s">
        <v>20</v>
      </c>
      <c r="P393" s="18" t="s">
        <v>23</v>
      </c>
      <c r="Q393" t="s">
        <v>38</v>
      </c>
      <c r="R393" t="s">
        <v>45</v>
      </c>
      <c r="S393" t="s">
        <v>47</v>
      </c>
      <c r="T393" t="s">
        <v>51</v>
      </c>
      <c r="U393">
        <v>546</v>
      </c>
      <c r="AG393" t="s">
        <v>4</v>
      </c>
      <c r="AH393" t="s">
        <v>214</v>
      </c>
      <c r="AN393">
        <v>27</v>
      </c>
      <c r="AO393">
        <v>-0.59</v>
      </c>
      <c r="AP393">
        <v>0.35</v>
      </c>
      <c r="AS393" t="s">
        <v>222</v>
      </c>
      <c r="AT393" t="s">
        <v>849</v>
      </c>
      <c r="AV393" t="s">
        <v>1803</v>
      </c>
      <c r="AW393" t="s">
        <v>1807</v>
      </c>
      <c r="AX393" t="s">
        <v>1808</v>
      </c>
      <c r="AY393" t="s">
        <v>1811</v>
      </c>
      <c r="AZ393" t="s">
        <v>76</v>
      </c>
    </row>
    <row r="394" spans="1:52" x14ac:dyDescent="0.2">
      <c r="A394" t="s">
        <v>1087</v>
      </c>
      <c r="B394" t="s">
        <v>1088</v>
      </c>
      <c r="C394" t="s">
        <v>1089</v>
      </c>
      <c r="D394">
        <v>2000</v>
      </c>
      <c r="E394" t="s">
        <v>1280</v>
      </c>
      <c r="F394" t="s">
        <v>1349</v>
      </c>
      <c r="G394" t="s">
        <v>1428</v>
      </c>
      <c r="H394" t="s">
        <v>1562</v>
      </c>
      <c r="I394" t="s">
        <v>1090</v>
      </c>
      <c r="J394" t="s">
        <v>82</v>
      </c>
      <c r="K394" t="s">
        <v>34</v>
      </c>
      <c r="O394" s="18" t="s">
        <v>76</v>
      </c>
      <c r="P394" s="18" t="s">
        <v>1825</v>
      </c>
      <c r="Q394" t="s">
        <v>38</v>
      </c>
      <c r="R394" t="s">
        <v>45</v>
      </c>
      <c r="S394" t="s">
        <v>47</v>
      </c>
      <c r="T394" t="s">
        <v>49</v>
      </c>
      <c r="U394">
        <v>547</v>
      </c>
      <c r="V394">
        <v>4</v>
      </c>
      <c r="AE394" t="s">
        <v>71</v>
      </c>
      <c r="AF394" t="s">
        <v>61</v>
      </c>
      <c r="AG394" t="s">
        <v>4</v>
      </c>
      <c r="AH394" t="s">
        <v>214</v>
      </c>
      <c r="AN394">
        <v>30</v>
      </c>
      <c r="AO394">
        <v>-0.41318187200000001</v>
      </c>
      <c r="AS394" t="s">
        <v>222</v>
      </c>
      <c r="AT394" t="s">
        <v>849</v>
      </c>
      <c r="AV394" t="s">
        <v>1803</v>
      </c>
      <c r="AW394" t="s">
        <v>1807</v>
      </c>
      <c r="AX394" t="s">
        <v>1808</v>
      </c>
      <c r="AY394" t="s">
        <v>1811</v>
      </c>
      <c r="AZ394" t="s">
        <v>76</v>
      </c>
    </row>
    <row r="395" spans="1:52" x14ac:dyDescent="0.2">
      <c r="A395" t="s">
        <v>1091</v>
      </c>
      <c r="B395" t="s">
        <v>1092</v>
      </c>
      <c r="C395" t="s">
        <v>1093</v>
      </c>
      <c r="D395">
        <v>1995</v>
      </c>
      <c r="E395" t="s">
        <v>1281</v>
      </c>
      <c r="F395" t="s">
        <v>1350</v>
      </c>
      <c r="G395" t="s">
        <v>1429</v>
      </c>
      <c r="H395" t="s">
        <v>1563</v>
      </c>
      <c r="I395" t="s">
        <v>514</v>
      </c>
      <c r="J395" t="s">
        <v>82</v>
      </c>
      <c r="K395" t="s">
        <v>35</v>
      </c>
      <c r="L395" t="s">
        <v>11</v>
      </c>
      <c r="M395" t="s">
        <v>13</v>
      </c>
      <c r="N395">
        <v>1</v>
      </c>
      <c r="O395" s="18" t="s">
        <v>76</v>
      </c>
      <c r="P395" s="18" t="s">
        <v>1825</v>
      </c>
      <c r="S395" t="s">
        <v>47</v>
      </c>
      <c r="T395" t="s">
        <v>49</v>
      </c>
      <c r="U395">
        <v>804</v>
      </c>
      <c r="V395">
        <v>2</v>
      </c>
      <c r="W395">
        <v>16.5</v>
      </c>
      <c r="X395">
        <v>16.5</v>
      </c>
      <c r="AA395">
        <v>1.14657980456026</v>
      </c>
      <c r="AB395">
        <v>0.265798045602606</v>
      </c>
      <c r="AC395">
        <v>0.65667752442996796</v>
      </c>
      <c r="AD395">
        <v>0.33355048859934899</v>
      </c>
      <c r="AE395" t="s">
        <v>71</v>
      </c>
      <c r="AF395" t="s">
        <v>61</v>
      </c>
      <c r="AG395" t="str">
        <f>IF(AE395="mean", "mean", "")</f>
        <v>mean</v>
      </c>
      <c r="AH395" t="s">
        <v>213</v>
      </c>
      <c r="AS395" t="s">
        <v>849</v>
      </c>
      <c r="AT395" t="s">
        <v>849</v>
      </c>
      <c r="AV395" t="s">
        <v>1803</v>
      </c>
      <c r="AW395" t="s">
        <v>1807</v>
      </c>
      <c r="AX395" t="s">
        <v>1808</v>
      </c>
      <c r="AY395" t="s">
        <v>1811</v>
      </c>
      <c r="AZ395" t="s">
        <v>76</v>
      </c>
    </row>
    <row r="396" spans="1:52" x14ac:dyDescent="0.2">
      <c r="A396" t="s">
        <v>1095</v>
      </c>
      <c r="B396" t="s">
        <v>1096</v>
      </c>
      <c r="C396" t="s">
        <v>1097</v>
      </c>
      <c r="D396">
        <v>1987</v>
      </c>
      <c r="E396" t="s">
        <v>1282</v>
      </c>
      <c r="F396" t="s">
        <v>1351</v>
      </c>
      <c r="G396" t="s">
        <v>1430</v>
      </c>
      <c r="H396" t="s">
        <v>1564</v>
      </c>
      <c r="I396" t="s">
        <v>1798</v>
      </c>
      <c r="J396" t="s">
        <v>31</v>
      </c>
      <c r="K396" t="s">
        <v>34</v>
      </c>
      <c r="O396" s="18" t="s">
        <v>21</v>
      </c>
      <c r="P396" s="18" t="s">
        <v>78</v>
      </c>
      <c r="Q396" t="s">
        <v>38</v>
      </c>
      <c r="R396" t="s">
        <v>45</v>
      </c>
      <c r="S396" t="s">
        <v>47</v>
      </c>
      <c r="T396" t="s">
        <v>49</v>
      </c>
      <c r="U396">
        <v>68</v>
      </c>
      <c r="V396">
        <v>1</v>
      </c>
      <c r="AG396" t="s">
        <v>4</v>
      </c>
      <c r="AH396" t="s">
        <v>214</v>
      </c>
      <c r="AN396">
        <v>24</v>
      </c>
      <c r="AO396">
        <v>-0.58166367333542601</v>
      </c>
      <c r="AS396" t="s">
        <v>222</v>
      </c>
      <c r="AT396" t="s">
        <v>849</v>
      </c>
      <c r="AV396" t="s">
        <v>1803</v>
      </c>
      <c r="AW396" t="s">
        <v>1815</v>
      </c>
      <c r="AX396" t="s">
        <v>1805</v>
      </c>
      <c r="AY396" t="s">
        <v>1806</v>
      </c>
      <c r="AZ396" t="s">
        <v>76</v>
      </c>
    </row>
    <row r="397" spans="1:52" x14ac:dyDescent="0.2">
      <c r="A397" t="s">
        <v>1095</v>
      </c>
      <c r="B397" t="s">
        <v>1096</v>
      </c>
      <c r="C397" t="s">
        <v>1097</v>
      </c>
      <c r="D397">
        <v>1987</v>
      </c>
      <c r="E397" t="s">
        <v>1282</v>
      </c>
      <c r="F397" t="s">
        <v>1351</v>
      </c>
      <c r="G397" t="s">
        <v>1430</v>
      </c>
      <c r="H397" t="s">
        <v>1565</v>
      </c>
      <c r="I397" t="s">
        <v>1798</v>
      </c>
      <c r="J397" t="s">
        <v>31</v>
      </c>
      <c r="K397" t="s">
        <v>34</v>
      </c>
      <c r="O397" s="18" t="s">
        <v>21</v>
      </c>
      <c r="P397" s="18" t="s">
        <v>78</v>
      </c>
      <c r="Q397" t="s">
        <v>38</v>
      </c>
      <c r="R397" t="s">
        <v>45</v>
      </c>
      <c r="S397" t="s">
        <v>47</v>
      </c>
      <c r="T397" t="s">
        <v>49</v>
      </c>
      <c r="U397">
        <v>68</v>
      </c>
      <c r="V397">
        <v>1</v>
      </c>
      <c r="AG397" t="s">
        <v>4</v>
      </c>
      <c r="AH397" t="s">
        <v>214</v>
      </c>
      <c r="AN397">
        <v>22</v>
      </c>
      <c r="AO397">
        <v>-0.52130476019317395</v>
      </c>
      <c r="AS397" t="s">
        <v>222</v>
      </c>
      <c r="AT397" t="s">
        <v>849</v>
      </c>
      <c r="AV397" t="s">
        <v>1803</v>
      </c>
      <c r="AW397" t="s">
        <v>1815</v>
      </c>
      <c r="AX397" t="s">
        <v>1805</v>
      </c>
      <c r="AY397" t="s">
        <v>1806</v>
      </c>
      <c r="AZ397" t="s">
        <v>76</v>
      </c>
    </row>
    <row r="398" spans="1:52" x14ac:dyDescent="0.2">
      <c r="A398" t="s">
        <v>1095</v>
      </c>
      <c r="B398" t="s">
        <v>1096</v>
      </c>
      <c r="C398" t="s">
        <v>1097</v>
      </c>
      <c r="D398">
        <v>1987</v>
      </c>
      <c r="E398" t="s">
        <v>1282</v>
      </c>
      <c r="F398" t="s">
        <v>1351</v>
      </c>
      <c r="G398" t="s">
        <v>1431</v>
      </c>
      <c r="H398" t="s">
        <v>1566</v>
      </c>
      <c r="I398" t="s">
        <v>1798</v>
      </c>
      <c r="J398" t="s">
        <v>31</v>
      </c>
      <c r="K398" t="s">
        <v>34</v>
      </c>
      <c r="O398" s="18" t="s">
        <v>21</v>
      </c>
      <c r="P398" s="18" t="s">
        <v>78</v>
      </c>
      <c r="Q398" t="s">
        <v>38</v>
      </c>
      <c r="R398" t="s">
        <v>44</v>
      </c>
      <c r="S398" t="s">
        <v>47</v>
      </c>
      <c r="T398" t="s">
        <v>50</v>
      </c>
      <c r="U398">
        <v>69</v>
      </c>
      <c r="V398">
        <v>1</v>
      </c>
      <c r="W398">
        <v>52</v>
      </c>
      <c r="X398">
        <v>86</v>
      </c>
      <c r="Y398">
        <v>14</v>
      </c>
      <c r="Z398">
        <v>13</v>
      </c>
      <c r="AG398" t="s">
        <v>1790</v>
      </c>
      <c r="AH398" t="s">
        <v>213</v>
      </c>
      <c r="AS398" t="s">
        <v>222</v>
      </c>
      <c r="AT398" t="s">
        <v>849</v>
      </c>
      <c r="AV398" t="s">
        <v>1803</v>
      </c>
      <c r="AW398" t="s">
        <v>1815</v>
      </c>
      <c r="AX398" t="s">
        <v>1805</v>
      </c>
      <c r="AY398" t="s">
        <v>1806</v>
      </c>
      <c r="AZ398" t="s">
        <v>76</v>
      </c>
    </row>
    <row r="399" spans="1:52" x14ac:dyDescent="0.2">
      <c r="A399" t="s">
        <v>1095</v>
      </c>
      <c r="B399" t="s">
        <v>1096</v>
      </c>
      <c r="C399" t="s">
        <v>1097</v>
      </c>
      <c r="D399">
        <v>1987</v>
      </c>
      <c r="E399" t="s">
        <v>1282</v>
      </c>
      <c r="F399" t="s">
        <v>1351</v>
      </c>
      <c r="G399" t="s">
        <v>1431</v>
      </c>
      <c r="H399" t="s">
        <v>1567</v>
      </c>
      <c r="I399" t="s">
        <v>1798</v>
      </c>
      <c r="J399" t="s">
        <v>31</v>
      </c>
      <c r="K399" t="s">
        <v>34</v>
      </c>
      <c r="O399" s="18" t="s">
        <v>21</v>
      </c>
      <c r="P399" s="18" t="s">
        <v>78</v>
      </c>
      <c r="Q399" t="s">
        <v>38</v>
      </c>
      <c r="R399" t="s">
        <v>44</v>
      </c>
      <c r="S399" t="s">
        <v>47</v>
      </c>
      <c r="T399" t="s">
        <v>50</v>
      </c>
      <c r="U399">
        <v>69</v>
      </c>
      <c r="V399">
        <v>1</v>
      </c>
      <c r="W399">
        <v>52</v>
      </c>
      <c r="X399">
        <v>68</v>
      </c>
      <c r="Y399">
        <v>14</v>
      </c>
      <c r="Z399">
        <v>4</v>
      </c>
      <c r="AG399" t="s">
        <v>1790</v>
      </c>
      <c r="AH399" t="s">
        <v>213</v>
      </c>
      <c r="AS399" t="s">
        <v>222</v>
      </c>
      <c r="AT399" t="s">
        <v>849</v>
      </c>
      <c r="AV399" t="s">
        <v>1803</v>
      </c>
      <c r="AW399" t="s">
        <v>1815</v>
      </c>
      <c r="AX399" t="s">
        <v>1805</v>
      </c>
      <c r="AY399" t="s">
        <v>1806</v>
      </c>
      <c r="AZ399" t="s">
        <v>76</v>
      </c>
    </row>
    <row r="400" spans="1:52" x14ac:dyDescent="0.2">
      <c r="A400" t="s">
        <v>1095</v>
      </c>
      <c r="B400" t="s">
        <v>1096</v>
      </c>
      <c r="C400" t="s">
        <v>1097</v>
      </c>
      <c r="D400">
        <v>1987</v>
      </c>
      <c r="E400" t="s">
        <v>1282</v>
      </c>
      <c r="F400" t="s">
        <v>1351</v>
      </c>
      <c r="G400" t="s">
        <v>1431</v>
      </c>
      <c r="H400" t="s">
        <v>1568</v>
      </c>
      <c r="I400" t="s">
        <v>1098</v>
      </c>
      <c r="J400" t="s">
        <v>31</v>
      </c>
      <c r="K400" t="s">
        <v>34</v>
      </c>
      <c r="O400" s="18" t="s">
        <v>21</v>
      </c>
      <c r="P400" s="18" t="s">
        <v>78</v>
      </c>
      <c r="Q400" t="s">
        <v>38</v>
      </c>
      <c r="R400" t="s">
        <v>44</v>
      </c>
      <c r="S400" t="s">
        <v>47</v>
      </c>
      <c r="T400" t="s">
        <v>50</v>
      </c>
      <c r="U400">
        <v>69</v>
      </c>
      <c r="V400">
        <v>1</v>
      </c>
      <c r="W400">
        <v>94</v>
      </c>
      <c r="X400">
        <v>58</v>
      </c>
      <c r="Y400">
        <v>29</v>
      </c>
      <c r="Z400">
        <v>29</v>
      </c>
      <c r="AG400" t="s">
        <v>1790</v>
      </c>
      <c r="AH400" t="s">
        <v>213</v>
      </c>
      <c r="AS400" t="s">
        <v>222</v>
      </c>
      <c r="AT400" t="s">
        <v>849</v>
      </c>
      <c r="AV400" t="s">
        <v>1803</v>
      </c>
      <c r="AW400" t="s">
        <v>1815</v>
      </c>
      <c r="AX400" t="s">
        <v>1819</v>
      </c>
      <c r="AY400" t="s">
        <v>1806</v>
      </c>
      <c r="AZ400" t="s">
        <v>76</v>
      </c>
    </row>
    <row r="401" spans="1:52" x14ac:dyDescent="0.2">
      <c r="A401" t="s">
        <v>1095</v>
      </c>
      <c r="B401" t="s">
        <v>1096</v>
      </c>
      <c r="C401" t="s">
        <v>1097</v>
      </c>
      <c r="D401">
        <v>1987</v>
      </c>
      <c r="E401" t="s">
        <v>1282</v>
      </c>
      <c r="F401" t="s">
        <v>1351</v>
      </c>
      <c r="G401" t="s">
        <v>1431</v>
      </c>
      <c r="H401" t="s">
        <v>1569</v>
      </c>
      <c r="I401" t="s">
        <v>1098</v>
      </c>
      <c r="J401" t="s">
        <v>31</v>
      </c>
      <c r="K401" t="s">
        <v>34</v>
      </c>
      <c r="O401" s="18" t="s">
        <v>21</v>
      </c>
      <c r="P401" s="18" t="s">
        <v>78</v>
      </c>
      <c r="Q401" t="s">
        <v>38</v>
      </c>
      <c r="R401" t="s">
        <v>44</v>
      </c>
      <c r="S401" t="s">
        <v>47</v>
      </c>
      <c r="T401" t="s">
        <v>50</v>
      </c>
      <c r="U401">
        <v>69</v>
      </c>
      <c r="V401">
        <v>1</v>
      </c>
      <c r="W401">
        <v>94</v>
      </c>
      <c r="X401">
        <v>37</v>
      </c>
      <c r="Y401">
        <v>29</v>
      </c>
      <c r="Z401">
        <v>10</v>
      </c>
      <c r="AG401" t="s">
        <v>1790</v>
      </c>
      <c r="AH401" t="s">
        <v>213</v>
      </c>
      <c r="AS401" t="s">
        <v>222</v>
      </c>
      <c r="AT401" t="s">
        <v>849</v>
      </c>
      <c r="AV401" t="s">
        <v>1803</v>
      </c>
      <c r="AW401" t="s">
        <v>1815</v>
      </c>
      <c r="AX401" t="s">
        <v>1819</v>
      </c>
      <c r="AY401" t="s">
        <v>1806</v>
      </c>
      <c r="AZ401" t="s">
        <v>76</v>
      </c>
    </row>
    <row r="402" spans="1:52" x14ac:dyDescent="0.2">
      <c r="A402" t="s">
        <v>1095</v>
      </c>
      <c r="B402" t="s">
        <v>1096</v>
      </c>
      <c r="C402" t="s">
        <v>1097</v>
      </c>
      <c r="D402">
        <v>1987</v>
      </c>
      <c r="E402" t="s">
        <v>1282</v>
      </c>
      <c r="F402" t="s">
        <v>1351</v>
      </c>
      <c r="G402" t="s">
        <v>1432</v>
      </c>
      <c r="H402" t="s">
        <v>1570</v>
      </c>
      <c r="I402" t="s">
        <v>1798</v>
      </c>
      <c r="J402" t="s">
        <v>31</v>
      </c>
      <c r="K402" t="s">
        <v>34</v>
      </c>
      <c r="O402" s="18" t="s">
        <v>21</v>
      </c>
      <c r="P402" s="18" t="s">
        <v>78</v>
      </c>
      <c r="Q402" t="s">
        <v>38</v>
      </c>
      <c r="R402" t="s">
        <v>45</v>
      </c>
      <c r="S402" t="s">
        <v>47</v>
      </c>
      <c r="T402" t="s">
        <v>49</v>
      </c>
      <c r="U402">
        <v>69</v>
      </c>
      <c r="V402">
        <v>3</v>
      </c>
      <c r="AG402" t="s">
        <v>4</v>
      </c>
      <c r="AH402" t="s">
        <v>214</v>
      </c>
      <c r="AN402">
        <v>23</v>
      </c>
      <c r="AO402">
        <v>-0.46558172023563199</v>
      </c>
      <c r="AS402" t="s">
        <v>222</v>
      </c>
      <c r="AT402" t="s">
        <v>849</v>
      </c>
      <c r="AV402" t="s">
        <v>1803</v>
      </c>
      <c r="AW402" t="s">
        <v>1815</v>
      </c>
      <c r="AX402" t="s">
        <v>1805</v>
      </c>
      <c r="AY402" t="s">
        <v>1806</v>
      </c>
      <c r="AZ402" t="s">
        <v>76</v>
      </c>
    </row>
    <row r="403" spans="1:52" x14ac:dyDescent="0.2">
      <c r="A403" t="s">
        <v>1095</v>
      </c>
      <c r="B403" t="s">
        <v>1096</v>
      </c>
      <c r="C403" t="s">
        <v>1097</v>
      </c>
      <c r="D403">
        <v>1987</v>
      </c>
      <c r="E403" t="s">
        <v>1282</v>
      </c>
      <c r="F403" t="s">
        <v>1351</v>
      </c>
      <c r="G403" t="s">
        <v>1432</v>
      </c>
      <c r="H403" t="s">
        <v>1571</v>
      </c>
      <c r="I403" t="s">
        <v>1098</v>
      </c>
      <c r="J403" t="s">
        <v>31</v>
      </c>
      <c r="K403" t="s">
        <v>34</v>
      </c>
      <c r="O403" s="18" t="s">
        <v>21</v>
      </c>
      <c r="P403" s="18" t="s">
        <v>78</v>
      </c>
      <c r="Q403" t="s">
        <v>38</v>
      </c>
      <c r="R403" t="s">
        <v>45</v>
      </c>
      <c r="S403" t="s">
        <v>47</v>
      </c>
      <c r="T403" t="s">
        <v>49</v>
      </c>
      <c r="U403">
        <v>69</v>
      </c>
      <c r="V403">
        <v>4</v>
      </c>
      <c r="AG403" t="s">
        <v>4</v>
      </c>
      <c r="AH403" t="s">
        <v>214</v>
      </c>
      <c r="AN403">
        <v>20</v>
      </c>
      <c r="AO403">
        <v>-0.51972040372237605</v>
      </c>
      <c r="AS403" t="s">
        <v>222</v>
      </c>
      <c r="AT403" t="s">
        <v>849</v>
      </c>
      <c r="AV403" t="s">
        <v>1803</v>
      </c>
      <c r="AW403" t="s">
        <v>1815</v>
      </c>
      <c r="AX403" t="s">
        <v>1819</v>
      </c>
      <c r="AY403" t="s">
        <v>1806</v>
      </c>
      <c r="AZ403" t="s">
        <v>76</v>
      </c>
    </row>
    <row r="404" spans="1:52" x14ac:dyDescent="0.2">
      <c r="A404" t="s">
        <v>1099</v>
      </c>
      <c r="B404" t="s">
        <v>1096</v>
      </c>
      <c r="C404" t="s">
        <v>1100</v>
      </c>
      <c r="D404">
        <v>1987</v>
      </c>
      <c r="E404" t="s">
        <v>1283</v>
      </c>
      <c r="F404" t="s">
        <v>1352</v>
      </c>
      <c r="G404" t="s">
        <v>1433</v>
      </c>
      <c r="H404" t="s">
        <v>1572</v>
      </c>
      <c r="I404" t="s">
        <v>1798</v>
      </c>
      <c r="J404" t="s">
        <v>31</v>
      </c>
      <c r="K404" t="s">
        <v>34</v>
      </c>
      <c r="O404" s="18" t="s">
        <v>20</v>
      </c>
      <c r="P404" s="18" t="s">
        <v>1824</v>
      </c>
      <c r="Q404" t="s">
        <v>38</v>
      </c>
      <c r="R404" t="s">
        <v>45</v>
      </c>
      <c r="S404" t="s">
        <v>47</v>
      </c>
      <c r="T404" t="s">
        <v>50</v>
      </c>
      <c r="U404">
        <v>1243</v>
      </c>
      <c r="V404">
        <v>1</v>
      </c>
      <c r="AG404" t="s">
        <v>4</v>
      </c>
      <c r="AH404" t="s">
        <v>214</v>
      </c>
      <c r="AN404">
        <v>46</v>
      </c>
      <c r="AO404">
        <v>0.08</v>
      </c>
      <c r="AS404" t="s">
        <v>222</v>
      </c>
      <c r="AT404" t="s">
        <v>849</v>
      </c>
      <c r="AV404" t="s">
        <v>1803</v>
      </c>
      <c r="AW404" t="s">
        <v>1815</v>
      </c>
      <c r="AX404" t="s">
        <v>1805</v>
      </c>
      <c r="AY404" t="s">
        <v>1806</v>
      </c>
      <c r="AZ404" t="s">
        <v>76</v>
      </c>
    </row>
    <row r="405" spans="1:52" x14ac:dyDescent="0.2">
      <c r="A405" t="s">
        <v>1099</v>
      </c>
      <c r="B405" t="s">
        <v>1096</v>
      </c>
      <c r="C405" t="s">
        <v>1100</v>
      </c>
      <c r="D405">
        <v>1987</v>
      </c>
      <c r="E405" t="s">
        <v>1283</v>
      </c>
      <c r="F405" t="s">
        <v>1352</v>
      </c>
      <c r="G405" t="s">
        <v>1433</v>
      </c>
      <c r="H405" t="s">
        <v>1573</v>
      </c>
      <c r="I405" t="s">
        <v>1098</v>
      </c>
      <c r="J405" t="s">
        <v>31</v>
      </c>
      <c r="K405" t="s">
        <v>34</v>
      </c>
      <c r="O405" s="18" t="s">
        <v>20</v>
      </c>
      <c r="P405" s="18" t="s">
        <v>1824</v>
      </c>
      <c r="Q405" t="s">
        <v>38</v>
      </c>
      <c r="R405" t="s">
        <v>45</v>
      </c>
      <c r="S405" t="s">
        <v>47</v>
      </c>
      <c r="T405" t="s">
        <v>50</v>
      </c>
      <c r="U405">
        <v>1243</v>
      </c>
      <c r="V405">
        <v>1</v>
      </c>
      <c r="AG405" t="s">
        <v>4</v>
      </c>
      <c r="AH405" t="s">
        <v>214</v>
      </c>
      <c r="AN405">
        <v>60</v>
      </c>
      <c r="AO405">
        <v>-0.19</v>
      </c>
      <c r="AS405" t="s">
        <v>222</v>
      </c>
      <c r="AT405" t="s">
        <v>849</v>
      </c>
      <c r="AV405" t="s">
        <v>1803</v>
      </c>
      <c r="AW405" t="s">
        <v>1815</v>
      </c>
      <c r="AX405" t="s">
        <v>1819</v>
      </c>
      <c r="AY405" t="s">
        <v>1806</v>
      </c>
      <c r="AZ405" t="s">
        <v>76</v>
      </c>
    </row>
    <row r="406" spans="1:52" x14ac:dyDescent="0.2">
      <c r="A406" t="s">
        <v>1099</v>
      </c>
      <c r="B406" t="s">
        <v>1096</v>
      </c>
      <c r="C406" t="s">
        <v>1100</v>
      </c>
      <c r="D406">
        <v>1987</v>
      </c>
      <c r="E406" t="s">
        <v>1283</v>
      </c>
      <c r="F406" t="s">
        <v>1353</v>
      </c>
      <c r="G406" t="s">
        <v>1434</v>
      </c>
      <c r="H406" t="s">
        <v>1574</v>
      </c>
      <c r="I406" t="s">
        <v>1098</v>
      </c>
      <c r="J406" t="s">
        <v>31</v>
      </c>
      <c r="K406" t="s">
        <v>34</v>
      </c>
      <c r="O406" s="18" t="s">
        <v>20</v>
      </c>
      <c r="P406" s="18" t="s">
        <v>1824</v>
      </c>
      <c r="Q406" t="s">
        <v>38</v>
      </c>
      <c r="R406" t="s">
        <v>45</v>
      </c>
      <c r="S406" t="s">
        <v>47</v>
      </c>
      <c r="T406" t="s">
        <v>51</v>
      </c>
      <c r="U406">
        <v>1245</v>
      </c>
      <c r="AG406" t="s">
        <v>4</v>
      </c>
      <c r="AH406" t="s">
        <v>214</v>
      </c>
      <c r="AN406">
        <v>34</v>
      </c>
      <c r="AO406">
        <v>-0.19</v>
      </c>
      <c r="AS406" t="s">
        <v>222</v>
      </c>
      <c r="AT406" t="s">
        <v>849</v>
      </c>
      <c r="AV406" t="s">
        <v>1803</v>
      </c>
      <c r="AW406" t="s">
        <v>1815</v>
      </c>
      <c r="AX406" t="s">
        <v>1819</v>
      </c>
      <c r="AY406" t="s">
        <v>1806</v>
      </c>
      <c r="AZ406" t="s">
        <v>76</v>
      </c>
    </row>
    <row r="407" spans="1:52" x14ac:dyDescent="0.2">
      <c r="A407" t="s">
        <v>1101</v>
      </c>
      <c r="B407" t="s">
        <v>1096</v>
      </c>
      <c r="C407" t="s">
        <v>1102</v>
      </c>
      <c r="D407">
        <v>1988</v>
      </c>
      <c r="E407" t="s">
        <v>1284</v>
      </c>
      <c r="F407" t="s">
        <v>1354</v>
      </c>
      <c r="G407" t="s">
        <v>1435</v>
      </c>
      <c r="H407" t="s">
        <v>1575</v>
      </c>
      <c r="I407" t="s">
        <v>1098</v>
      </c>
      <c r="J407" t="s">
        <v>31</v>
      </c>
      <c r="K407" t="s">
        <v>34</v>
      </c>
      <c r="O407" s="18" t="s">
        <v>20</v>
      </c>
      <c r="P407" s="18" t="s">
        <v>27</v>
      </c>
      <c r="Q407" t="s">
        <v>38</v>
      </c>
      <c r="R407" t="s">
        <v>45</v>
      </c>
      <c r="S407" t="s">
        <v>47</v>
      </c>
      <c r="T407" t="s">
        <v>51</v>
      </c>
      <c r="U407">
        <v>972</v>
      </c>
      <c r="AG407" t="s">
        <v>4</v>
      </c>
      <c r="AH407" t="s">
        <v>214</v>
      </c>
      <c r="AN407">
        <v>45</v>
      </c>
      <c r="AO407">
        <v>7.0000000000000007E-2</v>
      </c>
      <c r="AS407" t="s">
        <v>222</v>
      </c>
      <c r="AT407" t="s">
        <v>849</v>
      </c>
      <c r="AV407" t="s">
        <v>1803</v>
      </c>
      <c r="AW407" t="s">
        <v>1815</v>
      </c>
      <c r="AX407" t="s">
        <v>1819</v>
      </c>
      <c r="AY407" t="s">
        <v>1806</v>
      </c>
      <c r="AZ407" t="s">
        <v>76</v>
      </c>
    </row>
    <row r="408" spans="1:52" x14ac:dyDescent="0.2">
      <c r="A408" t="s">
        <v>1101</v>
      </c>
      <c r="B408" t="s">
        <v>1096</v>
      </c>
      <c r="C408" t="s">
        <v>1102</v>
      </c>
      <c r="D408">
        <v>1988</v>
      </c>
      <c r="E408" t="s">
        <v>1284</v>
      </c>
      <c r="F408" t="s">
        <v>1354</v>
      </c>
      <c r="G408" t="s">
        <v>1435</v>
      </c>
      <c r="H408" t="s">
        <v>1576</v>
      </c>
      <c r="I408" t="s">
        <v>1098</v>
      </c>
      <c r="J408" t="s">
        <v>31</v>
      </c>
      <c r="K408" t="s">
        <v>34</v>
      </c>
      <c r="O408" s="18" t="s">
        <v>20</v>
      </c>
      <c r="P408" s="18" t="s">
        <v>27</v>
      </c>
      <c r="Q408" t="s">
        <v>38</v>
      </c>
      <c r="R408" t="s">
        <v>45</v>
      </c>
      <c r="S408" t="s">
        <v>47</v>
      </c>
      <c r="T408" t="s">
        <v>50</v>
      </c>
      <c r="U408">
        <v>973</v>
      </c>
      <c r="V408">
        <v>1</v>
      </c>
      <c r="W408">
        <v>56</v>
      </c>
      <c r="X408">
        <v>47</v>
      </c>
      <c r="AA408">
        <v>2.92</v>
      </c>
      <c r="AB408">
        <v>0.14000000000000001</v>
      </c>
      <c r="AC408">
        <v>2.5099999999999998</v>
      </c>
      <c r="AD408">
        <v>0.17</v>
      </c>
      <c r="AE408" t="s">
        <v>71</v>
      </c>
      <c r="AF408" t="s">
        <v>62</v>
      </c>
      <c r="AG408" t="str">
        <f>IF(AE408="mean", "mean", "")</f>
        <v>mean</v>
      </c>
      <c r="AH408" t="s">
        <v>213</v>
      </c>
      <c r="AS408" t="s">
        <v>222</v>
      </c>
      <c r="AT408" t="s">
        <v>849</v>
      </c>
      <c r="AV408" t="s">
        <v>1803</v>
      </c>
      <c r="AW408" t="s">
        <v>1815</v>
      </c>
      <c r="AX408" t="s">
        <v>1819</v>
      </c>
      <c r="AY408" t="s">
        <v>1806</v>
      </c>
      <c r="AZ408" t="s">
        <v>76</v>
      </c>
    </row>
    <row r="409" spans="1:52" x14ac:dyDescent="0.2">
      <c r="A409" t="s">
        <v>1101</v>
      </c>
      <c r="B409" t="s">
        <v>1096</v>
      </c>
      <c r="C409" t="s">
        <v>1102</v>
      </c>
      <c r="D409">
        <v>1988</v>
      </c>
      <c r="E409" t="s">
        <v>1284</v>
      </c>
      <c r="F409" t="s">
        <v>1354</v>
      </c>
      <c r="G409" t="s">
        <v>1435</v>
      </c>
      <c r="H409" t="s">
        <v>1577</v>
      </c>
      <c r="I409" t="s">
        <v>1798</v>
      </c>
      <c r="J409" t="s">
        <v>31</v>
      </c>
      <c r="K409" t="s">
        <v>34</v>
      </c>
      <c r="O409" s="18" t="s">
        <v>20</v>
      </c>
      <c r="P409" s="18" t="s">
        <v>27</v>
      </c>
      <c r="Q409" t="s">
        <v>38</v>
      </c>
      <c r="R409" t="s">
        <v>45</v>
      </c>
      <c r="S409" t="s">
        <v>47</v>
      </c>
      <c r="T409" t="s">
        <v>50</v>
      </c>
      <c r="U409">
        <v>973</v>
      </c>
      <c r="V409">
        <v>1</v>
      </c>
      <c r="W409">
        <v>52</v>
      </c>
      <c r="X409">
        <v>37</v>
      </c>
      <c r="AA409">
        <v>4.2699999999999996</v>
      </c>
      <c r="AB409">
        <v>0.2</v>
      </c>
      <c r="AC409">
        <v>3.54</v>
      </c>
      <c r="AD409">
        <v>0.21</v>
      </c>
      <c r="AE409" t="s">
        <v>71</v>
      </c>
      <c r="AF409" t="s">
        <v>62</v>
      </c>
      <c r="AG409" t="str">
        <f>IF(AE409="mean", "mean", "")</f>
        <v>mean</v>
      </c>
      <c r="AH409" t="s">
        <v>213</v>
      </c>
      <c r="AS409" t="s">
        <v>222</v>
      </c>
      <c r="AT409" t="s">
        <v>849</v>
      </c>
      <c r="AV409" t="s">
        <v>1803</v>
      </c>
      <c r="AW409" t="s">
        <v>1815</v>
      </c>
      <c r="AX409" t="s">
        <v>1805</v>
      </c>
      <c r="AY409" t="s">
        <v>1806</v>
      </c>
      <c r="AZ409" t="s">
        <v>76</v>
      </c>
    </row>
    <row r="410" spans="1:52" x14ac:dyDescent="0.2">
      <c r="A410" t="s">
        <v>1103</v>
      </c>
      <c r="B410" t="s">
        <v>1104</v>
      </c>
      <c r="C410" t="s">
        <v>1105</v>
      </c>
      <c r="D410">
        <v>2014</v>
      </c>
      <c r="E410" t="s">
        <v>1285</v>
      </c>
      <c r="F410" t="s">
        <v>1355</v>
      </c>
      <c r="G410" t="s">
        <v>1436</v>
      </c>
      <c r="H410" t="s">
        <v>1578</v>
      </c>
      <c r="I410" t="s">
        <v>1106</v>
      </c>
      <c r="J410" t="s">
        <v>31</v>
      </c>
      <c r="K410" t="s">
        <v>34</v>
      </c>
      <c r="O410" s="18" t="s">
        <v>20</v>
      </c>
      <c r="P410" s="18" t="s">
        <v>1042</v>
      </c>
      <c r="Q410" t="s">
        <v>38</v>
      </c>
      <c r="R410" t="s">
        <v>44</v>
      </c>
      <c r="S410" t="s">
        <v>47</v>
      </c>
      <c r="T410" t="s">
        <v>51</v>
      </c>
      <c r="U410">
        <v>1972</v>
      </c>
      <c r="W410">
        <v>6</v>
      </c>
      <c r="X410">
        <v>16</v>
      </c>
      <c r="Y410">
        <v>3</v>
      </c>
      <c r="Z410">
        <v>7</v>
      </c>
      <c r="AG410" t="s">
        <v>1790</v>
      </c>
      <c r="AH410" t="s">
        <v>213</v>
      </c>
      <c r="AS410" t="s">
        <v>222</v>
      </c>
      <c r="AT410" t="s">
        <v>849</v>
      </c>
      <c r="AV410" t="s">
        <v>1803</v>
      </c>
      <c r="AW410" t="s">
        <v>1815</v>
      </c>
      <c r="AX410" t="s">
        <v>1805</v>
      </c>
      <c r="AY410" t="s">
        <v>1806</v>
      </c>
      <c r="AZ410" t="s">
        <v>76</v>
      </c>
    </row>
    <row r="411" spans="1:52" x14ac:dyDescent="0.2">
      <c r="A411" t="s">
        <v>1103</v>
      </c>
      <c r="B411" t="s">
        <v>1104</v>
      </c>
      <c r="C411" t="s">
        <v>1105</v>
      </c>
      <c r="D411">
        <v>2014</v>
      </c>
      <c r="E411" t="s">
        <v>1285</v>
      </c>
      <c r="F411" t="s">
        <v>1355</v>
      </c>
      <c r="G411" t="s">
        <v>1436</v>
      </c>
      <c r="H411" t="s">
        <v>1579</v>
      </c>
      <c r="I411" t="s">
        <v>1106</v>
      </c>
      <c r="J411" t="s">
        <v>31</v>
      </c>
      <c r="K411" t="s">
        <v>34</v>
      </c>
      <c r="O411" s="18" t="s">
        <v>20</v>
      </c>
      <c r="P411" s="18" t="s">
        <v>1042</v>
      </c>
      <c r="Q411" t="s">
        <v>38</v>
      </c>
      <c r="R411" t="s">
        <v>44</v>
      </c>
      <c r="S411" t="s">
        <v>47</v>
      </c>
      <c r="T411" t="s">
        <v>49</v>
      </c>
      <c r="U411">
        <v>1972</v>
      </c>
      <c r="V411">
        <v>2</v>
      </c>
      <c r="W411">
        <v>5</v>
      </c>
      <c r="X411">
        <v>7</v>
      </c>
      <c r="AA411">
        <v>594.59459459459504</v>
      </c>
      <c r="AB411">
        <v>241.73707864862601</v>
      </c>
      <c r="AC411">
        <v>207.207207207208</v>
      </c>
      <c r="AD411">
        <v>95.342389587914198</v>
      </c>
      <c r="AE411" t="s">
        <v>71</v>
      </c>
      <c r="AF411" t="s">
        <v>62</v>
      </c>
      <c r="AG411" t="str">
        <f>IF(AE411="mean", "mean", "")</f>
        <v>mean</v>
      </c>
      <c r="AH411" t="s">
        <v>213</v>
      </c>
      <c r="AS411" t="s">
        <v>222</v>
      </c>
      <c r="AT411" t="s">
        <v>222</v>
      </c>
      <c r="AV411" t="s">
        <v>1803</v>
      </c>
      <c r="AW411" t="s">
        <v>1815</v>
      </c>
      <c r="AX411" t="s">
        <v>1805</v>
      </c>
      <c r="AY411" t="s">
        <v>1806</v>
      </c>
      <c r="AZ411" t="s">
        <v>76</v>
      </c>
    </row>
    <row r="412" spans="1:52" x14ac:dyDescent="0.2">
      <c r="A412" t="s">
        <v>1103</v>
      </c>
      <c r="B412" t="s">
        <v>1104</v>
      </c>
      <c r="C412" t="s">
        <v>1105</v>
      </c>
      <c r="D412">
        <v>2014</v>
      </c>
      <c r="E412" t="s">
        <v>1285</v>
      </c>
      <c r="F412" t="s">
        <v>1356</v>
      </c>
      <c r="G412" t="s">
        <v>1437</v>
      </c>
      <c r="H412" t="s">
        <v>1580</v>
      </c>
      <c r="I412" t="s">
        <v>1106</v>
      </c>
      <c r="J412" t="s">
        <v>31</v>
      </c>
      <c r="K412" t="s">
        <v>35</v>
      </c>
      <c r="L412" t="s">
        <v>11</v>
      </c>
      <c r="M412" t="s">
        <v>16</v>
      </c>
      <c r="N412">
        <v>0</v>
      </c>
      <c r="O412" s="18" t="s">
        <v>20</v>
      </c>
      <c r="P412" s="18" t="s">
        <v>1042</v>
      </c>
      <c r="S412" t="s">
        <v>47</v>
      </c>
      <c r="T412" t="s">
        <v>49</v>
      </c>
      <c r="U412">
        <v>1972</v>
      </c>
      <c r="V412">
        <v>2</v>
      </c>
      <c r="W412">
        <v>12</v>
      </c>
      <c r="X412">
        <v>12</v>
      </c>
      <c r="AA412">
        <v>396.39639639639699</v>
      </c>
      <c r="AB412">
        <v>249.66498127118899</v>
      </c>
      <c r="AC412">
        <v>819.81981981982005</v>
      </c>
      <c r="AD412">
        <v>343.28934924788501</v>
      </c>
      <c r="AE412" t="s">
        <v>71</v>
      </c>
      <c r="AF412" t="s">
        <v>62</v>
      </c>
      <c r="AG412" t="str">
        <f>IF(AE412="mean", "mean", "")</f>
        <v>mean</v>
      </c>
      <c r="AH412" t="s">
        <v>213</v>
      </c>
      <c r="AS412" t="s">
        <v>849</v>
      </c>
      <c r="AT412" t="s">
        <v>222</v>
      </c>
      <c r="AV412" t="s">
        <v>1803</v>
      </c>
      <c r="AW412" t="s">
        <v>1815</v>
      </c>
      <c r="AX412" t="s">
        <v>1805</v>
      </c>
      <c r="AY412" t="s">
        <v>1806</v>
      </c>
      <c r="AZ412" t="s">
        <v>76</v>
      </c>
    </row>
    <row r="413" spans="1:52" x14ac:dyDescent="0.2">
      <c r="A413" t="s">
        <v>1107</v>
      </c>
      <c r="B413" t="s">
        <v>1108</v>
      </c>
      <c r="C413" t="s">
        <v>1109</v>
      </c>
      <c r="D413">
        <v>2004</v>
      </c>
      <c r="E413" t="s">
        <v>1286</v>
      </c>
      <c r="F413" t="s">
        <v>1357</v>
      </c>
      <c r="G413" t="s">
        <v>1438</v>
      </c>
      <c r="H413" t="s">
        <v>1581</v>
      </c>
      <c r="I413" t="s">
        <v>1761</v>
      </c>
      <c r="J413" t="s">
        <v>33</v>
      </c>
      <c r="K413" t="s">
        <v>34</v>
      </c>
      <c r="O413" s="18" t="s">
        <v>20</v>
      </c>
      <c r="P413" s="18" t="s">
        <v>24</v>
      </c>
      <c r="Q413" t="s">
        <v>38</v>
      </c>
      <c r="R413" t="s">
        <v>43</v>
      </c>
      <c r="S413" t="s">
        <v>47</v>
      </c>
      <c r="T413" t="s">
        <v>51</v>
      </c>
      <c r="U413">
        <v>604</v>
      </c>
      <c r="AG413" t="s">
        <v>67</v>
      </c>
      <c r="AH413" t="s">
        <v>214</v>
      </c>
      <c r="AK413">
        <v>2.46</v>
      </c>
      <c r="AL413">
        <v>89</v>
      </c>
      <c r="AM413">
        <v>94</v>
      </c>
      <c r="AS413" t="s">
        <v>849</v>
      </c>
      <c r="AT413" t="s">
        <v>849</v>
      </c>
      <c r="AV413" t="s">
        <v>1812</v>
      </c>
      <c r="AW413" t="s">
        <v>1815</v>
      </c>
      <c r="AX413" t="s">
        <v>1805</v>
      </c>
      <c r="AZ413" t="s">
        <v>1820</v>
      </c>
    </row>
    <row r="414" spans="1:52" x14ac:dyDescent="0.2">
      <c r="A414" t="s">
        <v>1107</v>
      </c>
      <c r="B414" t="s">
        <v>1108</v>
      </c>
      <c r="C414" t="s">
        <v>1109</v>
      </c>
      <c r="D414">
        <v>2004</v>
      </c>
      <c r="E414" t="s">
        <v>1286</v>
      </c>
      <c r="F414" t="s">
        <v>1357</v>
      </c>
      <c r="G414" t="s">
        <v>1438</v>
      </c>
      <c r="H414" t="s">
        <v>1582</v>
      </c>
      <c r="I414" t="s">
        <v>1761</v>
      </c>
      <c r="J414" t="s">
        <v>33</v>
      </c>
      <c r="K414" t="s">
        <v>34</v>
      </c>
      <c r="O414" s="18" t="s">
        <v>20</v>
      </c>
      <c r="P414" s="18" t="s">
        <v>25</v>
      </c>
      <c r="Q414" t="s">
        <v>38</v>
      </c>
      <c r="R414" t="s">
        <v>43</v>
      </c>
      <c r="S414" t="s">
        <v>47</v>
      </c>
      <c r="T414" t="s">
        <v>51</v>
      </c>
      <c r="U414">
        <v>604</v>
      </c>
      <c r="AG414" t="s">
        <v>67</v>
      </c>
      <c r="AH414" t="s">
        <v>214</v>
      </c>
      <c r="AK414">
        <v>-1.65</v>
      </c>
      <c r="AL414">
        <v>89</v>
      </c>
      <c r="AM414">
        <v>94</v>
      </c>
      <c r="AS414" t="s">
        <v>849</v>
      </c>
      <c r="AT414" t="s">
        <v>849</v>
      </c>
      <c r="AV414" t="s">
        <v>1812</v>
      </c>
      <c r="AW414" t="s">
        <v>1815</v>
      </c>
      <c r="AX414" t="s">
        <v>1805</v>
      </c>
      <c r="AZ414" t="s">
        <v>1820</v>
      </c>
    </row>
    <row r="415" spans="1:52" x14ac:dyDescent="0.2">
      <c r="A415" t="s">
        <v>1107</v>
      </c>
      <c r="B415" t="s">
        <v>1108</v>
      </c>
      <c r="C415" t="s">
        <v>1109</v>
      </c>
      <c r="D415">
        <v>2004</v>
      </c>
      <c r="E415" t="s">
        <v>1286</v>
      </c>
      <c r="F415" t="s">
        <v>1357</v>
      </c>
      <c r="G415" t="s">
        <v>1439</v>
      </c>
      <c r="H415" t="s">
        <v>1583</v>
      </c>
      <c r="I415" t="s">
        <v>1761</v>
      </c>
      <c r="J415" t="s">
        <v>33</v>
      </c>
      <c r="K415" t="s">
        <v>34</v>
      </c>
      <c r="O415" s="18" t="s">
        <v>20</v>
      </c>
      <c r="P415" s="18" t="s">
        <v>24</v>
      </c>
      <c r="Q415" t="s">
        <v>37</v>
      </c>
      <c r="R415" t="s">
        <v>40</v>
      </c>
      <c r="S415" t="s">
        <v>47</v>
      </c>
      <c r="T415" t="s">
        <v>51</v>
      </c>
      <c r="U415">
        <v>604</v>
      </c>
      <c r="AG415" t="s">
        <v>67</v>
      </c>
      <c r="AH415" t="s">
        <v>214</v>
      </c>
      <c r="AK415">
        <v>-1.4</v>
      </c>
      <c r="AL415">
        <v>95</v>
      </c>
      <c r="AM415">
        <v>99</v>
      </c>
      <c r="AS415" t="s">
        <v>849</v>
      </c>
      <c r="AT415" t="s">
        <v>849</v>
      </c>
      <c r="AV415" t="s">
        <v>1812</v>
      </c>
      <c r="AW415" t="s">
        <v>1815</v>
      </c>
      <c r="AX415" t="s">
        <v>1805</v>
      </c>
      <c r="AZ415" t="s">
        <v>1820</v>
      </c>
    </row>
    <row r="416" spans="1:52" x14ac:dyDescent="0.2">
      <c r="A416" t="s">
        <v>1107</v>
      </c>
      <c r="B416" t="s">
        <v>1108</v>
      </c>
      <c r="C416" t="s">
        <v>1109</v>
      </c>
      <c r="D416">
        <v>2004</v>
      </c>
      <c r="E416" t="s">
        <v>1286</v>
      </c>
      <c r="F416" t="s">
        <v>1357</v>
      </c>
      <c r="G416" t="s">
        <v>1439</v>
      </c>
      <c r="H416" t="s">
        <v>1584</v>
      </c>
      <c r="I416" t="s">
        <v>1761</v>
      </c>
      <c r="J416" t="s">
        <v>33</v>
      </c>
      <c r="K416" t="s">
        <v>34</v>
      </c>
      <c r="O416" s="18" t="s">
        <v>20</v>
      </c>
      <c r="P416" s="18" t="s">
        <v>25</v>
      </c>
      <c r="Q416" t="s">
        <v>37</v>
      </c>
      <c r="R416" t="s">
        <v>40</v>
      </c>
      <c r="S416" t="s">
        <v>47</v>
      </c>
      <c r="T416" t="s">
        <v>51</v>
      </c>
      <c r="U416">
        <v>604</v>
      </c>
      <c r="AG416" t="s">
        <v>67</v>
      </c>
      <c r="AH416" t="s">
        <v>214</v>
      </c>
      <c r="AK416">
        <v>2.88</v>
      </c>
      <c r="AL416">
        <v>95</v>
      </c>
      <c r="AM416">
        <v>99</v>
      </c>
      <c r="AS416" t="s">
        <v>849</v>
      </c>
      <c r="AT416" t="s">
        <v>849</v>
      </c>
      <c r="AV416" t="s">
        <v>1812</v>
      </c>
      <c r="AW416" t="s">
        <v>1815</v>
      </c>
      <c r="AX416" t="s">
        <v>1805</v>
      </c>
      <c r="AZ416" t="s">
        <v>1820</v>
      </c>
    </row>
    <row r="417" spans="1:52" x14ac:dyDescent="0.2">
      <c r="A417" t="s">
        <v>1110</v>
      </c>
      <c r="B417" t="s">
        <v>1108</v>
      </c>
      <c r="C417" t="s">
        <v>1111</v>
      </c>
      <c r="D417">
        <v>2006</v>
      </c>
      <c r="E417" t="s">
        <v>1287</v>
      </c>
      <c r="F417" t="s">
        <v>1358</v>
      </c>
      <c r="G417" t="s">
        <v>1440</v>
      </c>
      <c r="H417" t="s">
        <v>1585</v>
      </c>
      <c r="I417" t="s">
        <v>1761</v>
      </c>
      <c r="J417" t="s">
        <v>33</v>
      </c>
      <c r="K417" t="s">
        <v>34</v>
      </c>
      <c r="O417" s="18" t="s">
        <v>20</v>
      </c>
      <c r="P417" s="18" t="s">
        <v>26</v>
      </c>
      <c r="Q417" t="s">
        <v>37</v>
      </c>
      <c r="R417" t="s">
        <v>40</v>
      </c>
      <c r="S417" t="s">
        <v>47</v>
      </c>
      <c r="T417" t="s">
        <v>49</v>
      </c>
      <c r="U417">
        <v>829</v>
      </c>
      <c r="V417">
        <v>1</v>
      </c>
      <c r="W417">
        <v>38</v>
      </c>
      <c r="X417">
        <v>41</v>
      </c>
      <c r="AA417">
        <v>8.5205479452054797E-2</v>
      </c>
      <c r="AB417">
        <v>3.1666510289224098E-2</v>
      </c>
      <c r="AC417">
        <v>0.115821917808219</v>
      </c>
      <c r="AD417">
        <v>6.5785522987323805E-2</v>
      </c>
      <c r="AE417" t="s">
        <v>71</v>
      </c>
      <c r="AF417" t="s">
        <v>61</v>
      </c>
      <c r="AG417" t="str">
        <f>IF(AE417="mean", "mean", "")</f>
        <v>mean</v>
      </c>
      <c r="AH417" t="s">
        <v>213</v>
      </c>
      <c r="AS417" t="s">
        <v>849</v>
      </c>
      <c r="AT417" t="s">
        <v>849</v>
      </c>
      <c r="AV417" t="s">
        <v>1812</v>
      </c>
      <c r="AW417" t="s">
        <v>1815</v>
      </c>
      <c r="AX417" t="s">
        <v>1805</v>
      </c>
      <c r="AZ417" t="s">
        <v>1820</v>
      </c>
    </row>
    <row r="418" spans="1:52" x14ac:dyDescent="0.2">
      <c r="A418" t="s">
        <v>1110</v>
      </c>
      <c r="B418" t="s">
        <v>1108</v>
      </c>
      <c r="C418" t="s">
        <v>1111</v>
      </c>
      <c r="D418">
        <v>2006</v>
      </c>
      <c r="E418" t="s">
        <v>1287</v>
      </c>
      <c r="F418" t="s">
        <v>1358</v>
      </c>
      <c r="G418" t="s">
        <v>1440</v>
      </c>
      <c r="H418" t="s">
        <v>1586</v>
      </c>
      <c r="I418" t="s">
        <v>1761</v>
      </c>
      <c r="J418" t="s">
        <v>33</v>
      </c>
      <c r="K418" t="s">
        <v>34</v>
      </c>
      <c r="O418" s="18" t="s">
        <v>20</v>
      </c>
      <c r="P418" s="18" t="s">
        <v>27</v>
      </c>
      <c r="Q418" t="s">
        <v>37</v>
      </c>
      <c r="R418" t="s">
        <v>40</v>
      </c>
      <c r="S418" t="s">
        <v>47</v>
      </c>
      <c r="T418" t="s">
        <v>49</v>
      </c>
      <c r="U418">
        <v>829</v>
      </c>
      <c r="V418">
        <v>2</v>
      </c>
      <c r="W418">
        <v>24</v>
      </c>
      <c r="X418">
        <v>31</v>
      </c>
      <c r="AA418">
        <v>8.39057239057239E-2</v>
      </c>
      <c r="AB418">
        <v>3.6948532147032503E-2</v>
      </c>
      <c r="AC418">
        <v>0.115252525252525</v>
      </c>
      <c r="AD418">
        <v>6.6925652442098402E-2</v>
      </c>
      <c r="AE418" t="s">
        <v>71</v>
      </c>
      <c r="AF418" t="s">
        <v>61</v>
      </c>
      <c r="AG418" t="str">
        <f>IF(AE418="mean", "mean", "")</f>
        <v>mean</v>
      </c>
      <c r="AH418" t="s">
        <v>213</v>
      </c>
      <c r="AS418" t="s">
        <v>849</v>
      </c>
      <c r="AT418" t="s">
        <v>849</v>
      </c>
      <c r="AV418" t="s">
        <v>1812</v>
      </c>
      <c r="AW418" t="s">
        <v>1815</v>
      </c>
      <c r="AX418" t="s">
        <v>1805</v>
      </c>
      <c r="AZ418" t="s">
        <v>1820</v>
      </c>
    </row>
    <row r="419" spans="1:52" x14ac:dyDescent="0.2">
      <c r="A419" t="s">
        <v>1110</v>
      </c>
      <c r="B419" t="s">
        <v>1108</v>
      </c>
      <c r="C419" t="s">
        <v>1111</v>
      </c>
      <c r="D419">
        <v>2006</v>
      </c>
      <c r="E419" t="s">
        <v>1287</v>
      </c>
      <c r="F419" t="s">
        <v>1358</v>
      </c>
      <c r="G419" t="s">
        <v>1440</v>
      </c>
      <c r="H419" t="s">
        <v>1587</v>
      </c>
      <c r="I419" t="s">
        <v>1761</v>
      </c>
      <c r="J419" t="s">
        <v>33</v>
      </c>
      <c r="K419" t="s">
        <v>34</v>
      </c>
      <c r="O419" s="18" t="s">
        <v>20</v>
      </c>
      <c r="P419" s="18" t="s">
        <v>24</v>
      </c>
      <c r="Q419" t="s">
        <v>38</v>
      </c>
      <c r="R419" t="s">
        <v>43</v>
      </c>
      <c r="S419" t="s">
        <v>47</v>
      </c>
      <c r="T419" t="s">
        <v>51</v>
      </c>
      <c r="U419">
        <v>830</v>
      </c>
      <c r="AG419" t="s">
        <v>4</v>
      </c>
      <c r="AH419" t="s">
        <v>214</v>
      </c>
      <c r="AN419">
        <v>20</v>
      </c>
      <c r="AO419">
        <v>-0.47099999999999997</v>
      </c>
      <c r="AS419" t="s">
        <v>849</v>
      </c>
      <c r="AT419" t="s">
        <v>849</v>
      </c>
      <c r="AV419" t="s">
        <v>1812</v>
      </c>
      <c r="AW419" t="s">
        <v>1815</v>
      </c>
      <c r="AX419" t="s">
        <v>1805</v>
      </c>
      <c r="AZ419" t="s">
        <v>1820</v>
      </c>
    </row>
    <row r="420" spans="1:52" x14ac:dyDescent="0.2">
      <c r="A420" t="s">
        <v>2278</v>
      </c>
      <c r="B420" t="s">
        <v>1112</v>
      </c>
      <c r="C420" t="s">
        <v>1113</v>
      </c>
      <c r="D420">
        <v>2016</v>
      </c>
      <c r="E420" t="s">
        <v>1288</v>
      </c>
      <c r="F420" t="s">
        <v>1359</v>
      </c>
      <c r="G420" t="s">
        <v>1441</v>
      </c>
      <c r="H420" t="s">
        <v>1588</v>
      </c>
      <c r="I420" t="s">
        <v>1114</v>
      </c>
      <c r="J420" t="s">
        <v>31</v>
      </c>
      <c r="K420" t="s">
        <v>34</v>
      </c>
      <c r="O420" s="18" t="s">
        <v>21</v>
      </c>
      <c r="P420" s="18" t="s">
        <v>75</v>
      </c>
      <c r="Q420" t="s">
        <v>38</v>
      </c>
      <c r="R420" t="s">
        <v>43</v>
      </c>
      <c r="S420" t="s">
        <v>47</v>
      </c>
      <c r="T420" t="s">
        <v>51</v>
      </c>
      <c r="U420">
        <v>112</v>
      </c>
      <c r="AG420" t="s">
        <v>4</v>
      </c>
      <c r="AH420" t="s">
        <v>214</v>
      </c>
      <c r="AN420">
        <v>15</v>
      </c>
      <c r="AO420">
        <v>-0.71414284285428498</v>
      </c>
      <c r="AP420">
        <v>-0.51</v>
      </c>
      <c r="AS420" t="s">
        <v>849</v>
      </c>
      <c r="AT420" t="s">
        <v>849</v>
      </c>
      <c r="AV420" t="s">
        <v>1810</v>
      </c>
      <c r="AW420" t="s">
        <v>1815</v>
      </c>
      <c r="AX420" t="s">
        <v>1805</v>
      </c>
      <c r="AY420" t="s">
        <v>1811</v>
      </c>
      <c r="AZ420" t="s">
        <v>76</v>
      </c>
    </row>
    <row r="421" spans="1:52" x14ac:dyDescent="0.2">
      <c r="A421" t="s">
        <v>2278</v>
      </c>
      <c r="B421" t="s">
        <v>1112</v>
      </c>
      <c r="C421" t="s">
        <v>1113</v>
      </c>
      <c r="D421">
        <v>2016</v>
      </c>
      <c r="E421" t="s">
        <v>1288</v>
      </c>
      <c r="F421" t="s">
        <v>1360</v>
      </c>
      <c r="G421" t="s">
        <v>1442</v>
      </c>
      <c r="H421" t="s">
        <v>1589</v>
      </c>
      <c r="I421" t="s">
        <v>1114</v>
      </c>
      <c r="J421" t="s">
        <v>31</v>
      </c>
      <c r="K421" t="s">
        <v>34</v>
      </c>
      <c r="O421" s="18" t="s">
        <v>21</v>
      </c>
      <c r="P421" s="18" t="s">
        <v>75</v>
      </c>
      <c r="Q421" t="s">
        <v>38</v>
      </c>
      <c r="R421" t="s">
        <v>43</v>
      </c>
      <c r="S421" t="s">
        <v>47</v>
      </c>
      <c r="T421" t="s">
        <v>51</v>
      </c>
      <c r="U421">
        <v>112</v>
      </c>
      <c r="AG421" t="s">
        <v>4</v>
      </c>
      <c r="AH421" t="s">
        <v>214</v>
      </c>
      <c r="AN421">
        <v>15</v>
      </c>
      <c r="AO421">
        <v>-0.72801098892805205</v>
      </c>
      <c r="AP421">
        <v>-0.53</v>
      </c>
      <c r="AS421" t="s">
        <v>849</v>
      </c>
      <c r="AT421" t="s">
        <v>849</v>
      </c>
      <c r="AV421" t="s">
        <v>1810</v>
      </c>
      <c r="AW421" t="s">
        <v>1815</v>
      </c>
      <c r="AX421" t="s">
        <v>1805</v>
      </c>
      <c r="AY421" t="s">
        <v>1811</v>
      </c>
      <c r="AZ421" t="s">
        <v>76</v>
      </c>
    </row>
    <row r="422" spans="1:52" x14ac:dyDescent="0.2">
      <c r="A422" t="s">
        <v>2278</v>
      </c>
      <c r="B422" t="s">
        <v>1112</v>
      </c>
      <c r="C422" t="s">
        <v>1113</v>
      </c>
      <c r="D422">
        <v>2016</v>
      </c>
      <c r="E422" t="s">
        <v>1288</v>
      </c>
      <c r="F422" t="s">
        <v>1360</v>
      </c>
      <c r="G422" t="s">
        <v>1442</v>
      </c>
      <c r="H422" t="s">
        <v>1590</v>
      </c>
      <c r="I422" t="s">
        <v>1114</v>
      </c>
      <c r="J422" t="s">
        <v>31</v>
      </c>
      <c r="K422" t="s">
        <v>34</v>
      </c>
      <c r="O422" s="18" t="s">
        <v>20</v>
      </c>
      <c r="P422" s="18" t="s">
        <v>24</v>
      </c>
      <c r="Q422" t="s">
        <v>38</v>
      </c>
      <c r="R422" t="s">
        <v>43</v>
      </c>
      <c r="S422" t="s">
        <v>47</v>
      </c>
      <c r="T422" t="s">
        <v>51</v>
      </c>
      <c r="U422">
        <v>112</v>
      </c>
      <c r="AG422" t="s">
        <v>4</v>
      </c>
      <c r="AH422" t="s">
        <v>214</v>
      </c>
      <c r="AN422">
        <v>15</v>
      </c>
      <c r="AO422">
        <v>-0.64031242374328501</v>
      </c>
      <c r="AP422">
        <v>-0.41</v>
      </c>
      <c r="AS422" t="s">
        <v>849</v>
      </c>
      <c r="AT422" t="s">
        <v>849</v>
      </c>
      <c r="AV422" t="s">
        <v>1810</v>
      </c>
      <c r="AW422" t="s">
        <v>1815</v>
      </c>
      <c r="AX422" t="s">
        <v>1805</v>
      </c>
      <c r="AY422" t="s">
        <v>1811</v>
      </c>
      <c r="AZ422" t="s">
        <v>76</v>
      </c>
    </row>
    <row r="423" spans="1:52" x14ac:dyDescent="0.2">
      <c r="A423" t="s">
        <v>1115</v>
      </c>
      <c r="B423" t="s">
        <v>1116</v>
      </c>
      <c r="C423" t="s">
        <v>1117</v>
      </c>
      <c r="D423">
        <v>2015</v>
      </c>
      <c r="E423" t="s">
        <v>1289</v>
      </c>
      <c r="F423" t="s">
        <v>1361</v>
      </c>
      <c r="G423" t="s">
        <v>1443</v>
      </c>
      <c r="H423" t="s">
        <v>1591</v>
      </c>
      <c r="I423" t="s">
        <v>1118</v>
      </c>
      <c r="J423" t="s">
        <v>536</v>
      </c>
      <c r="K423" t="s">
        <v>35</v>
      </c>
      <c r="L423" t="s">
        <v>11</v>
      </c>
      <c r="M423" t="s">
        <v>16</v>
      </c>
      <c r="N423">
        <v>0</v>
      </c>
      <c r="O423" s="18" t="s">
        <v>20</v>
      </c>
      <c r="P423" s="18" t="s">
        <v>27</v>
      </c>
      <c r="S423" t="s">
        <v>47</v>
      </c>
      <c r="T423" t="s">
        <v>49</v>
      </c>
      <c r="U423">
        <v>7</v>
      </c>
      <c r="V423" t="s">
        <v>528</v>
      </c>
      <c r="W423">
        <v>48</v>
      </c>
      <c r="X423">
        <v>48</v>
      </c>
      <c r="Y423">
        <v>24</v>
      </c>
      <c r="Z423">
        <v>24</v>
      </c>
      <c r="AG423" t="s">
        <v>1790</v>
      </c>
      <c r="AH423" t="s">
        <v>213</v>
      </c>
      <c r="AS423" t="s">
        <v>849</v>
      </c>
      <c r="AT423" t="s">
        <v>849</v>
      </c>
      <c r="AV423" t="s">
        <v>1803</v>
      </c>
      <c r="AW423" t="s">
        <v>1807</v>
      </c>
      <c r="AX423" t="s">
        <v>1808</v>
      </c>
      <c r="AY423" t="s">
        <v>1811</v>
      </c>
      <c r="AZ423" t="s">
        <v>76</v>
      </c>
    </row>
    <row r="424" spans="1:52" x14ac:dyDescent="0.2">
      <c r="A424" t="s">
        <v>1119</v>
      </c>
      <c r="B424" t="s">
        <v>1120</v>
      </c>
      <c r="C424" t="s">
        <v>1121</v>
      </c>
      <c r="D424">
        <v>2012</v>
      </c>
      <c r="E424" t="s">
        <v>1290</v>
      </c>
      <c r="F424" t="s">
        <v>1362</v>
      </c>
      <c r="G424" t="s">
        <v>1444</v>
      </c>
      <c r="H424" t="s">
        <v>1592</v>
      </c>
      <c r="I424" t="s">
        <v>1122</v>
      </c>
      <c r="J424" t="s">
        <v>33</v>
      </c>
      <c r="K424" t="s">
        <v>34</v>
      </c>
      <c r="O424" s="18" t="s">
        <v>76</v>
      </c>
      <c r="P424" s="18" t="s">
        <v>27</v>
      </c>
      <c r="Q424" t="s">
        <v>37</v>
      </c>
      <c r="R424" t="s">
        <v>40</v>
      </c>
      <c r="S424" t="s">
        <v>47</v>
      </c>
      <c r="T424" t="s">
        <v>49</v>
      </c>
      <c r="U424">
        <v>20</v>
      </c>
      <c r="V424">
        <v>1</v>
      </c>
      <c r="W424">
        <v>10</v>
      </c>
      <c r="X424">
        <v>4</v>
      </c>
      <c r="AA424">
        <v>0.89022302904564299</v>
      </c>
      <c r="AB424">
        <v>1.7912981430355801E-2</v>
      </c>
      <c r="AC424">
        <v>0.94795124481327797</v>
      </c>
      <c r="AD424">
        <v>3.66438408414866E-2</v>
      </c>
      <c r="AE424" t="s">
        <v>71</v>
      </c>
      <c r="AF424" t="s">
        <v>61</v>
      </c>
      <c r="AG424" t="str">
        <f>IF(AE424="mean", "mean", "")</f>
        <v>mean</v>
      </c>
      <c r="AH424" t="s">
        <v>213</v>
      </c>
      <c r="AS424" t="s">
        <v>222</v>
      </c>
      <c r="AT424" t="s">
        <v>849</v>
      </c>
      <c r="AV424" t="s">
        <v>1812</v>
      </c>
      <c r="AW424" t="s">
        <v>1807</v>
      </c>
      <c r="AX424" t="s">
        <v>1808</v>
      </c>
      <c r="AZ424" t="s">
        <v>1820</v>
      </c>
    </row>
    <row r="425" spans="1:52" x14ac:dyDescent="0.2">
      <c r="A425" t="s">
        <v>1123</v>
      </c>
      <c r="B425" t="s">
        <v>1124</v>
      </c>
      <c r="C425" t="s">
        <v>1125</v>
      </c>
      <c r="D425">
        <v>2006</v>
      </c>
      <c r="E425" t="s">
        <v>1291</v>
      </c>
      <c r="F425" t="s">
        <v>1363</v>
      </c>
      <c r="G425" t="s">
        <v>1445</v>
      </c>
      <c r="H425" t="s">
        <v>1593</v>
      </c>
      <c r="I425" t="s">
        <v>474</v>
      </c>
      <c r="J425" t="s">
        <v>29</v>
      </c>
      <c r="K425" t="s">
        <v>34</v>
      </c>
      <c r="O425" s="18" t="s">
        <v>20</v>
      </c>
      <c r="P425" s="18" t="s">
        <v>26</v>
      </c>
      <c r="Q425" t="s">
        <v>38</v>
      </c>
      <c r="R425" t="s">
        <v>43</v>
      </c>
      <c r="S425" t="s">
        <v>47</v>
      </c>
      <c r="T425" t="s">
        <v>51</v>
      </c>
      <c r="U425">
        <v>168</v>
      </c>
      <c r="W425">
        <v>30</v>
      </c>
      <c r="X425">
        <v>30</v>
      </c>
      <c r="AA425">
        <v>5.38</v>
      </c>
      <c r="AB425">
        <v>2.41</v>
      </c>
      <c r="AC425">
        <v>10.66</v>
      </c>
      <c r="AD425">
        <v>5.07</v>
      </c>
      <c r="AE425" t="s">
        <v>71</v>
      </c>
      <c r="AF425" t="s">
        <v>61</v>
      </c>
      <c r="AG425" t="str">
        <f>IF(AE425="mean", "mean", "")</f>
        <v>mean</v>
      </c>
      <c r="AH425" t="s">
        <v>213</v>
      </c>
      <c r="AS425" t="s">
        <v>849</v>
      </c>
      <c r="AT425" t="s">
        <v>849</v>
      </c>
      <c r="AV425" t="s">
        <v>1803</v>
      </c>
      <c r="AW425" t="s">
        <v>1815</v>
      </c>
      <c r="AX425" t="s">
        <v>25</v>
      </c>
      <c r="AY425" t="s">
        <v>1814</v>
      </c>
      <c r="AZ425" t="s">
        <v>76</v>
      </c>
    </row>
    <row r="426" spans="1:52" x14ac:dyDescent="0.2">
      <c r="A426" t="s">
        <v>1123</v>
      </c>
      <c r="B426" t="s">
        <v>1124</v>
      </c>
      <c r="C426" t="s">
        <v>1125</v>
      </c>
      <c r="D426">
        <v>2006</v>
      </c>
      <c r="E426" t="s">
        <v>1291</v>
      </c>
      <c r="F426" t="s">
        <v>1363</v>
      </c>
      <c r="G426" t="s">
        <v>1445</v>
      </c>
      <c r="H426" t="s">
        <v>1594</v>
      </c>
      <c r="I426" t="s">
        <v>474</v>
      </c>
      <c r="J426" t="s">
        <v>29</v>
      </c>
      <c r="K426" t="s">
        <v>34</v>
      </c>
      <c r="O426" s="18" t="s">
        <v>20</v>
      </c>
      <c r="P426" s="18" t="s">
        <v>25</v>
      </c>
      <c r="Q426" t="s">
        <v>38</v>
      </c>
      <c r="R426" t="s">
        <v>43</v>
      </c>
      <c r="S426" t="s">
        <v>47</v>
      </c>
      <c r="T426" t="s">
        <v>49</v>
      </c>
      <c r="U426">
        <v>169</v>
      </c>
      <c r="V426" t="s">
        <v>1126</v>
      </c>
      <c r="AG426" t="s">
        <v>4</v>
      </c>
      <c r="AH426" t="s">
        <v>214</v>
      </c>
      <c r="AN426">
        <v>30</v>
      </c>
      <c r="AO426">
        <v>0.74523536978499805</v>
      </c>
      <c r="AS426" t="s">
        <v>849</v>
      </c>
      <c r="AT426" t="s">
        <v>849</v>
      </c>
      <c r="AV426" t="s">
        <v>1803</v>
      </c>
      <c r="AW426" t="s">
        <v>1815</v>
      </c>
      <c r="AX426" t="s">
        <v>25</v>
      </c>
      <c r="AY426" t="s">
        <v>1814</v>
      </c>
      <c r="AZ426" t="s">
        <v>76</v>
      </c>
    </row>
    <row r="427" spans="1:52" x14ac:dyDescent="0.2">
      <c r="A427" t="s">
        <v>1123</v>
      </c>
      <c r="B427" t="s">
        <v>1124</v>
      </c>
      <c r="C427" t="s">
        <v>1125</v>
      </c>
      <c r="D427">
        <v>2006</v>
      </c>
      <c r="E427" t="s">
        <v>1291</v>
      </c>
      <c r="F427" t="s">
        <v>1363</v>
      </c>
      <c r="G427" t="s">
        <v>1446</v>
      </c>
      <c r="H427" t="s">
        <v>1595</v>
      </c>
      <c r="I427" t="s">
        <v>474</v>
      </c>
      <c r="J427" t="s">
        <v>29</v>
      </c>
      <c r="K427" t="s">
        <v>35</v>
      </c>
      <c r="L427" t="s">
        <v>12</v>
      </c>
      <c r="O427" s="18" t="s">
        <v>20</v>
      </c>
      <c r="P427" s="18" t="s">
        <v>26</v>
      </c>
      <c r="Q427" t="s">
        <v>38</v>
      </c>
      <c r="R427" t="s">
        <v>43</v>
      </c>
      <c r="S427" t="s">
        <v>47</v>
      </c>
      <c r="T427" t="s">
        <v>51</v>
      </c>
      <c r="U427">
        <v>169</v>
      </c>
      <c r="W427">
        <v>20</v>
      </c>
      <c r="X427">
        <v>20</v>
      </c>
      <c r="AA427">
        <v>11.21</v>
      </c>
      <c r="AB427">
        <v>4.04</v>
      </c>
      <c r="AC427">
        <v>3.36</v>
      </c>
      <c r="AD427">
        <v>1.1200000000000001</v>
      </c>
      <c r="AE427" t="s">
        <v>71</v>
      </c>
      <c r="AF427" t="s">
        <v>61</v>
      </c>
      <c r="AG427" t="str">
        <f>IF(AE427="mean", "mean", "")</f>
        <v>mean</v>
      </c>
      <c r="AH427" t="s">
        <v>213</v>
      </c>
      <c r="AS427" t="s">
        <v>849</v>
      </c>
      <c r="AT427" t="s">
        <v>849</v>
      </c>
      <c r="AV427" t="s">
        <v>1803</v>
      </c>
      <c r="AW427" t="s">
        <v>1815</v>
      </c>
      <c r="AX427" t="s">
        <v>25</v>
      </c>
      <c r="AY427" t="s">
        <v>1814</v>
      </c>
      <c r="AZ427" t="s">
        <v>76</v>
      </c>
    </row>
    <row r="428" spans="1:52" x14ac:dyDescent="0.2">
      <c r="A428" t="s">
        <v>1127</v>
      </c>
      <c r="B428" t="s">
        <v>1124</v>
      </c>
      <c r="C428" t="s">
        <v>1128</v>
      </c>
      <c r="D428">
        <v>2008</v>
      </c>
      <c r="E428" t="s">
        <v>1292</v>
      </c>
      <c r="F428" t="s">
        <v>1364</v>
      </c>
      <c r="G428" t="s">
        <v>1447</v>
      </c>
      <c r="H428" t="s">
        <v>1596</v>
      </c>
      <c r="I428" t="s">
        <v>474</v>
      </c>
      <c r="J428" t="s">
        <v>29</v>
      </c>
      <c r="K428" t="s">
        <v>35</v>
      </c>
      <c r="L428" t="s">
        <v>11</v>
      </c>
      <c r="M428" t="s">
        <v>19</v>
      </c>
      <c r="N428">
        <v>0</v>
      </c>
      <c r="O428" s="18" t="s">
        <v>20</v>
      </c>
      <c r="P428" s="18" t="s">
        <v>25</v>
      </c>
      <c r="S428" t="s">
        <v>47</v>
      </c>
      <c r="T428" t="s">
        <v>49</v>
      </c>
      <c r="U428">
        <v>730</v>
      </c>
      <c r="V428" t="s">
        <v>1129</v>
      </c>
      <c r="W428">
        <v>8</v>
      </c>
      <c r="X428">
        <v>8</v>
      </c>
      <c r="AA428">
        <v>17.462406015037601</v>
      </c>
      <c r="AB428">
        <v>1.0842497061826499</v>
      </c>
      <c r="AC428">
        <v>11.7048872180451</v>
      </c>
      <c r="AD428">
        <v>1.88047996676092</v>
      </c>
      <c r="AE428" t="s">
        <v>71</v>
      </c>
      <c r="AF428" t="s">
        <v>61</v>
      </c>
      <c r="AG428" t="str">
        <f>IF(AE428="mean", "mean", "")</f>
        <v>mean</v>
      </c>
      <c r="AH428" t="s">
        <v>213</v>
      </c>
      <c r="AS428" t="s">
        <v>849</v>
      </c>
      <c r="AT428" t="s">
        <v>849</v>
      </c>
      <c r="AV428" t="s">
        <v>1803</v>
      </c>
      <c r="AW428" t="s">
        <v>1815</v>
      </c>
      <c r="AX428" t="s">
        <v>25</v>
      </c>
      <c r="AY428" t="s">
        <v>1814</v>
      </c>
      <c r="AZ428" t="s">
        <v>76</v>
      </c>
    </row>
    <row r="429" spans="1:52" x14ac:dyDescent="0.2">
      <c r="A429" t="s">
        <v>1130</v>
      </c>
      <c r="B429" t="s">
        <v>1124</v>
      </c>
      <c r="D429">
        <v>2011</v>
      </c>
      <c r="E429" t="s">
        <v>1293</v>
      </c>
      <c r="F429" t="s">
        <v>1365</v>
      </c>
      <c r="G429" t="s">
        <v>1448</v>
      </c>
      <c r="H429" t="s">
        <v>1597</v>
      </c>
      <c r="I429" t="s">
        <v>1784</v>
      </c>
      <c r="J429" t="s">
        <v>29</v>
      </c>
      <c r="K429" t="s">
        <v>34</v>
      </c>
      <c r="O429" s="18" t="s">
        <v>20</v>
      </c>
      <c r="P429" s="18" t="s">
        <v>25</v>
      </c>
      <c r="Q429" t="s">
        <v>38</v>
      </c>
      <c r="R429" t="s">
        <v>43</v>
      </c>
      <c r="S429" t="s">
        <v>47</v>
      </c>
      <c r="T429" t="s">
        <v>51</v>
      </c>
      <c r="U429">
        <v>91</v>
      </c>
      <c r="AG429" t="s">
        <v>4</v>
      </c>
      <c r="AH429" t="s">
        <v>214</v>
      </c>
      <c r="AN429">
        <v>14</v>
      </c>
      <c r="AO429">
        <v>-0.75</v>
      </c>
      <c r="AS429" t="s">
        <v>849</v>
      </c>
      <c r="AT429" t="s">
        <v>849</v>
      </c>
      <c r="AV429" t="s">
        <v>1803</v>
      </c>
      <c r="AW429" t="s">
        <v>1815</v>
      </c>
      <c r="AX429" t="s">
        <v>1808</v>
      </c>
      <c r="AY429" t="s">
        <v>1814</v>
      </c>
      <c r="AZ429" t="s">
        <v>76</v>
      </c>
    </row>
    <row r="430" spans="1:52" x14ac:dyDescent="0.2">
      <c r="A430" t="s">
        <v>1131</v>
      </c>
      <c r="B430" t="s">
        <v>133</v>
      </c>
      <c r="C430" t="s">
        <v>1132</v>
      </c>
      <c r="D430">
        <v>2007</v>
      </c>
      <c r="E430" t="s">
        <v>1294</v>
      </c>
      <c r="F430" t="s">
        <v>1366</v>
      </c>
      <c r="G430" t="s">
        <v>1449</v>
      </c>
      <c r="H430" t="s">
        <v>1598</v>
      </c>
      <c r="I430" t="s">
        <v>1133</v>
      </c>
      <c r="J430" t="s">
        <v>29</v>
      </c>
      <c r="K430" t="s">
        <v>34</v>
      </c>
      <c r="O430" s="18" t="s">
        <v>20</v>
      </c>
      <c r="P430" s="18" t="s">
        <v>26</v>
      </c>
      <c r="Q430" t="s">
        <v>38</v>
      </c>
      <c r="R430" t="s">
        <v>43</v>
      </c>
      <c r="S430" t="s">
        <v>47</v>
      </c>
      <c r="T430" t="s">
        <v>51</v>
      </c>
      <c r="U430">
        <v>941</v>
      </c>
      <c r="W430">
        <v>18</v>
      </c>
      <c r="X430">
        <v>18</v>
      </c>
      <c r="AA430">
        <v>11.18</v>
      </c>
      <c r="AB430">
        <v>1.24</v>
      </c>
      <c r="AC430">
        <v>14.61</v>
      </c>
      <c r="AD430">
        <v>0.88</v>
      </c>
      <c r="AE430" t="s">
        <v>71</v>
      </c>
      <c r="AF430" t="s">
        <v>62</v>
      </c>
      <c r="AG430" t="str">
        <f>IF(AE430="mean", "mean", "")</f>
        <v>mean</v>
      </c>
      <c r="AH430" t="s">
        <v>213</v>
      </c>
      <c r="AS430" t="s">
        <v>849</v>
      </c>
      <c r="AT430" t="s">
        <v>849</v>
      </c>
      <c r="AV430" t="s">
        <v>1803</v>
      </c>
      <c r="AW430" t="s">
        <v>1815</v>
      </c>
      <c r="AX430" t="s">
        <v>25</v>
      </c>
      <c r="AY430" t="s">
        <v>1814</v>
      </c>
      <c r="AZ430" t="s">
        <v>76</v>
      </c>
    </row>
    <row r="431" spans="1:52" x14ac:dyDescent="0.2">
      <c r="A431" t="s">
        <v>1131</v>
      </c>
      <c r="B431" t="s">
        <v>133</v>
      </c>
      <c r="C431" t="s">
        <v>1132</v>
      </c>
      <c r="D431">
        <v>2007</v>
      </c>
      <c r="E431" t="s">
        <v>1294</v>
      </c>
      <c r="F431" t="s">
        <v>1366</v>
      </c>
      <c r="G431" t="s">
        <v>1449</v>
      </c>
      <c r="H431" t="s">
        <v>1599</v>
      </c>
      <c r="I431" t="s">
        <v>1133</v>
      </c>
      <c r="J431" t="s">
        <v>29</v>
      </c>
      <c r="K431" t="s">
        <v>34</v>
      </c>
      <c r="O431" s="18" t="s">
        <v>20</v>
      </c>
      <c r="P431" s="18" t="s">
        <v>25</v>
      </c>
      <c r="Q431" t="s">
        <v>38</v>
      </c>
      <c r="R431" t="s">
        <v>43</v>
      </c>
      <c r="S431" t="s">
        <v>47</v>
      </c>
      <c r="T431" t="s">
        <v>51</v>
      </c>
      <c r="U431">
        <v>941</v>
      </c>
      <c r="AG431" t="s">
        <v>4</v>
      </c>
      <c r="AH431" t="s">
        <v>214</v>
      </c>
      <c r="AN431">
        <v>18</v>
      </c>
      <c r="AO431">
        <v>0.65</v>
      </c>
      <c r="AS431" t="s">
        <v>849</v>
      </c>
      <c r="AT431" t="s">
        <v>849</v>
      </c>
      <c r="AV431" t="s">
        <v>1803</v>
      </c>
      <c r="AW431" t="s">
        <v>1815</v>
      </c>
      <c r="AX431" t="s">
        <v>25</v>
      </c>
      <c r="AY431" t="s">
        <v>1814</v>
      </c>
      <c r="AZ431" t="s">
        <v>76</v>
      </c>
    </row>
    <row r="432" spans="1:52" x14ac:dyDescent="0.2">
      <c r="A432" t="s">
        <v>1131</v>
      </c>
      <c r="B432" t="s">
        <v>133</v>
      </c>
      <c r="C432" t="s">
        <v>1132</v>
      </c>
      <c r="D432">
        <v>2007</v>
      </c>
      <c r="E432" t="s">
        <v>1294</v>
      </c>
      <c r="F432" t="s">
        <v>1366</v>
      </c>
      <c r="G432" t="s">
        <v>1449</v>
      </c>
      <c r="H432" t="s">
        <v>1600</v>
      </c>
      <c r="I432" t="s">
        <v>1133</v>
      </c>
      <c r="J432" t="s">
        <v>29</v>
      </c>
      <c r="K432" t="s">
        <v>34</v>
      </c>
      <c r="O432" s="18" t="s">
        <v>20</v>
      </c>
      <c r="P432" s="18" t="s">
        <v>25</v>
      </c>
      <c r="Q432" t="s">
        <v>38</v>
      </c>
      <c r="R432" t="s">
        <v>43</v>
      </c>
      <c r="S432" t="s">
        <v>47</v>
      </c>
      <c r="T432" t="s">
        <v>51</v>
      </c>
      <c r="U432">
        <v>942</v>
      </c>
      <c r="AG432" t="s">
        <v>4</v>
      </c>
      <c r="AH432" t="s">
        <v>214</v>
      </c>
      <c r="AN432">
        <v>18</v>
      </c>
      <c r="AO432">
        <v>0.47</v>
      </c>
      <c r="AS432" t="s">
        <v>849</v>
      </c>
      <c r="AT432" t="s">
        <v>849</v>
      </c>
      <c r="AV432" t="s">
        <v>1803</v>
      </c>
      <c r="AW432" t="s">
        <v>1815</v>
      </c>
      <c r="AX432" t="s">
        <v>25</v>
      </c>
      <c r="AY432" t="s">
        <v>1814</v>
      </c>
      <c r="AZ432" t="s">
        <v>76</v>
      </c>
    </row>
    <row r="433" spans="1:52" x14ac:dyDescent="0.2">
      <c r="A433" t="s">
        <v>1131</v>
      </c>
      <c r="B433" t="s">
        <v>133</v>
      </c>
      <c r="C433" t="s">
        <v>1132</v>
      </c>
      <c r="D433">
        <v>2007</v>
      </c>
      <c r="E433" t="s">
        <v>1294</v>
      </c>
      <c r="F433" t="s">
        <v>1366</v>
      </c>
      <c r="G433" t="s">
        <v>1449</v>
      </c>
      <c r="H433" t="s">
        <v>1601</v>
      </c>
      <c r="I433" t="s">
        <v>1133</v>
      </c>
      <c r="J433" t="s">
        <v>29</v>
      </c>
      <c r="K433" t="s">
        <v>34</v>
      </c>
      <c r="O433" s="18" t="s">
        <v>20</v>
      </c>
      <c r="P433" s="18" t="s">
        <v>25</v>
      </c>
      <c r="Q433" t="s">
        <v>38</v>
      </c>
      <c r="R433" t="s">
        <v>43</v>
      </c>
      <c r="S433" t="s">
        <v>47</v>
      </c>
      <c r="T433" t="s">
        <v>51</v>
      </c>
      <c r="U433">
        <v>942</v>
      </c>
      <c r="AG433" t="s">
        <v>4</v>
      </c>
      <c r="AH433" t="s">
        <v>214</v>
      </c>
      <c r="AN433">
        <v>18</v>
      </c>
      <c r="AO433">
        <v>-0.14000000000000001</v>
      </c>
      <c r="AS433" t="s">
        <v>849</v>
      </c>
      <c r="AT433" t="s">
        <v>849</v>
      </c>
      <c r="AV433" t="s">
        <v>1803</v>
      </c>
      <c r="AW433" t="s">
        <v>1815</v>
      </c>
      <c r="AX433" t="s">
        <v>25</v>
      </c>
      <c r="AY433" t="s">
        <v>1814</v>
      </c>
      <c r="AZ433" t="s">
        <v>76</v>
      </c>
    </row>
    <row r="434" spans="1:52" x14ac:dyDescent="0.2">
      <c r="A434" t="s">
        <v>1131</v>
      </c>
      <c r="B434" t="s">
        <v>133</v>
      </c>
      <c r="C434" t="s">
        <v>1132</v>
      </c>
      <c r="D434">
        <v>2007</v>
      </c>
      <c r="E434" t="s">
        <v>1294</v>
      </c>
      <c r="F434" t="s">
        <v>1366</v>
      </c>
      <c r="G434" t="s">
        <v>1449</v>
      </c>
      <c r="H434" t="s">
        <v>1602</v>
      </c>
      <c r="I434" t="s">
        <v>1133</v>
      </c>
      <c r="J434" t="s">
        <v>29</v>
      </c>
      <c r="K434" t="s">
        <v>34</v>
      </c>
      <c r="O434" s="18" t="s">
        <v>20</v>
      </c>
      <c r="P434" s="18" t="s">
        <v>25</v>
      </c>
      <c r="Q434" t="s">
        <v>38</v>
      </c>
      <c r="R434" t="s">
        <v>43</v>
      </c>
      <c r="S434" t="s">
        <v>47</v>
      </c>
      <c r="T434" t="s">
        <v>51</v>
      </c>
      <c r="U434">
        <v>942</v>
      </c>
      <c r="AG434" t="s">
        <v>4</v>
      </c>
      <c r="AH434" t="s">
        <v>214</v>
      </c>
      <c r="AN434">
        <v>18</v>
      </c>
      <c r="AO434">
        <v>0.56000000000000005</v>
      </c>
      <c r="AS434" t="s">
        <v>849</v>
      </c>
      <c r="AT434" t="s">
        <v>849</v>
      </c>
      <c r="AV434" t="s">
        <v>1803</v>
      </c>
      <c r="AW434" t="s">
        <v>1815</v>
      </c>
      <c r="AX434" t="s">
        <v>25</v>
      </c>
      <c r="AY434" t="s">
        <v>1814</v>
      </c>
      <c r="AZ434" t="s">
        <v>76</v>
      </c>
    </row>
    <row r="435" spans="1:52" x14ac:dyDescent="0.2">
      <c r="A435" t="s">
        <v>1131</v>
      </c>
      <c r="B435" t="s">
        <v>133</v>
      </c>
      <c r="C435" t="s">
        <v>1132</v>
      </c>
      <c r="D435">
        <v>2007</v>
      </c>
      <c r="E435" t="s">
        <v>1294</v>
      </c>
      <c r="F435" t="s">
        <v>1366</v>
      </c>
      <c r="G435" t="s">
        <v>1449</v>
      </c>
      <c r="H435" t="s">
        <v>1603</v>
      </c>
      <c r="I435" t="s">
        <v>1133</v>
      </c>
      <c r="J435" t="s">
        <v>29</v>
      </c>
      <c r="K435" t="s">
        <v>34</v>
      </c>
      <c r="O435" s="18" t="s">
        <v>20</v>
      </c>
      <c r="P435" s="18" t="s">
        <v>25</v>
      </c>
      <c r="Q435" t="s">
        <v>38</v>
      </c>
      <c r="R435" t="s">
        <v>43</v>
      </c>
      <c r="S435" t="s">
        <v>47</v>
      </c>
      <c r="T435" t="s">
        <v>51</v>
      </c>
      <c r="U435">
        <v>942</v>
      </c>
      <c r="AG435" t="s">
        <v>4</v>
      </c>
      <c r="AH435" t="s">
        <v>214</v>
      </c>
      <c r="AN435">
        <v>18</v>
      </c>
      <c r="AO435">
        <v>0.54</v>
      </c>
      <c r="AS435" t="s">
        <v>849</v>
      </c>
      <c r="AT435" t="s">
        <v>849</v>
      </c>
      <c r="AV435" t="s">
        <v>1803</v>
      </c>
      <c r="AW435" t="s">
        <v>1815</v>
      </c>
      <c r="AX435" t="s">
        <v>25</v>
      </c>
      <c r="AY435" t="s">
        <v>1814</v>
      </c>
      <c r="AZ435" t="s">
        <v>76</v>
      </c>
    </row>
    <row r="436" spans="1:52" x14ac:dyDescent="0.2">
      <c r="A436" t="s">
        <v>1131</v>
      </c>
      <c r="B436" t="s">
        <v>133</v>
      </c>
      <c r="C436" t="s">
        <v>1132</v>
      </c>
      <c r="D436">
        <v>2007</v>
      </c>
      <c r="E436" t="s">
        <v>1294</v>
      </c>
      <c r="F436" t="s">
        <v>1366</v>
      </c>
      <c r="G436" t="s">
        <v>1449</v>
      </c>
      <c r="H436" t="s">
        <v>1604</v>
      </c>
      <c r="I436" t="s">
        <v>1133</v>
      </c>
      <c r="J436" t="s">
        <v>29</v>
      </c>
      <c r="K436" t="s">
        <v>34</v>
      </c>
      <c r="O436" s="18" t="s">
        <v>20</v>
      </c>
      <c r="P436" s="18" t="s">
        <v>25</v>
      </c>
      <c r="Q436" t="s">
        <v>38</v>
      </c>
      <c r="R436" t="s">
        <v>43</v>
      </c>
      <c r="S436" t="s">
        <v>47</v>
      </c>
      <c r="T436" t="s">
        <v>51</v>
      </c>
      <c r="U436">
        <v>942</v>
      </c>
      <c r="AG436" t="s">
        <v>4</v>
      </c>
      <c r="AH436" t="s">
        <v>214</v>
      </c>
      <c r="AN436">
        <v>18</v>
      </c>
      <c r="AO436">
        <v>0.17</v>
      </c>
      <c r="AS436" t="s">
        <v>849</v>
      </c>
      <c r="AT436" t="s">
        <v>849</v>
      </c>
      <c r="AV436" t="s">
        <v>1803</v>
      </c>
      <c r="AW436" t="s">
        <v>1815</v>
      </c>
      <c r="AX436" t="s">
        <v>25</v>
      </c>
      <c r="AY436" t="s">
        <v>1814</v>
      </c>
      <c r="AZ436" t="s">
        <v>76</v>
      </c>
    </row>
    <row r="437" spans="1:52" x14ac:dyDescent="0.2">
      <c r="A437" t="s">
        <v>1131</v>
      </c>
      <c r="B437" t="s">
        <v>133</v>
      </c>
      <c r="C437" t="s">
        <v>1132</v>
      </c>
      <c r="D437">
        <v>2007</v>
      </c>
      <c r="E437" t="s">
        <v>1294</v>
      </c>
      <c r="F437" t="s">
        <v>1366</v>
      </c>
      <c r="G437" t="s">
        <v>1449</v>
      </c>
      <c r="H437" t="s">
        <v>1605</v>
      </c>
      <c r="I437" t="s">
        <v>1133</v>
      </c>
      <c r="J437" t="s">
        <v>29</v>
      </c>
      <c r="K437" t="s">
        <v>34</v>
      </c>
      <c r="O437" s="18" t="s">
        <v>20</v>
      </c>
      <c r="P437" s="18" t="s">
        <v>25</v>
      </c>
      <c r="Q437" t="s">
        <v>38</v>
      </c>
      <c r="R437" t="s">
        <v>45</v>
      </c>
      <c r="S437" t="s">
        <v>47</v>
      </c>
      <c r="T437" t="s">
        <v>51</v>
      </c>
      <c r="U437">
        <v>943</v>
      </c>
      <c r="AG437" t="s">
        <v>4</v>
      </c>
      <c r="AH437" t="s">
        <v>214</v>
      </c>
      <c r="AN437">
        <v>33</v>
      </c>
      <c r="AO437">
        <v>-0.47</v>
      </c>
      <c r="AS437" t="s">
        <v>222</v>
      </c>
      <c r="AT437" t="s">
        <v>849</v>
      </c>
      <c r="AV437" t="s">
        <v>1803</v>
      </c>
      <c r="AW437" t="s">
        <v>1815</v>
      </c>
      <c r="AX437" t="s">
        <v>25</v>
      </c>
      <c r="AY437" t="s">
        <v>1814</v>
      </c>
      <c r="AZ437" t="s">
        <v>76</v>
      </c>
    </row>
    <row r="438" spans="1:52" x14ac:dyDescent="0.2">
      <c r="A438" t="s">
        <v>1131</v>
      </c>
      <c r="B438" t="s">
        <v>133</v>
      </c>
      <c r="C438" t="s">
        <v>1132</v>
      </c>
      <c r="D438">
        <v>2007</v>
      </c>
      <c r="E438" t="s">
        <v>1294</v>
      </c>
      <c r="F438" t="s">
        <v>1366</v>
      </c>
      <c r="G438" t="s">
        <v>1449</v>
      </c>
      <c r="H438" t="s">
        <v>1606</v>
      </c>
      <c r="I438" t="s">
        <v>1133</v>
      </c>
      <c r="J438" t="s">
        <v>29</v>
      </c>
      <c r="K438" t="s">
        <v>34</v>
      </c>
      <c r="O438" s="18" t="s">
        <v>20</v>
      </c>
      <c r="P438" s="18" t="s">
        <v>25</v>
      </c>
      <c r="Q438" t="s">
        <v>38</v>
      </c>
      <c r="R438" t="s">
        <v>45</v>
      </c>
      <c r="S438" t="s">
        <v>47</v>
      </c>
      <c r="T438" t="s">
        <v>51</v>
      </c>
      <c r="U438">
        <v>943</v>
      </c>
      <c r="AG438" t="s">
        <v>4</v>
      </c>
      <c r="AH438" t="s">
        <v>214</v>
      </c>
      <c r="AN438">
        <v>33</v>
      </c>
      <c r="AO438">
        <v>-0.47</v>
      </c>
      <c r="AS438" t="s">
        <v>222</v>
      </c>
      <c r="AT438" t="s">
        <v>849</v>
      </c>
      <c r="AV438" t="s">
        <v>1803</v>
      </c>
      <c r="AW438" t="s">
        <v>1815</v>
      </c>
      <c r="AX438" t="s">
        <v>25</v>
      </c>
      <c r="AY438" t="s">
        <v>1814</v>
      </c>
      <c r="AZ438" t="s">
        <v>76</v>
      </c>
    </row>
    <row r="439" spans="1:52" x14ac:dyDescent="0.2">
      <c r="A439" t="s">
        <v>1131</v>
      </c>
      <c r="B439" t="s">
        <v>133</v>
      </c>
      <c r="C439" t="s">
        <v>1132</v>
      </c>
      <c r="D439">
        <v>2007</v>
      </c>
      <c r="E439" t="s">
        <v>1294</v>
      </c>
      <c r="F439" t="s">
        <v>1366</v>
      </c>
      <c r="G439" t="s">
        <v>1449</v>
      </c>
      <c r="H439" t="s">
        <v>1607</v>
      </c>
      <c r="I439" t="s">
        <v>1133</v>
      </c>
      <c r="J439" t="s">
        <v>29</v>
      </c>
      <c r="K439" t="s">
        <v>34</v>
      </c>
      <c r="O439" s="18" t="s">
        <v>20</v>
      </c>
      <c r="P439" s="18" t="s">
        <v>25</v>
      </c>
      <c r="Q439" t="s">
        <v>38</v>
      </c>
      <c r="R439" t="s">
        <v>45</v>
      </c>
      <c r="S439" t="s">
        <v>47</v>
      </c>
      <c r="T439" t="s">
        <v>51</v>
      </c>
      <c r="U439">
        <v>943</v>
      </c>
      <c r="AG439" t="s">
        <v>4</v>
      </c>
      <c r="AH439" t="s">
        <v>214</v>
      </c>
      <c r="AN439">
        <v>33</v>
      </c>
      <c r="AO439">
        <v>0.47</v>
      </c>
      <c r="AS439" t="s">
        <v>222</v>
      </c>
      <c r="AT439" t="s">
        <v>849</v>
      </c>
      <c r="AV439" t="s">
        <v>1803</v>
      </c>
      <c r="AW439" t="s">
        <v>1815</v>
      </c>
      <c r="AX439" t="s">
        <v>25</v>
      </c>
      <c r="AY439" t="s">
        <v>1814</v>
      </c>
      <c r="AZ439" t="s">
        <v>76</v>
      </c>
    </row>
    <row r="440" spans="1:52" x14ac:dyDescent="0.2">
      <c r="A440" t="s">
        <v>1134</v>
      </c>
      <c r="B440" t="s">
        <v>1135</v>
      </c>
      <c r="C440" t="s">
        <v>1136</v>
      </c>
      <c r="D440">
        <v>2018</v>
      </c>
      <c r="E440" t="s">
        <v>1295</v>
      </c>
      <c r="F440" t="s">
        <v>1367</v>
      </c>
      <c r="G440" t="s">
        <v>1450</v>
      </c>
      <c r="H440" t="s">
        <v>1608</v>
      </c>
      <c r="I440" t="s">
        <v>1137</v>
      </c>
      <c r="J440" t="s">
        <v>81</v>
      </c>
      <c r="K440" t="s">
        <v>34</v>
      </c>
      <c r="O440" s="18" t="s">
        <v>20</v>
      </c>
      <c r="P440" s="18" t="s">
        <v>25</v>
      </c>
      <c r="Q440" t="s">
        <v>38</v>
      </c>
      <c r="R440" t="s">
        <v>43</v>
      </c>
      <c r="S440" t="s">
        <v>47</v>
      </c>
      <c r="T440" t="s">
        <v>49</v>
      </c>
      <c r="U440">
        <v>166</v>
      </c>
      <c r="V440">
        <v>2</v>
      </c>
      <c r="AG440" t="s">
        <v>4</v>
      </c>
      <c r="AH440" t="s">
        <v>214</v>
      </c>
      <c r="AN440">
        <v>74</v>
      </c>
      <c r="AO440">
        <v>0.25420890112969302</v>
      </c>
      <c r="AS440" t="s">
        <v>849</v>
      </c>
      <c r="AT440" t="s">
        <v>849</v>
      </c>
      <c r="AV440" t="s">
        <v>1812</v>
      </c>
      <c r="AW440" t="s">
        <v>1807</v>
      </c>
      <c r="AX440" t="s">
        <v>1808</v>
      </c>
      <c r="AZ440" t="s">
        <v>1813</v>
      </c>
    </row>
    <row r="441" spans="1:52" x14ac:dyDescent="0.2">
      <c r="A441" t="s">
        <v>1138</v>
      </c>
      <c r="B441" t="s">
        <v>1139</v>
      </c>
      <c r="C441" t="s">
        <v>1140</v>
      </c>
      <c r="D441">
        <v>2012</v>
      </c>
      <c r="E441" t="s">
        <v>1296</v>
      </c>
      <c r="F441" t="s">
        <v>1368</v>
      </c>
      <c r="G441" t="s">
        <v>1451</v>
      </c>
      <c r="H441" t="s">
        <v>1609</v>
      </c>
      <c r="I441" t="s">
        <v>1094</v>
      </c>
      <c r="J441" t="s">
        <v>31</v>
      </c>
      <c r="K441" t="s">
        <v>34</v>
      </c>
      <c r="O441" s="18" t="s">
        <v>21</v>
      </c>
      <c r="P441" s="18" t="s">
        <v>78</v>
      </c>
      <c r="Q441" t="s">
        <v>37</v>
      </c>
      <c r="R441" t="s">
        <v>40</v>
      </c>
      <c r="S441" t="s">
        <v>47</v>
      </c>
      <c r="T441" t="s">
        <v>51</v>
      </c>
      <c r="U441">
        <v>3</v>
      </c>
      <c r="AG441" t="s">
        <v>80</v>
      </c>
      <c r="AH441" t="s">
        <v>214</v>
      </c>
      <c r="AN441">
        <v>118</v>
      </c>
      <c r="AP441">
        <v>0.03</v>
      </c>
      <c r="AQ441">
        <v>1</v>
      </c>
      <c r="AR441">
        <v>-0.25</v>
      </c>
      <c r="AS441" t="s">
        <v>849</v>
      </c>
      <c r="AT441" t="s">
        <v>849</v>
      </c>
      <c r="AU441" t="s">
        <v>2269</v>
      </c>
      <c r="AV441" t="s">
        <v>1803</v>
      </c>
      <c r="AW441" t="s">
        <v>1815</v>
      </c>
      <c r="AX441" t="s">
        <v>1821</v>
      </c>
      <c r="AY441" t="s">
        <v>1806</v>
      </c>
      <c r="AZ441" t="s">
        <v>76</v>
      </c>
    </row>
    <row r="442" spans="1:52" x14ac:dyDescent="0.2">
      <c r="A442" t="s">
        <v>1141</v>
      </c>
      <c r="B442" t="s">
        <v>1142</v>
      </c>
      <c r="C442" t="s">
        <v>1143</v>
      </c>
      <c r="D442">
        <v>2012</v>
      </c>
      <c r="E442" t="s">
        <v>1297</v>
      </c>
      <c r="F442" t="s">
        <v>1369</v>
      </c>
      <c r="G442" t="s">
        <v>1452</v>
      </c>
      <c r="H442" t="s">
        <v>1610</v>
      </c>
      <c r="I442" t="s">
        <v>1230</v>
      </c>
      <c r="J442" t="s">
        <v>31</v>
      </c>
      <c r="K442" t="s">
        <v>34</v>
      </c>
      <c r="O442" s="18" t="s">
        <v>20</v>
      </c>
      <c r="P442" s="18" t="s">
        <v>24</v>
      </c>
      <c r="Q442" t="s">
        <v>37</v>
      </c>
      <c r="R442" t="s">
        <v>40</v>
      </c>
      <c r="S442" t="s">
        <v>47</v>
      </c>
      <c r="T442" t="s">
        <v>50</v>
      </c>
      <c r="U442">
        <v>7</v>
      </c>
      <c r="V442">
        <v>3</v>
      </c>
      <c r="AG442" t="s">
        <v>4</v>
      </c>
      <c r="AH442" t="s">
        <v>214</v>
      </c>
      <c r="AN442">
        <v>204</v>
      </c>
      <c r="AO442">
        <v>8.2000000000000003E-2</v>
      </c>
      <c r="AS442" t="s">
        <v>849</v>
      </c>
      <c r="AT442" t="s">
        <v>849</v>
      </c>
      <c r="AV442" t="s">
        <v>1803</v>
      </c>
      <c r="AW442" t="s">
        <v>1815</v>
      </c>
      <c r="AX442" t="s">
        <v>1805</v>
      </c>
      <c r="AY442" t="s">
        <v>1806</v>
      </c>
      <c r="AZ442" t="s">
        <v>76</v>
      </c>
    </row>
    <row r="443" spans="1:52" x14ac:dyDescent="0.2">
      <c r="A443" t="s">
        <v>1141</v>
      </c>
      <c r="B443" t="s">
        <v>1142</v>
      </c>
      <c r="C443" t="s">
        <v>1143</v>
      </c>
      <c r="D443">
        <v>2012</v>
      </c>
      <c r="E443" t="s">
        <v>1297</v>
      </c>
      <c r="F443" t="s">
        <v>1369</v>
      </c>
      <c r="G443" t="s">
        <v>1452</v>
      </c>
      <c r="H443" t="s">
        <v>1611</v>
      </c>
      <c r="I443" t="s">
        <v>1230</v>
      </c>
      <c r="J443" t="s">
        <v>31</v>
      </c>
      <c r="K443" t="s">
        <v>34</v>
      </c>
      <c r="O443" s="18" t="s">
        <v>20</v>
      </c>
      <c r="P443" s="18" t="s">
        <v>24</v>
      </c>
      <c r="Q443" t="s">
        <v>37</v>
      </c>
      <c r="R443" t="s">
        <v>40</v>
      </c>
      <c r="S443" t="s">
        <v>47</v>
      </c>
      <c r="T443" t="s">
        <v>50</v>
      </c>
      <c r="U443">
        <v>7</v>
      </c>
      <c r="V443">
        <v>3</v>
      </c>
      <c r="AG443" t="s">
        <v>4</v>
      </c>
      <c r="AH443" t="s">
        <v>214</v>
      </c>
      <c r="AN443">
        <v>50</v>
      </c>
      <c r="AO443">
        <v>0.02</v>
      </c>
      <c r="AS443" t="s">
        <v>849</v>
      </c>
      <c r="AT443" t="s">
        <v>849</v>
      </c>
      <c r="AV443" t="s">
        <v>1803</v>
      </c>
      <c r="AW443" t="s">
        <v>1815</v>
      </c>
      <c r="AX443" t="s">
        <v>1805</v>
      </c>
      <c r="AY443" t="s">
        <v>1806</v>
      </c>
      <c r="AZ443" t="s">
        <v>76</v>
      </c>
    </row>
    <row r="444" spans="1:52" x14ac:dyDescent="0.2">
      <c r="A444" t="s">
        <v>1141</v>
      </c>
      <c r="B444" t="s">
        <v>1142</v>
      </c>
      <c r="C444" t="s">
        <v>1143</v>
      </c>
      <c r="D444">
        <v>2012</v>
      </c>
      <c r="E444" t="s">
        <v>1297</v>
      </c>
      <c r="F444" t="s">
        <v>1369</v>
      </c>
      <c r="G444" t="s">
        <v>1452</v>
      </c>
      <c r="H444" t="s">
        <v>1612</v>
      </c>
      <c r="I444" t="s">
        <v>1230</v>
      </c>
      <c r="J444" t="s">
        <v>31</v>
      </c>
      <c r="K444" t="s">
        <v>34</v>
      </c>
      <c r="O444" s="18" t="s">
        <v>20</v>
      </c>
      <c r="P444" s="18" t="s">
        <v>24</v>
      </c>
      <c r="Q444" t="s">
        <v>37</v>
      </c>
      <c r="R444" t="s">
        <v>40</v>
      </c>
      <c r="S444" t="s">
        <v>47</v>
      </c>
      <c r="T444" t="s">
        <v>50</v>
      </c>
      <c r="U444">
        <v>7</v>
      </c>
      <c r="V444">
        <v>3</v>
      </c>
      <c r="AG444" t="s">
        <v>4</v>
      </c>
      <c r="AH444" t="s">
        <v>214</v>
      </c>
      <c r="AN444">
        <v>511</v>
      </c>
      <c r="AO444">
        <v>0.108</v>
      </c>
      <c r="AS444" t="s">
        <v>849</v>
      </c>
      <c r="AT444" t="s">
        <v>849</v>
      </c>
      <c r="AV444" t="s">
        <v>1803</v>
      </c>
      <c r="AW444" t="s">
        <v>1815</v>
      </c>
      <c r="AX444" t="s">
        <v>1805</v>
      </c>
      <c r="AY444" t="s">
        <v>1806</v>
      </c>
      <c r="AZ444" t="s">
        <v>76</v>
      </c>
    </row>
    <row r="445" spans="1:52" x14ac:dyDescent="0.2">
      <c r="A445" t="s">
        <v>1141</v>
      </c>
      <c r="B445" t="s">
        <v>1142</v>
      </c>
      <c r="C445" t="s">
        <v>1143</v>
      </c>
      <c r="D445">
        <v>2012</v>
      </c>
      <c r="E445" t="s">
        <v>1297</v>
      </c>
      <c r="F445" t="s">
        <v>1369</v>
      </c>
      <c r="G445" t="s">
        <v>1452</v>
      </c>
      <c r="H445" t="s">
        <v>1613</v>
      </c>
      <c r="I445" t="s">
        <v>1230</v>
      </c>
      <c r="J445" t="s">
        <v>31</v>
      </c>
      <c r="K445" t="s">
        <v>34</v>
      </c>
      <c r="O445" s="18" t="s">
        <v>20</v>
      </c>
      <c r="P445" s="18" t="s">
        <v>24</v>
      </c>
      <c r="Q445" t="s">
        <v>37</v>
      </c>
      <c r="R445" t="s">
        <v>42</v>
      </c>
      <c r="S445" t="s">
        <v>47</v>
      </c>
      <c r="T445" t="s">
        <v>50</v>
      </c>
      <c r="U445">
        <v>7</v>
      </c>
      <c r="V445">
        <v>3</v>
      </c>
      <c r="AG445" t="s">
        <v>4</v>
      </c>
      <c r="AH445" t="s">
        <v>214</v>
      </c>
      <c r="AN445">
        <v>197</v>
      </c>
      <c r="AO445">
        <v>9.6000000000000002E-2</v>
      </c>
      <c r="AS445" t="s">
        <v>849</v>
      </c>
      <c r="AT445" t="s">
        <v>849</v>
      </c>
      <c r="AV445" t="s">
        <v>1803</v>
      </c>
      <c r="AW445" t="s">
        <v>1815</v>
      </c>
      <c r="AX445" t="s">
        <v>1805</v>
      </c>
      <c r="AY445" t="s">
        <v>1806</v>
      </c>
      <c r="AZ445" t="s">
        <v>76</v>
      </c>
    </row>
    <row r="446" spans="1:52" x14ac:dyDescent="0.2">
      <c r="A446" t="s">
        <v>1141</v>
      </c>
      <c r="B446" t="s">
        <v>1142</v>
      </c>
      <c r="C446" t="s">
        <v>1143</v>
      </c>
      <c r="D446">
        <v>2012</v>
      </c>
      <c r="E446" t="s">
        <v>1297</v>
      </c>
      <c r="F446" t="s">
        <v>1369</v>
      </c>
      <c r="G446" t="s">
        <v>1452</v>
      </c>
      <c r="H446" t="s">
        <v>1614</v>
      </c>
      <c r="I446" t="s">
        <v>1230</v>
      </c>
      <c r="J446" t="s">
        <v>31</v>
      </c>
      <c r="K446" t="s">
        <v>34</v>
      </c>
      <c r="O446" s="18" t="s">
        <v>20</v>
      </c>
      <c r="P446" s="18" t="s">
        <v>24</v>
      </c>
      <c r="Q446" t="s">
        <v>37</v>
      </c>
      <c r="R446" t="s">
        <v>42</v>
      </c>
      <c r="S446" t="s">
        <v>47</v>
      </c>
      <c r="T446" t="s">
        <v>50</v>
      </c>
      <c r="U446">
        <v>7</v>
      </c>
      <c r="V446">
        <v>3</v>
      </c>
      <c r="AG446" t="s">
        <v>4</v>
      </c>
      <c r="AH446" t="s">
        <v>214</v>
      </c>
      <c r="AN446">
        <v>55</v>
      </c>
      <c r="AO446">
        <v>4.9000000000000002E-2</v>
      </c>
      <c r="AS446" t="s">
        <v>849</v>
      </c>
      <c r="AT446" t="s">
        <v>849</v>
      </c>
      <c r="AV446" t="s">
        <v>1803</v>
      </c>
      <c r="AW446" t="s">
        <v>1815</v>
      </c>
      <c r="AX446" t="s">
        <v>1805</v>
      </c>
      <c r="AY446" t="s">
        <v>1806</v>
      </c>
      <c r="AZ446" t="s">
        <v>76</v>
      </c>
    </row>
    <row r="447" spans="1:52" x14ac:dyDescent="0.2">
      <c r="A447" t="s">
        <v>1141</v>
      </c>
      <c r="B447" t="s">
        <v>1142</v>
      </c>
      <c r="C447" t="s">
        <v>1143</v>
      </c>
      <c r="D447">
        <v>2012</v>
      </c>
      <c r="E447" t="s">
        <v>1297</v>
      </c>
      <c r="F447" t="s">
        <v>1369</v>
      </c>
      <c r="G447" t="s">
        <v>1452</v>
      </c>
      <c r="H447" t="s">
        <v>1615</v>
      </c>
      <c r="I447" t="s">
        <v>1230</v>
      </c>
      <c r="J447" t="s">
        <v>31</v>
      </c>
      <c r="K447" t="s">
        <v>34</v>
      </c>
      <c r="O447" s="18" t="s">
        <v>20</v>
      </c>
      <c r="P447" s="18" t="s">
        <v>24</v>
      </c>
      <c r="Q447" t="s">
        <v>37</v>
      </c>
      <c r="R447" t="s">
        <v>42</v>
      </c>
      <c r="S447" t="s">
        <v>47</v>
      </c>
      <c r="T447" t="s">
        <v>50</v>
      </c>
      <c r="U447">
        <v>7</v>
      </c>
      <c r="V447">
        <v>3</v>
      </c>
      <c r="AG447" t="s">
        <v>4</v>
      </c>
      <c r="AH447" t="s">
        <v>214</v>
      </c>
      <c r="AN447">
        <v>408</v>
      </c>
      <c r="AO447">
        <v>5.8999999999999997E-2</v>
      </c>
      <c r="AS447" t="s">
        <v>849</v>
      </c>
      <c r="AT447" t="s">
        <v>849</v>
      </c>
      <c r="AV447" t="s">
        <v>1803</v>
      </c>
      <c r="AW447" t="s">
        <v>1815</v>
      </c>
      <c r="AX447" t="s">
        <v>1805</v>
      </c>
      <c r="AY447" t="s">
        <v>1806</v>
      </c>
      <c r="AZ447" t="s">
        <v>76</v>
      </c>
    </row>
    <row r="448" spans="1:52" x14ac:dyDescent="0.2">
      <c r="A448" t="s">
        <v>1144</v>
      </c>
      <c r="B448" t="s">
        <v>1145</v>
      </c>
      <c r="C448" t="s">
        <v>1146</v>
      </c>
      <c r="D448">
        <v>2002</v>
      </c>
      <c r="E448" t="s">
        <v>1298</v>
      </c>
      <c r="F448" t="s">
        <v>1370</v>
      </c>
      <c r="G448" t="s">
        <v>1453</v>
      </c>
      <c r="H448" t="s">
        <v>1616</v>
      </c>
      <c r="I448" t="s">
        <v>1090</v>
      </c>
      <c r="J448" t="s">
        <v>82</v>
      </c>
      <c r="K448" t="s">
        <v>34</v>
      </c>
      <c r="O448" s="18" t="s">
        <v>21</v>
      </c>
      <c r="P448" s="18" t="s">
        <v>74</v>
      </c>
      <c r="Q448" t="s">
        <v>37</v>
      </c>
      <c r="R448" t="s">
        <v>1147</v>
      </c>
      <c r="S448" t="s">
        <v>47</v>
      </c>
      <c r="T448" t="s">
        <v>50</v>
      </c>
      <c r="U448">
        <v>231</v>
      </c>
      <c r="V448">
        <v>1</v>
      </c>
      <c r="AG448" t="s">
        <v>4</v>
      </c>
      <c r="AH448" t="s">
        <v>214</v>
      </c>
      <c r="AN448">
        <v>24</v>
      </c>
      <c r="AO448">
        <v>3.6999999999999998E-2</v>
      </c>
      <c r="AS448" t="s">
        <v>849</v>
      </c>
      <c r="AT448" t="s">
        <v>849</v>
      </c>
      <c r="AV448" t="s">
        <v>1803</v>
      </c>
      <c r="AW448" t="s">
        <v>1807</v>
      </c>
      <c r="AX448" t="s">
        <v>1808</v>
      </c>
      <c r="AY448" t="s">
        <v>1811</v>
      </c>
      <c r="AZ448" t="s">
        <v>76</v>
      </c>
    </row>
    <row r="449" spans="1:52" x14ac:dyDescent="0.2">
      <c r="A449" t="s">
        <v>1144</v>
      </c>
      <c r="B449" t="s">
        <v>1145</v>
      </c>
      <c r="C449" t="s">
        <v>1146</v>
      </c>
      <c r="D449">
        <v>2002</v>
      </c>
      <c r="E449" t="s">
        <v>1298</v>
      </c>
      <c r="F449" t="s">
        <v>1370</v>
      </c>
      <c r="G449" t="s">
        <v>1453</v>
      </c>
      <c r="H449" t="s">
        <v>1617</v>
      </c>
      <c r="I449" t="s">
        <v>1090</v>
      </c>
      <c r="J449" t="s">
        <v>82</v>
      </c>
      <c r="K449" t="s">
        <v>34</v>
      </c>
      <c r="O449" s="18" t="s">
        <v>21</v>
      </c>
      <c r="P449" s="18" t="s">
        <v>74</v>
      </c>
      <c r="Q449" t="s">
        <v>37</v>
      </c>
      <c r="R449" t="s">
        <v>1147</v>
      </c>
      <c r="S449" t="s">
        <v>47</v>
      </c>
      <c r="T449" t="s">
        <v>50</v>
      </c>
      <c r="U449">
        <v>231</v>
      </c>
      <c r="V449">
        <v>1</v>
      </c>
      <c r="AG449" t="s">
        <v>4</v>
      </c>
      <c r="AH449" t="s">
        <v>214</v>
      </c>
      <c r="AN449">
        <v>24</v>
      </c>
      <c r="AO449">
        <v>-0.18</v>
      </c>
      <c r="AS449" t="s">
        <v>849</v>
      </c>
      <c r="AT449" t="s">
        <v>849</v>
      </c>
      <c r="AV449" t="s">
        <v>1803</v>
      </c>
      <c r="AW449" t="s">
        <v>1807</v>
      </c>
      <c r="AX449" t="s">
        <v>1808</v>
      </c>
      <c r="AY449" t="s">
        <v>1811</v>
      </c>
      <c r="AZ449" t="s">
        <v>76</v>
      </c>
    </row>
    <row r="450" spans="1:52" x14ac:dyDescent="0.2">
      <c r="A450" t="s">
        <v>1148</v>
      </c>
      <c r="B450" t="s">
        <v>1149</v>
      </c>
      <c r="C450" t="s">
        <v>1150</v>
      </c>
      <c r="D450">
        <v>2005</v>
      </c>
      <c r="E450" t="s">
        <v>1299</v>
      </c>
      <c r="F450" t="s">
        <v>1371</v>
      </c>
      <c r="G450" t="s">
        <v>1454</v>
      </c>
      <c r="H450" t="s">
        <v>1618</v>
      </c>
      <c r="I450" t="s">
        <v>433</v>
      </c>
      <c r="J450" t="s">
        <v>31</v>
      </c>
      <c r="K450" t="s">
        <v>34</v>
      </c>
      <c r="O450" s="18" t="s">
        <v>21</v>
      </c>
      <c r="P450" s="18" t="s">
        <v>75</v>
      </c>
      <c r="Q450" t="s">
        <v>37</v>
      </c>
      <c r="R450" t="s">
        <v>40</v>
      </c>
      <c r="S450" t="s">
        <v>47</v>
      </c>
      <c r="T450" t="s">
        <v>49</v>
      </c>
      <c r="U450">
        <v>1013</v>
      </c>
      <c r="V450">
        <v>1</v>
      </c>
      <c r="AG450" t="s">
        <v>4</v>
      </c>
      <c r="AH450" t="s">
        <v>214</v>
      </c>
      <c r="AN450">
        <v>69</v>
      </c>
      <c r="AO450">
        <v>0.29369369522817002</v>
      </c>
      <c r="AS450" t="s">
        <v>849</v>
      </c>
      <c r="AT450" t="s">
        <v>849</v>
      </c>
      <c r="AV450" t="s">
        <v>1803</v>
      </c>
      <c r="AW450" t="s">
        <v>1804</v>
      </c>
      <c r="AX450" t="s">
        <v>1805</v>
      </c>
      <c r="AY450" t="s">
        <v>1806</v>
      </c>
      <c r="AZ450" t="s">
        <v>76</v>
      </c>
    </row>
    <row r="451" spans="1:52" x14ac:dyDescent="0.2">
      <c r="A451" t="s">
        <v>1151</v>
      </c>
      <c r="B451" t="s">
        <v>1152</v>
      </c>
      <c r="C451" t="s">
        <v>1153</v>
      </c>
      <c r="D451">
        <v>2008</v>
      </c>
      <c r="E451" t="s">
        <v>1300</v>
      </c>
      <c r="F451" t="s">
        <v>1372</v>
      </c>
      <c r="G451" t="s">
        <v>1455</v>
      </c>
      <c r="H451" t="s">
        <v>1619</v>
      </c>
      <c r="I451" t="s">
        <v>512</v>
      </c>
      <c r="J451" t="s">
        <v>83</v>
      </c>
      <c r="K451" t="s">
        <v>35</v>
      </c>
      <c r="L451" t="s">
        <v>11</v>
      </c>
      <c r="M451" t="s">
        <v>1827</v>
      </c>
      <c r="N451">
        <v>0</v>
      </c>
      <c r="O451" s="18" t="s">
        <v>76</v>
      </c>
      <c r="P451" s="18" t="s">
        <v>1825</v>
      </c>
      <c r="S451" t="s">
        <v>48</v>
      </c>
      <c r="T451" t="s">
        <v>49</v>
      </c>
      <c r="U451">
        <v>126</v>
      </c>
      <c r="V451">
        <v>2</v>
      </c>
      <c r="W451">
        <v>16</v>
      </c>
      <c r="X451">
        <v>16</v>
      </c>
      <c r="AA451">
        <v>61.096491228070199</v>
      </c>
      <c r="AB451">
        <v>15.9649122807018</v>
      </c>
      <c r="AC451">
        <v>43.903508771929801</v>
      </c>
      <c r="AD451">
        <v>24.561403508771999</v>
      </c>
      <c r="AE451" t="s">
        <v>71</v>
      </c>
      <c r="AF451" t="s">
        <v>61</v>
      </c>
      <c r="AG451" t="str">
        <f>IF(AE451="mean", "mean", "")</f>
        <v>mean</v>
      </c>
      <c r="AH451" t="s">
        <v>213</v>
      </c>
      <c r="AS451" t="s">
        <v>849</v>
      </c>
      <c r="AT451" t="s">
        <v>849</v>
      </c>
      <c r="AV451" t="s">
        <v>1803</v>
      </c>
      <c r="AW451" t="s">
        <v>1815</v>
      </c>
      <c r="AX451" t="s">
        <v>1816</v>
      </c>
      <c r="AY451" t="s">
        <v>1814</v>
      </c>
      <c r="AZ451" t="s">
        <v>76</v>
      </c>
    </row>
    <row r="452" spans="1:52" x14ac:dyDescent="0.2">
      <c r="A452" t="s">
        <v>1154</v>
      </c>
      <c r="B452" t="s">
        <v>1155</v>
      </c>
      <c r="C452" t="s">
        <v>1156</v>
      </c>
      <c r="D452">
        <v>2016</v>
      </c>
      <c r="E452" t="s">
        <v>1301</v>
      </c>
      <c r="F452" t="s">
        <v>1373</v>
      </c>
      <c r="G452" t="s">
        <v>1456</v>
      </c>
      <c r="H452" t="s">
        <v>1620</v>
      </c>
      <c r="I452" t="s">
        <v>1157</v>
      </c>
      <c r="J452" t="s">
        <v>82</v>
      </c>
      <c r="K452" t="s">
        <v>34</v>
      </c>
      <c r="O452" s="18" t="s">
        <v>76</v>
      </c>
      <c r="P452" s="18" t="s">
        <v>27</v>
      </c>
      <c r="Q452" t="s">
        <v>37</v>
      </c>
      <c r="R452" t="s">
        <v>39</v>
      </c>
      <c r="S452" t="s">
        <v>47</v>
      </c>
      <c r="T452" t="s">
        <v>49</v>
      </c>
      <c r="U452">
        <v>105</v>
      </c>
      <c r="V452" t="s">
        <v>671</v>
      </c>
      <c r="W452">
        <v>16</v>
      </c>
      <c r="X452">
        <v>15</v>
      </c>
      <c r="AA452">
        <v>1.34904661016949E-2</v>
      </c>
      <c r="AB452">
        <v>4.1102752808444701E-3</v>
      </c>
      <c r="AC452">
        <v>3.2939618644067803E-2</v>
      </c>
      <c r="AD452">
        <v>2.8819915146067201E-3</v>
      </c>
      <c r="AE452" t="s">
        <v>71</v>
      </c>
      <c r="AF452" t="s">
        <v>61</v>
      </c>
      <c r="AG452" t="str">
        <f>IF(AE452="mean", "mean", "")</f>
        <v>mean</v>
      </c>
      <c r="AH452" t="s">
        <v>213</v>
      </c>
      <c r="AS452" t="s">
        <v>849</v>
      </c>
      <c r="AT452" t="s">
        <v>849</v>
      </c>
      <c r="AV452" t="s">
        <v>1810</v>
      </c>
      <c r="AW452" t="s">
        <v>1807</v>
      </c>
      <c r="AX452" t="s">
        <v>1808</v>
      </c>
      <c r="AY452" t="s">
        <v>1806</v>
      </c>
      <c r="AZ452" t="s">
        <v>76</v>
      </c>
    </row>
    <row r="453" spans="1:52" x14ac:dyDescent="0.2">
      <c r="A453" t="s">
        <v>1154</v>
      </c>
      <c r="B453" t="s">
        <v>1155</v>
      </c>
      <c r="C453" t="s">
        <v>1156</v>
      </c>
      <c r="D453">
        <v>2016</v>
      </c>
      <c r="E453" t="s">
        <v>1301</v>
      </c>
      <c r="F453" t="s">
        <v>1373</v>
      </c>
      <c r="G453" t="s">
        <v>1456</v>
      </c>
      <c r="H453" t="s">
        <v>1621</v>
      </c>
      <c r="I453" t="s">
        <v>1157</v>
      </c>
      <c r="J453" t="s">
        <v>82</v>
      </c>
      <c r="K453" t="s">
        <v>34</v>
      </c>
      <c r="O453" s="18" t="s">
        <v>76</v>
      </c>
      <c r="P453" s="18" t="s">
        <v>27</v>
      </c>
      <c r="Q453" t="s">
        <v>37</v>
      </c>
      <c r="R453" t="s">
        <v>39</v>
      </c>
      <c r="S453" t="s">
        <v>47</v>
      </c>
      <c r="T453" t="s">
        <v>49</v>
      </c>
      <c r="U453">
        <v>105</v>
      </c>
      <c r="V453" t="s">
        <v>672</v>
      </c>
      <c r="W453">
        <v>16</v>
      </c>
      <c r="X453">
        <v>15</v>
      </c>
      <c r="AA453">
        <v>1.06778169014085E-2</v>
      </c>
      <c r="AB453">
        <v>4.0426573753952E-3</v>
      </c>
      <c r="AC453">
        <v>5.6954225352112697E-3</v>
      </c>
      <c r="AD453">
        <v>1.9920694971713201E-3</v>
      </c>
      <c r="AE453" t="s">
        <v>71</v>
      </c>
      <c r="AF453" t="s">
        <v>61</v>
      </c>
      <c r="AG453" t="str">
        <f>IF(AE453="mean", "mean", "")</f>
        <v>mean</v>
      </c>
      <c r="AH453" t="s">
        <v>213</v>
      </c>
      <c r="AS453" t="s">
        <v>849</v>
      </c>
      <c r="AT453" t="s">
        <v>849</v>
      </c>
      <c r="AV453" t="s">
        <v>1810</v>
      </c>
      <c r="AW453" t="s">
        <v>1807</v>
      </c>
      <c r="AX453" t="s">
        <v>1808</v>
      </c>
      <c r="AY453" t="s">
        <v>1806</v>
      </c>
      <c r="AZ453" t="s">
        <v>76</v>
      </c>
    </row>
    <row r="454" spans="1:52" x14ac:dyDescent="0.2">
      <c r="A454" t="s">
        <v>1154</v>
      </c>
      <c r="B454" t="s">
        <v>1155</v>
      </c>
      <c r="C454" t="s">
        <v>1156</v>
      </c>
      <c r="D454">
        <v>2016</v>
      </c>
      <c r="E454" t="s">
        <v>1301</v>
      </c>
      <c r="F454" t="s">
        <v>1373</v>
      </c>
      <c r="G454" t="s">
        <v>1456</v>
      </c>
      <c r="H454" t="s">
        <v>1622</v>
      </c>
      <c r="I454" t="s">
        <v>1157</v>
      </c>
      <c r="J454" t="s">
        <v>82</v>
      </c>
      <c r="K454" t="s">
        <v>34</v>
      </c>
      <c r="O454" s="18" t="s">
        <v>76</v>
      </c>
      <c r="P454" s="18" t="s">
        <v>27</v>
      </c>
      <c r="Q454" t="s">
        <v>37</v>
      </c>
      <c r="R454" t="s">
        <v>40</v>
      </c>
      <c r="S454" t="s">
        <v>47</v>
      </c>
      <c r="T454" t="s">
        <v>49</v>
      </c>
      <c r="U454">
        <v>106</v>
      </c>
      <c r="V454">
        <v>2</v>
      </c>
      <c r="W454">
        <v>16</v>
      </c>
      <c r="X454">
        <v>15</v>
      </c>
      <c r="AA454">
        <v>1.8644494636376699E-2</v>
      </c>
      <c r="AB454">
        <v>2.3596263627286098E-3</v>
      </c>
      <c r="AC454">
        <v>8.1241678630237704E-3</v>
      </c>
      <c r="AD454">
        <v>7.1659010543193699E-3</v>
      </c>
      <c r="AE454" t="s">
        <v>71</v>
      </c>
      <c r="AF454" t="s">
        <v>61</v>
      </c>
      <c r="AG454" t="str">
        <f>IF(AE454="mean", "mean", "")</f>
        <v>mean</v>
      </c>
      <c r="AH454" t="s">
        <v>213</v>
      </c>
      <c r="AS454" t="s">
        <v>849</v>
      </c>
      <c r="AT454" t="s">
        <v>849</v>
      </c>
      <c r="AV454" t="s">
        <v>1810</v>
      </c>
      <c r="AW454" t="s">
        <v>1807</v>
      </c>
      <c r="AX454" t="s">
        <v>1808</v>
      </c>
      <c r="AY454" t="s">
        <v>1806</v>
      </c>
      <c r="AZ454" t="s">
        <v>76</v>
      </c>
    </row>
    <row r="455" spans="1:52" x14ac:dyDescent="0.2">
      <c r="A455" t="s">
        <v>1158</v>
      </c>
      <c r="B455" t="s">
        <v>1159</v>
      </c>
      <c r="C455" t="s">
        <v>1160</v>
      </c>
      <c r="D455">
        <v>2016</v>
      </c>
      <c r="E455" t="s">
        <v>1302</v>
      </c>
      <c r="F455" t="s">
        <v>1374</v>
      </c>
      <c r="G455" t="s">
        <v>1457</v>
      </c>
      <c r="H455" t="s">
        <v>1623</v>
      </c>
      <c r="I455" t="s">
        <v>1161</v>
      </c>
      <c r="J455" t="s">
        <v>33</v>
      </c>
      <c r="K455" t="s">
        <v>35</v>
      </c>
      <c r="L455" t="s">
        <v>11</v>
      </c>
      <c r="M455" t="s">
        <v>15</v>
      </c>
      <c r="N455">
        <v>1</v>
      </c>
      <c r="O455" s="18" t="s">
        <v>20</v>
      </c>
      <c r="P455" s="18" t="s">
        <v>25</v>
      </c>
      <c r="S455" t="s">
        <v>48</v>
      </c>
      <c r="T455" t="s">
        <v>49</v>
      </c>
      <c r="U455">
        <v>951</v>
      </c>
      <c r="V455" t="s">
        <v>1126</v>
      </c>
      <c r="W455">
        <v>31</v>
      </c>
      <c r="X455">
        <v>34</v>
      </c>
      <c r="AA455">
        <v>0.133333333333333</v>
      </c>
      <c r="AB455">
        <v>0.233315839966211</v>
      </c>
      <c r="AC455">
        <v>0.75047619047619096</v>
      </c>
      <c r="AD455">
        <v>1.1995101040824601</v>
      </c>
      <c r="AE455" t="s">
        <v>71</v>
      </c>
      <c r="AF455" t="s">
        <v>61</v>
      </c>
      <c r="AG455" t="str">
        <f>IF(AE455="mean", "mean", "")</f>
        <v>mean</v>
      </c>
      <c r="AH455" t="s">
        <v>213</v>
      </c>
      <c r="AS455" t="s">
        <v>849</v>
      </c>
      <c r="AT455" t="s">
        <v>222</v>
      </c>
      <c r="AV455" t="s">
        <v>1812</v>
      </c>
      <c r="AW455" t="s">
        <v>1807</v>
      </c>
      <c r="AX455" t="s">
        <v>1808</v>
      </c>
      <c r="AZ455" t="s">
        <v>1813</v>
      </c>
    </row>
    <row r="456" spans="1:52" x14ac:dyDescent="0.2">
      <c r="A456" t="s">
        <v>1158</v>
      </c>
      <c r="B456" t="s">
        <v>1159</v>
      </c>
      <c r="C456" t="s">
        <v>1160</v>
      </c>
      <c r="D456">
        <v>2016</v>
      </c>
      <c r="E456" t="s">
        <v>1302</v>
      </c>
      <c r="F456" t="s">
        <v>1374</v>
      </c>
      <c r="G456" t="s">
        <v>1457</v>
      </c>
      <c r="H456" t="s">
        <v>1624</v>
      </c>
      <c r="I456" t="s">
        <v>1161</v>
      </c>
      <c r="J456" t="s">
        <v>33</v>
      </c>
      <c r="K456" t="s">
        <v>35</v>
      </c>
      <c r="L456" t="s">
        <v>11</v>
      </c>
      <c r="M456" t="s">
        <v>15</v>
      </c>
      <c r="N456">
        <v>1</v>
      </c>
      <c r="O456" s="18" t="s">
        <v>20</v>
      </c>
      <c r="P456" s="18" t="s">
        <v>27</v>
      </c>
      <c r="S456" t="s">
        <v>48</v>
      </c>
      <c r="T456" t="s">
        <v>51</v>
      </c>
      <c r="U456">
        <v>949</v>
      </c>
      <c r="W456">
        <v>25</v>
      </c>
      <c r="X456">
        <v>25</v>
      </c>
      <c r="Y456">
        <v>20</v>
      </c>
      <c r="Z456">
        <v>10</v>
      </c>
      <c r="AG456" t="s">
        <v>1790</v>
      </c>
      <c r="AH456" t="s">
        <v>213</v>
      </c>
      <c r="AS456" t="s">
        <v>849</v>
      </c>
      <c r="AT456" t="s">
        <v>849</v>
      </c>
      <c r="AV456" t="s">
        <v>1812</v>
      </c>
      <c r="AW456" t="s">
        <v>1807</v>
      </c>
      <c r="AX456" t="s">
        <v>1808</v>
      </c>
      <c r="AZ456" t="s">
        <v>1813</v>
      </c>
    </row>
    <row r="457" spans="1:52" x14ac:dyDescent="0.2">
      <c r="A457" t="s">
        <v>1162</v>
      </c>
      <c r="B457" t="s">
        <v>1163</v>
      </c>
      <c r="C457" t="s">
        <v>1164</v>
      </c>
      <c r="D457">
        <v>2018</v>
      </c>
      <c r="E457" t="s">
        <v>1303</v>
      </c>
      <c r="F457" t="s">
        <v>1375</v>
      </c>
      <c r="G457" t="s">
        <v>1458</v>
      </c>
      <c r="H457" t="s">
        <v>1625</v>
      </c>
      <c r="I457" t="s">
        <v>1785</v>
      </c>
      <c r="J457" t="s">
        <v>83</v>
      </c>
      <c r="K457" t="s">
        <v>34</v>
      </c>
      <c r="O457" s="18" t="s">
        <v>20</v>
      </c>
      <c r="P457" s="18" t="s">
        <v>27</v>
      </c>
      <c r="Q457" t="s">
        <v>38</v>
      </c>
      <c r="R457" t="s">
        <v>41</v>
      </c>
      <c r="S457" t="s">
        <v>47</v>
      </c>
      <c r="T457" t="s">
        <v>49</v>
      </c>
      <c r="U457">
        <v>9</v>
      </c>
      <c r="V457">
        <v>4</v>
      </c>
      <c r="W457">
        <v>15</v>
      </c>
      <c r="X457">
        <v>15</v>
      </c>
      <c r="AA457">
        <v>95</v>
      </c>
      <c r="AB457">
        <v>4.8</v>
      </c>
      <c r="AC457">
        <v>19.91</v>
      </c>
      <c r="AD457">
        <v>2.12</v>
      </c>
      <c r="AE457" t="s">
        <v>71</v>
      </c>
      <c r="AF457" t="s">
        <v>62</v>
      </c>
      <c r="AG457" t="str">
        <f t="shared" ref="AG457:AG468" si="14">IF(AE457="mean", "mean", "")</f>
        <v>mean</v>
      </c>
      <c r="AH457" t="s">
        <v>213</v>
      </c>
      <c r="AS457" t="s">
        <v>222</v>
      </c>
      <c r="AT457" t="s">
        <v>849</v>
      </c>
      <c r="AV457" t="s">
        <v>1810</v>
      </c>
      <c r="AW457" t="s">
        <v>1804</v>
      </c>
      <c r="AX457" t="s">
        <v>23</v>
      </c>
      <c r="AY457" t="s">
        <v>1811</v>
      </c>
      <c r="AZ457" t="s">
        <v>76</v>
      </c>
    </row>
    <row r="458" spans="1:52" x14ac:dyDescent="0.2">
      <c r="A458" t="s">
        <v>1165</v>
      </c>
      <c r="B458" t="s">
        <v>1166</v>
      </c>
      <c r="C458" t="s">
        <v>1167</v>
      </c>
      <c r="D458">
        <v>2018</v>
      </c>
      <c r="E458" t="s">
        <v>1304</v>
      </c>
      <c r="F458" t="s">
        <v>1376</v>
      </c>
      <c r="G458" t="s">
        <v>1459</v>
      </c>
      <c r="H458" t="s">
        <v>1626</v>
      </c>
      <c r="I458" t="s">
        <v>1759</v>
      </c>
      <c r="J458" t="s">
        <v>81</v>
      </c>
      <c r="K458" t="s">
        <v>35</v>
      </c>
      <c r="L458" t="s">
        <v>11</v>
      </c>
      <c r="M458" t="s">
        <v>14</v>
      </c>
      <c r="N458">
        <v>1</v>
      </c>
      <c r="O458" s="18" t="s">
        <v>20</v>
      </c>
      <c r="P458" s="18" t="s">
        <v>1042</v>
      </c>
      <c r="S458" t="s">
        <v>47</v>
      </c>
      <c r="T458" t="s">
        <v>49</v>
      </c>
      <c r="U458">
        <v>19</v>
      </c>
      <c r="V458">
        <v>3</v>
      </c>
      <c r="W458">
        <v>37</v>
      </c>
      <c r="X458">
        <v>35</v>
      </c>
      <c r="AA458">
        <v>8.94444444444445</v>
      </c>
      <c r="AB458">
        <v>7.8850625392755003</v>
      </c>
      <c r="AC458">
        <v>11.2777777777778</v>
      </c>
      <c r="AD458">
        <v>7.6689923114254599</v>
      </c>
      <c r="AE458" t="s">
        <v>71</v>
      </c>
      <c r="AF458" t="s">
        <v>61</v>
      </c>
      <c r="AG458" t="str">
        <f t="shared" si="14"/>
        <v>mean</v>
      </c>
      <c r="AH458" t="s">
        <v>213</v>
      </c>
      <c r="AS458" t="s">
        <v>849</v>
      </c>
      <c r="AT458" t="s">
        <v>849</v>
      </c>
      <c r="AV458" t="s">
        <v>1803</v>
      </c>
      <c r="AW458" t="s">
        <v>1807</v>
      </c>
      <c r="AX458" t="s">
        <v>1808</v>
      </c>
      <c r="AY458" t="s">
        <v>1806</v>
      </c>
      <c r="AZ458" t="s">
        <v>1809</v>
      </c>
    </row>
    <row r="459" spans="1:52" x14ac:dyDescent="0.2">
      <c r="A459" t="s">
        <v>1165</v>
      </c>
      <c r="B459" t="s">
        <v>1166</v>
      </c>
      <c r="C459" t="s">
        <v>1167</v>
      </c>
      <c r="D459">
        <v>2018</v>
      </c>
      <c r="E459" t="s">
        <v>1304</v>
      </c>
      <c r="F459" t="s">
        <v>1376</v>
      </c>
      <c r="G459" t="s">
        <v>1459</v>
      </c>
      <c r="H459" t="s">
        <v>1627</v>
      </c>
      <c r="I459" t="s">
        <v>1759</v>
      </c>
      <c r="J459" t="s">
        <v>81</v>
      </c>
      <c r="K459" t="s">
        <v>35</v>
      </c>
      <c r="L459" t="s">
        <v>11</v>
      </c>
      <c r="M459" t="s">
        <v>14</v>
      </c>
      <c r="N459">
        <v>1</v>
      </c>
      <c r="O459" s="18" t="s">
        <v>20</v>
      </c>
      <c r="P459" s="18" t="s">
        <v>1042</v>
      </c>
      <c r="S459" t="s">
        <v>47</v>
      </c>
      <c r="T459" t="s">
        <v>49</v>
      </c>
      <c r="U459">
        <v>19</v>
      </c>
      <c r="V459">
        <v>3</v>
      </c>
      <c r="W459">
        <v>34</v>
      </c>
      <c r="X459">
        <v>30</v>
      </c>
      <c r="AA459">
        <v>10.1111111111111</v>
      </c>
      <c r="AB459">
        <v>6.04691307613587</v>
      </c>
      <c r="AC459">
        <v>5.8981481481481604</v>
      </c>
      <c r="AD459">
        <v>4.6150696974972298</v>
      </c>
      <c r="AE459" t="s">
        <v>71</v>
      </c>
      <c r="AF459" t="s">
        <v>61</v>
      </c>
      <c r="AG459" t="str">
        <f t="shared" si="14"/>
        <v>mean</v>
      </c>
      <c r="AH459" t="s">
        <v>213</v>
      </c>
      <c r="AS459" t="s">
        <v>849</v>
      </c>
      <c r="AT459" t="s">
        <v>849</v>
      </c>
      <c r="AV459" t="s">
        <v>1803</v>
      </c>
      <c r="AW459" t="s">
        <v>1807</v>
      </c>
      <c r="AX459" t="s">
        <v>1808</v>
      </c>
      <c r="AY459" t="s">
        <v>1806</v>
      </c>
      <c r="AZ459" t="s">
        <v>1809</v>
      </c>
    </row>
    <row r="460" spans="1:52" x14ac:dyDescent="0.2">
      <c r="A460" t="s">
        <v>1165</v>
      </c>
      <c r="B460" t="s">
        <v>1166</v>
      </c>
      <c r="C460" t="s">
        <v>1167</v>
      </c>
      <c r="D460">
        <v>2018</v>
      </c>
      <c r="E460" t="s">
        <v>1304</v>
      </c>
      <c r="F460" t="s">
        <v>1376</v>
      </c>
      <c r="G460" t="s">
        <v>1459</v>
      </c>
      <c r="H460" t="s">
        <v>1628</v>
      </c>
      <c r="I460" t="s">
        <v>1759</v>
      </c>
      <c r="J460" t="s">
        <v>81</v>
      </c>
      <c r="K460" t="s">
        <v>35</v>
      </c>
      <c r="L460" t="s">
        <v>11</v>
      </c>
      <c r="M460" t="s">
        <v>14</v>
      </c>
      <c r="N460">
        <v>1</v>
      </c>
      <c r="O460" s="18" t="s">
        <v>20</v>
      </c>
      <c r="P460" s="18" t="s">
        <v>1042</v>
      </c>
      <c r="S460" t="s">
        <v>47</v>
      </c>
      <c r="T460" t="s">
        <v>49</v>
      </c>
      <c r="U460">
        <v>19</v>
      </c>
      <c r="V460">
        <v>3</v>
      </c>
      <c r="W460">
        <v>37</v>
      </c>
      <c r="X460">
        <v>19</v>
      </c>
      <c r="AA460">
        <v>9.7023255813953497</v>
      </c>
      <c r="AB460">
        <v>5.9413029365703602</v>
      </c>
      <c r="AC460">
        <v>5.1441860465116296</v>
      </c>
      <c r="AD460">
        <v>4.8251997607566599</v>
      </c>
      <c r="AE460" t="s">
        <v>71</v>
      </c>
      <c r="AF460" t="s">
        <v>61</v>
      </c>
      <c r="AG460" t="str">
        <f t="shared" si="14"/>
        <v>mean</v>
      </c>
      <c r="AH460" t="s">
        <v>213</v>
      </c>
      <c r="AS460" t="s">
        <v>849</v>
      </c>
      <c r="AT460" t="s">
        <v>849</v>
      </c>
      <c r="AV460" t="s">
        <v>1803</v>
      </c>
      <c r="AW460" t="s">
        <v>1807</v>
      </c>
      <c r="AX460" t="s">
        <v>1808</v>
      </c>
      <c r="AY460" t="s">
        <v>1806</v>
      </c>
      <c r="AZ460" t="s">
        <v>1809</v>
      </c>
    </row>
    <row r="461" spans="1:52" x14ac:dyDescent="0.2">
      <c r="A461" t="s">
        <v>1165</v>
      </c>
      <c r="B461" t="s">
        <v>1166</v>
      </c>
      <c r="C461" t="s">
        <v>1167</v>
      </c>
      <c r="D461">
        <v>2018</v>
      </c>
      <c r="E461" t="s">
        <v>1304</v>
      </c>
      <c r="F461" t="s">
        <v>1377</v>
      </c>
      <c r="G461" t="s">
        <v>1460</v>
      </c>
      <c r="H461" t="s">
        <v>1629</v>
      </c>
      <c r="I461" t="s">
        <v>1759</v>
      </c>
      <c r="J461" t="s">
        <v>81</v>
      </c>
      <c r="K461" t="s">
        <v>35</v>
      </c>
      <c r="L461" t="s">
        <v>11</v>
      </c>
      <c r="M461" t="s">
        <v>14</v>
      </c>
      <c r="N461">
        <v>1</v>
      </c>
      <c r="O461" s="18" t="s">
        <v>21</v>
      </c>
      <c r="P461" s="18" t="s">
        <v>78</v>
      </c>
      <c r="S461" t="s">
        <v>47</v>
      </c>
      <c r="T461" t="s">
        <v>51</v>
      </c>
      <c r="U461">
        <v>20</v>
      </c>
      <c r="W461">
        <v>19</v>
      </c>
      <c r="X461">
        <v>15</v>
      </c>
      <c r="AA461">
        <v>4300000</v>
      </c>
      <c r="AB461">
        <v>230000</v>
      </c>
      <c r="AC461">
        <v>4400000</v>
      </c>
      <c r="AD461">
        <v>360000</v>
      </c>
      <c r="AE461" t="s">
        <v>71</v>
      </c>
      <c r="AF461" t="s">
        <v>62</v>
      </c>
      <c r="AG461" t="str">
        <f t="shared" si="14"/>
        <v>mean</v>
      </c>
      <c r="AH461" t="s">
        <v>213</v>
      </c>
      <c r="AS461" t="s">
        <v>849</v>
      </c>
      <c r="AT461" t="s">
        <v>849</v>
      </c>
      <c r="AV461" t="s">
        <v>1803</v>
      </c>
      <c r="AW461" t="s">
        <v>1807</v>
      </c>
      <c r="AX461" t="s">
        <v>1808</v>
      </c>
      <c r="AY461" t="s">
        <v>1806</v>
      </c>
      <c r="AZ461" t="s">
        <v>1809</v>
      </c>
    </row>
    <row r="462" spans="1:52" x14ac:dyDescent="0.2">
      <c r="A462" t="s">
        <v>1165</v>
      </c>
      <c r="B462" t="s">
        <v>1166</v>
      </c>
      <c r="C462" t="s">
        <v>1167</v>
      </c>
      <c r="D462">
        <v>2018</v>
      </c>
      <c r="E462" t="s">
        <v>1304</v>
      </c>
      <c r="F462" t="s">
        <v>1377</v>
      </c>
      <c r="G462" t="s">
        <v>1460</v>
      </c>
      <c r="H462" t="s">
        <v>1630</v>
      </c>
      <c r="I462" t="s">
        <v>1759</v>
      </c>
      <c r="J462" t="s">
        <v>81</v>
      </c>
      <c r="K462" t="s">
        <v>35</v>
      </c>
      <c r="L462" t="s">
        <v>11</v>
      </c>
      <c r="M462" t="s">
        <v>14</v>
      </c>
      <c r="N462">
        <v>1</v>
      </c>
      <c r="O462" s="18" t="s">
        <v>21</v>
      </c>
      <c r="P462" s="18" t="s">
        <v>78</v>
      </c>
      <c r="S462" t="s">
        <v>47</v>
      </c>
      <c r="T462" t="s">
        <v>51</v>
      </c>
      <c r="U462">
        <v>20</v>
      </c>
      <c r="W462">
        <v>19</v>
      </c>
      <c r="X462">
        <v>20</v>
      </c>
      <c r="AA462">
        <v>4600000</v>
      </c>
      <c r="AB462">
        <v>250000</v>
      </c>
      <c r="AC462">
        <v>4300000</v>
      </c>
      <c r="AD462">
        <v>150000</v>
      </c>
      <c r="AE462" t="s">
        <v>71</v>
      </c>
      <c r="AF462" t="s">
        <v>62</v>
      </c>
      <c r="AG462" t="str">
        <f t="shared" si="14"/>
        <v>mean</v>
      </c>
      <c r="AH462" t="s">
        <v>213</v>
      </c>
      <c r="AS462" t="s">
        <v>849</v>
      </c>
      <c r="AT462" t="s">
        <v>849</v>
      </c>
      <c r="AV462" t="s">
        <v>1803</v>
      </c>
      <c r="AW462" t="s">
        <v>1807</v>
      </c>
      <c r="AX462" t="s">
        <v>1808</v>
      </c>
      <c r="AY462" t="s">
        <v>1806</v>
      </c>
      <c r="AZ462" t="s">
        <v>1809</v>
      </c>
    </row>
    <row r="463" spans="1:52" x14ac:dyDescent="0.2">
      <c r="A463" t="s">
        <v>1165</v>
      </c>
      <c r="B463" t="s">
        <v>1166</v>
      </c>
      <c r="C463" t="s">
        <v>1167</v>
      </c>
      <c r="D463">
        <v>2018</v>
      </c>
      <c r="E463" t="s">
        <v>1304</v>
      </c>
      <c r="F463" t="s">
        <v>1376</v>
      </c>
      <c r="G463" t="s">
        <v>1459</v>
      </c>
      <c r="H463" t="s">
        <v>1631</v>
      </c>
      <c r="I463" t="s">
        <v>1759</v>
      </c>
      <c r="J463" t="s">
        <v>81</v>
      </c>
      <c r="K463" t="s">
        <v>35</v>
      </c>
      <c r="L463" t="s">
        <v>11</v>
      </c>
      <c r="M463" t="s">
        <v>14</v>
      </c>
      <c r="N463">
        <v>1</v>
      </c>
      <c r="O463" s="18" t="s">
        <v>20</v>
      </c>
      <c r="P463" s="18" t="s">
        <v>1042</v>
      </c>
      <c r="S463" t="s">
        <v>47</v>
      </c>
      <c r="T463" t="s">
        <v>49</v>
      </c>
      <c r="U463" t="s">
        <v>1168</v>
      </c>
      <c r="V463" t="s">
        <v>1050</v>
      </c>
      <c r="W463">
        <v>8</v>
      </c>
      <c r="X463">
        <v>4</v>
      </c>
      <c r="AA463">
        <v>13.8688524590164</v>
      </c>
      <c r="AB463">
        <v>3.8948832537488398</v>
      </c>
      <c r="AC463">
        <v>18.393442622950801</v>
      </c>
      <c r="AD463">
        <v>2.1639344262294999</v>
      </c>
      <c r="AE463" t="s">
        <v>71</v>
      </c>
      <c r="AF463" t="s">
        <v>61</v>
      </c>
      <c r="AG463" t="str">
        <f t="shared" si="14"/>
        <v>mean</v>
      </c>
      <c r="AH463" t="s">
        <v>213</v>
      </c>
      <c r="AS463" t="s">
        <v>849</v>
      </c>
      <c r="AT463" t="s">
        <v>849</v>
      </c>
      <c r="AV463" t="s">
        <v>1803</v>
      </c>
      <c r="AW463" t="s">
        <v>1807</v>
      </c>
      <c r="AX463" t="s">
        <v>1808</v>
      </c>
      <c r="AY463" t="s">
        <v>1806</v>
      </c>
      <c r="AZ463" t="s">
        <v>1809</v>
      </c>
    </row>
    <row r="464" spans="1:52" x14ac:dyDescent="0.2">
      <c r="A464" t="s">
        <v>1165</v>
      </c>
      <c r="B464" t="s">
        <v>1166</v>
      </c>
      <c r="C464" t="s">
        <v>1167</v>
      </c>
      <c r="D464">
        <v>2018</v>
      </c>
      <c r="E464" t="s">
        <v>1304</v>
      </c>
      <c r="F464" t="s">
        <v>1376</v>
      </c>
      <c r="G464" t="s">
        <v>1459</v>
      </c>
      <c r="H464" t="s">
        <v>1632</v>
      </c>
      <c r="I464" t="s">
        <v>1759</v>
      </c>
      <c r="J464" t="s">
        <v>81</v>
      </c>
      <c r="K464" t="s">
        <v>35</v>
      </c>
      <c r="L464" t="s">
        <v>11</v>
      </c>
      <c r="M464" t="s">
        <v>14</v>
      </c>
      <c r="N464">
        <v>1</v>
      </c>
      <c r="O464" s="18" t="s">
        <v>20</v>
      </c>
      <c r="P464" s="18" t="s">
        <v>1042</v>
      </c>
      <c r="S464" t="s">
        <v>47</v>
      </c>
      <c r="T464" t="s">
        <v>49</v>
      </c>
      <c r="U464" t="s">
        <v>1168</v>
      </c>
      <c r="V464" t="s">
        <v>528</v>
      </c>
      <c r="W464">
        <v>86</v>
      </c>
      <c r="X464">
        <v>47</v>
      </c>
      <c r="AA464">
        <v>25.066666666666698</v>
      </c>
      <c r="AB464">
        <v>8.6553772624625598</v>
      </c>
      <c r="AC464">
        <v>17.866666666666699</v>
      </c>
      <c r="AD464">
        <v>9.1408728005347193</v>
      </c>
      <c r="AE464" t="s">
        <v>71</v>
      </c>
      <c r="AF464" t="s">
        <v>61</v>
      </c>
      <c r="AG464" t="str">
        <f t="shared" si="14"/>
        <v>mean</v>
      </c>
      <c r="AH464" t="s">
        <v>213</v>
      </c>
      <c r="AS464" t="s">
        <v>849</v>
      </c>
      <c r="AT464" t="s">
        <v>849</v>
      </c>
      <c r="AV464" t="s">
        <v>1803</v>
      </c>
      <c r="AW464" t="s">
        <v>1807</v>
      </c>
      <c r="AX464" t="s">
        <v>1808</v>
      </c>
      <c r="AY464" t="s">
        <v>1806</v>
      </c>
      <c r="AZ464" t="s">
        <v>1809</v>
      </c>
    </row>
    <row r="465" spans="1:52" x14ac:dyDescent="0.2">
      <c r="A465" t="s">
        <v>1165</v>
      </c>
      <c r="B465" t="s">
        <v>1166</v>
      </c>
      <c r="C465" t="s">
        <v>1167</v>
      </c>
      <c r="D465">
        <v>2018</v>
      </c>
      <c r="E465" t="s">
        <v>1304</v>
      </c>
      <c r="F465" t="s">
        <v>1376</v>
      </c>
      <c r="G465" t="s">
        <v>1459</v>
      </c>
      <c r="H465" t="s">
        <v>1633</v>
      </c>
      <c r="I465" t="s">
        <v>1759</v>
      </c>
      <c r="J465" t="s">
        <v>81</v>
      </c>
      <c r="K465" t="s">
        <v>35</v>
      </c>
      <c r="L465" t="s">
        <v>11</v>
      </c>
      <c r="M465" t="s">
        <v>14</v>
      </c>
      <c r="N465">
        <v>1</v>
      </c>
      <c r="O465" s="18" t="s">
        <v>20</v>
      </c>
      <c r="P465" s="18" t="s">
        <v>1042</v>
      </c>
      <c r="S465" t="s">
        <v>47</v>
      </c>
      <c r="T465" t="s">
        <v>49</v>
      </c>
      <c r="U465" t="s">
        <v>1168</v>
      </c>
      <c r="V465" t="s">
        <v>167</v>
      </c>
      <c r="W465">
        <v>107</v>
      </c>
      <c r="X465">
        <v>24</v>
      </c>
      <c r="AA465">
        <v>24.040404040403999</v>
      </c>
      <c r="AB465">
        <v>8.5329956432094001</v>
      </c>
      <c r="AC465">
        <v>15.6734006734007</v>
      </c>
      <c r="AD465">
        <v>5.1958873331764304</v>
      </c>
      <c r="AE465" t="s">
        <v>71</v>
      </c>
      <c r="AF465" t="s">
        <v>61</v>
      </c>
      <c r="AG465" t="str">
        <f t="shared" si="14"/>
        <v>mean</v>
      </c>
      <c r="AH465" t="s">
        <v>213</v>
      </c>
      <c r="AS465" t="s">
        <v>849</v>
      </c>
      <c r="AT465" t="s">
        <v>849</v>
      </c>
      <c r="AV465" t="s">
        <v>1803</v>
      </c>
      <c r="AW465" t="s">
        <v>1807</v>
      </c>
      <c r="AX465" t="s">
        <v>1808</v>
      </c>
      <c r="AY465" t="s">
        <v>1806</v>
      </c>
      <c r="AZ465" t="s">
        <v>1809</v>
      </c>
    </row>
    <row r="466" spans="1:52" x14ac:dyDescent="0.2">
      <c r="A466" t="s">
        <v>1165</v>
      </c>
      <c r="B466" t="s">
        <v>1166</v>
      </c>
      <c r="C466" t="s">
        <v>1167</v>
      </c>
      <c r="D466">
        <v>2018</v>
      </c>
      <c r="E466" t="s">
        <v>1304</v>
      </c>
      <c r="F466" t="s">
        <v>1376</v>
      </c>
      <c r="G466" t="s">
        <v>1459</v>
      </c>
      <c r="H466" t="s">
        <v>1634</v>
      </c>
      <c r="I466" t="s">
        <v>1759</v>
      </c>
      <c r="J466" t="s">
        <v>81</v>
      </c>
      <c r="K466" t="s">
        <v>35</v>
      </c>
      <c r="L466" t="s">
        <v>11</v>
      </c>
      <c r="M466" t="s">
        <v>14</v>
      </c>
      <c r="N466">
        <v>1</v>
      </c>
      <c r="O466" s="18" t="s">
        <v>20</v>
      </c>
      <c r="P466" s="18" t="s">
        <v>1042</v>
      </c>
      <c r="S466" t="s">
        <v>47</v>
      </c>
      <c r="T466" t="s">
        <v>49</v>
      </c>
      <c r="U466" t="s">
        <v>1168</v>
      </c>
      <c r="V466" t="s">
        <v>1169</v>
      </c>
      <c r="W466">
        <v>25</v>
      </c>
      <c r="X466">
        <v>24</v>
      </c>
      <c r="AA466">
        <v>13.031161473087799</v>
      </c>
      <c r="AB466">
        <v>15.9348441926346</v>
      </c>
      <c r="AC466">
        <v>20.3257790368272</v>
      </c>
      <c r="AD466">
        <v>17.0007078465121</v>
      </c>
      <c r="AE466" t="s">
        <v>71</v>
      </c>
      <c r="AF466" t="s">
        <v>61</v>
      </c>
      <c r="AG466" t="str">
        <f t="shared" si="14"/>
        <v>mean</v>
      </c>
      <c r="AH466" t="s">
        <v>213</v>
      </c>
      <c r="AS466" t="s">
        <v>849</v>
      </c>
      <c r="AT466" t="s">
        <v>222</v>
      </c>
      <c r="AV466" t="s">
        <v>1803</v>
      </c>
      <c r="AW466" t="s">
        <v>1807</v>
      </c>
      <c r="AX466" t="s">
        <v>1808</v>
      </c>
      <c r="AY466" t="s">
        <v>1806</v>
      </c>
      <c r="AZ466" t="s">
        <v>1809</v>
      </c>
    </row>
    <row r="467" spans="1:52" x14ac:dyDescent="0.2">
      <c r="A467" t="s">
        <v>1165</v>
      </c>
      <c r="B467" t="s">
        <v>1166</v>
      </c>
      <c r="C467" t="s">
        <v>1167</v>
      </c>
      <c r="D467">
        <v>2018</v>
      </c>
      <c r="E467" t="s">
        <v>1304</v>
      </c>
      <c r="F467" t="s">
        <v>1376</v>
      </c>
      <c r="G467" t="s">
        <v>1459</v>
      </c>
      <c r="H467" t="s">
        <v>1635</v>
      </c>
      <c r="I467" t="s">
        <v>1759</v>
      </c>
      <c r="J467" t="s">
        <v>81</v>
      </c>
      <c r="K467" t="s">
        <v>35</v>
      </c>
      <c r="L467" t="s">
        <v>11</v>
      </c>
      <c r="M467" t="s">
        <v>14</v>
      </c>
      <c r="N467">
        <v>1</v>
      </c>
      <c r="O467" s="18" t="s">
        <v>20</v>
      </c>
      <c r="P467" s="18" t="s">
        <v>1042</v>
      </c>
      <c r="S467" t="s">
        <v>47</v>
      </c>
      <c r="T467" t="s">
        <v>49</v>
      </c>
      <c r="U467" t="s">
        <v>1168</v>
      </c>
      <c r="V467" t="s">
        <v>1170</v>
      </c>
      <c r="W467">
        <v>5</v>
      </c>
      <c r="X467">
        <v>6</v>
      </c>
      <c r="AA467">
        <v>7</v>
      </c>
      <c r="AB467">
        <v>3.1943828249997002</v>
      </c>
      <c r="AC467">
        <v>29.857142857142801</v>
      </c>
      <c r="AD467">
        <v>22.045407685048598</v>
      </c>
      <c r="AE467" t="s">
        <v>71</v>
      </c>
      <c r="AF467" t="s">
        <v>61</v>
      </c>
      <c r="AG467" t="str">
        <f t="shared" si="14"/>
        <v>mean</v>
      </c>
      <c r="AH467" t="s">
        <v>213</v>
      </c>
      <c r="AS467" t="s">
        <v>849</v>
      </c>
      <c r="AT467" t="s">
        <v>222</v>
      </c>
      <c r="AV467" t="s">
        <v>1803</v>
      </c>
      <c r="AW467" t="s">
        <v>1807</v>
      </c>
      <c r="AX467" t="s">
        <v>1808</v>
      </c>
      <c r="AY467" t="s">
        <v>1806</v>
      </c>
      <c r="AZ467" t="s">
        <v>1809</v>
      </c>
    </row>
    <row r="468" spans="1:52" x14ac:dyDescent="0.2">
      <c r="A468" t="s">
        <v>1165</v>
      </c>
      <c r="B468" t="s">
        <v>1166</v>
      </c>
      <c r="C468" t="s">
        <v>1167</v>
      </c>
      <c r="D468">
        <v>2018</v>
      </c>
      <c r="E468" t="s">
        <v>1304</v>
      </c>
      <c r="F468" t="s">
        <v>1376</v>
      </c>
      <c r="G468" t="s">
        <v>1459</v>
      </c>
      <c r="H468" t="s">
        <v>1636</v>
      </c>
      <c r="I468" t="s">
        <v>1759</v>
      </c>
      <c r="J468" t="s">
        <v>81</v>
      </c>
      <c r="K468" t="s">
        <v>35</v>
      </c>
      <c r="L468" t="s">
        <v>11</v>
      </c>
      <c r="M468" t="s">
        <v>14</v>
      </c>
      <c r="N468">
        <v>1</v>
      </c>
      <c r="O468" s="18" t="s">
        <v>20</v>
      </c>
      <c r="P468" s="18" t="s">
        <v>1042</v>
      </c>
      <c r="S468" t="s">
        <v>47</v>
      </c>
      <c r="T468" t="s">
        <v>49</v>
      </c>
      <c r="U468" t="s">
        <v>1168</v>
      </c>
      <c r="V468" t="s">
        <v>1171</v>
      </c>
      <c r="W468">
        <v>3</v>
      </c>
      <c r="X468">
        <v>4</v>
      </c>
      <c r="AA468">
        <v>17.468354430379701</v>
      </c>
      <c r="AB468">
        <v>12.6615106502662</v>
      </c>
      <c r="AC468">
        <v>22.5</v>
      </c>
      <c r="AD468">
        <v>8.7341772151898809</v>
      </c>
      <c r="AE468" t="s">
        <v>71</v>
      </c>
      <c r="AF468" t="s">
        <v>61</v>
      </c>
      <c r="AG468" t="str">
        <f t="shared" si="14"/>
        <v>mean</v>
      </c>
      <c r="AH468" t="s">
        <v>213</v>
      </c>
      <c r="AS468" t="s">
        <v>849</v>
      </c>
      <c r="AT468" t="s">
        <v>222</v>
      </c>
      <c r="AV468" t="s">
        <v>1803</v>
      </c>
      <c r="AW468" t="s">
        <v>1807</v>
      </c>
      <c r="AX468" t="s">
        <v>1808</v>
      </c>
      <c r="AY468" t="s">
        <v>1806</v>
      </c>
      <c r="AZ468" t="s">
        <v>1809</v>
      </c>
    </row>
    <row r="469" spans="1:52" x14ac:dyDescent="0.2">
      <c r="A469" t="s">
        <v>1172</v>
      </c>
      <c r="B469" t="s">
        <v>1173</v>
      </c>
      <c r="C469" t="s">
        <v>1174</v>
      </c>
      <c r="D469">
        <v>2019</v>
      </c>
      <c r="E469" t="s">
        <v>1305</v>
      </c>
      <c r="F469" t="s">
        <v>2293</v>
      </c>
      <c r="G469" t="s">
        <v>2292</v>
      </c>
      <c r="H469" t="s">
        <v>1637</v>
      </c>
      <c r="I469" t="s">
        <v>512</v>
      </c>
      <c r="J469" t="s">
        <v>83</v>
      </c>
      <c r="K469" t="s">
        <v>35</v>
      </c>
      <c r="L469" t="s">
        <v>11</v>
      </c>
      <c r="M469" t="s">
        <v>14</v>
      </c>
      <c r="N469">
        <v>1</v>
      </c>
      <c r="O469" s="18" t="s">
        <v>20</v>
      </c>
      <c r="P469" s="18" t="s">
        <v>27</v>
      </c>
      <c r="S469" t="s">
        <v>47</v>
      </c>
      <c r="T469" t="s">
        <v>51</v>
      </c>
      <c r="U469">
        <v>5</v>
      </c>
      <c r="W469">
        <v>21</v>
      </c>
      <c r="X469">
        <v>21</v>
      </c>
      <c r="Y469">
        <v>17</v>
      </c>
      <c r="Z469">
        <v>15</v>
      </c>
      <c r="AG469" t="s">
        <v>1790</v>
      </c>
      <c r="AH469" t="s">
        <v>213</v>
      </c>
      <c r="AS469" t="s">
        <v>849</v>
      </c>
      <c r="AT469" t="s">
        <v>849</v>
      </c>
      <c r="AV469" t="s">
        <v>1803</v>
      </c>
      <c r="AW469" t="s">
        <v>1815</v>
      </c>
      <c r="AX469" t="s">
        <v>1816</v>
      </c>
      <c r="AY469" t="s">
        <v>1814</v>
      </c>
      <c r="AZ469" t="s">
        <v>76</v>
      </c>
    </row>
    <row r="470" spans="1:52" x14ac:dyDescent="0.2">
      <c r="A470" t="s">
        <v>1172</v>
      </c>
      <c r="B470" t="s">
        <v>1173</v>
      </c>
      <c r="C470" t="s">
        <v>1174</v>
      </c>
      <c r="D470">
        <v>2019</v>
      </c>
      <c r="E470" t="s">
        <v>1305</v>
      </c>
      <c r="F470" t="s">
        <v>2293</v>
      </c>
      <c r="G470" t="s">
        <v>2292</v>
      </c>
      <c r="H470" t="s">
        <v>1638</v>
      </c>
      <c r="I470" t="s">
        <v>512</v>
      </c>
      <c r="J470" t="s">
        <v>83</v>
      </c>
      <c r="K470" t="s">
        <v>35</v>
      </c>
      <c r="L470" t="s">
        <v>11</v>
      </c>
      <c r="M470" t="s">
        <v>14</v>
      </c>
      <c r="N470">
        <v>1</v>
      </c>
      <c r="O470" s="18" t="s">
        <v>20</v>
      </c>
      <c r="P470" s="18" t="s">
        <v>27</v>
      </c>
      <c r="S470" t="s">
        <v>47</v>
      </c>
      <c r="T470" t="s">
        <v>49</v>
      </c>
      <c r="U470">
        <v>5</v>
      </c>
      <c r="V470">
        <v>2</v>
      </c>
      <c r="W470">
        <v>17</v>
      </c>
      <c r="X470">
        <v>15</v>
      </c>
      <c r="AA470">
        <v>611.45320197044396</v>
      </c>
      <c r="AB470">
        <v>480.93642280713902</v>
      </c>
      <c r="AC470">
        <v>352.83251231527203</v>
      </c>
      <c r="AD470">
        <v>180.67376851317701</v>
      </c>
      <c r="AE470" t="s">
        <v>71</v>
      </c>
      <c r="AF470" t="s">
        <v>61</v>
      </c>
      <c r="AG470" t="str">
        <f>IF(AE470="mean", "mean", "")</f>
        <v>mean</v>
      </c>
      <c r="AH470" t="s">
        <v>213</v>
      </c>
      <c r="AS470" t="s">
        <v>849</v>
      </c>
      <c r="AT470" t="s">
        <v>222</v>
      </c>
      <c r="AV470" t="s">
        <v>1803</v>
      </c>
      <c r="AW470" t="s">
        <v>1815</v>
      </c>
      <c r="AX470" t="s">
        <v>1816</v>
      </c>
      <c r="AY470" t="s">
        <v>1814</v>
      </c>
      <c r="AZ470" t="s">
        <v>76</v>
      </c>
    </row>
    <row r="471" spans="1:52" x14ac:dyDescent="0.2">
      <c r="A471" t="s">
        <v>1175</v>
      </c>
      <c r="B471" t="s">
        <v>1176</v>
      </c>
      <c r="C471" t="s">
        <v>1177</v>
      </c>
      <c r="D471">
        <v>2015</v>
      </c>
      <c r="E471" t="s">
        <v>1306</v>
      </c>
      <c r="F471" t="s">
        <v>1378</v>
      </c>
      <c r="G471" t="s">
        <v>1461</v>
      </c>
      <c r="H471" t="s">
        <v>1639</v>
      </c>
      <c r="I471" t="s">
        <v>1106</v>
      </c>
      <c r="J471" t="s">
        <v>31</v>
      </c>
      <c r="K471" t="s">
        <v>35</v>
      </c>
      <c r="L471" t="s">
        <v>11</v>
      </c>
      <c r="M471" t="s">
        <v>18</v>
      </c>
      <c r="N471">
        <v>0</v>
      </c>
      <c r="O471" s="18" t="s">
        <v>20</v>
      </c>
      <c r="P471" s="18" t="s">
        <v>24</v>
      </c>
      <c r="S471" t="s">
        <v>47</v>
      </c>
      <c r="T471" t="s">
        <v>53</v>
      </c>
      <c r="W471">
        <v>28</v>
      </c>
      <c r="X471">
        <v>26</v>
      </c>
      <c r="AA471">
        <v>5.9642857142857144</v>
      </c>
      <c r="AB471">
        <v>10.057177804773335</v>
      </c>
      <c r="AC471">
        <v>6.9615384615384617</v>
      </c>
      <c r="AD471">
        <v>10.835057062076856</v>
      </c>
      <c r="AE471" t="s">
        <v>71</v>
      </c>
      <c r="AF471" t="s">
        <v>61</v>
      </c>
      <c r="AG471" t="str">
        <f>IF(AE471="mean", "mean", "")</f>
        <v>mean</v>
      </c>
      <c r="AH471" t="s">
        <v>213</v>
      </c>
      <c r="AS471" t="s">
        <v>849</v>
      </c>
      <c r="AT471" t="s">
        <v>849</v>
      </c>
      <c r="AV471" t="s">
        <v>1803</v>
      </c>
      <c r="AW471" t="s">
        <v>1815</v>
      </c>
      <c r="AX471" t="s">
        <v>1805</v>
      </c>
      <c r="AY471" t="s">
        <v>1806</v>
      </c>
      <c r="AZ471" t="s">
        <v>76</v>
      </c>
    </row>
    <row r="472" spans="1:52" x14ac:dyDescent="0.2">
      <c r="A472" t="s">
        <v>1178</v>
      </c>
      <c r="B472" t="s">
        <v>1179</v>
      </c>
      <c r="D472">
        <v>2009</v>
      </c>
      <c r="E472" t="s">
        <v>1307</v>
      </c>
      <c r="F472" t="s">
        <v>1379</v>
      </c>
      <c r="G472" t="s">
        <v>1462</v>
      </c>
      <c r="H472" t="s">
        <v>1640</v>
      </c>
      <c r="I472" t="s">
        <v>440</v>
      </c>
      <c r="J472" t="s">
        <v>31</v>
      </c>
      <c r="K472" t="s">
        <v>34</v>
      </c>
      <c r="O472" s="18" t="s">
        <v>20</v>
      </c>
      <c r="P472" s="18" t="s">
        <v>24</v>
      </c>
      <c r="Q472" t="s">
        <v>37</v>
      </c>
      <c r="R472" t="s">
        <v>40</v>
      </c>
      <c r="S472" t="s">
        <v>47</v>
      </c>
      <c r="T472" t="s">
        <v>50</v>
      </c>
      <c r="U472">
        <v>1135</v>
      </c>
      <c r="V472">
        <v>1</v>
      </c>
      <c r="AG472" t="s">
        <v>4</v>
      </c>
      <c r="AH472" t="s">
        <v>214</v>
      </c>
      <c r="AN472">
        <v>100</v>
      </c>
      <c r="AO472">
        <v>2.5999999999999999E-2</v>
      </c>
      <c r="AS472" t="s">
        <v>849</v>
      </c>
      <c r="AT472" t="s">
        <v>849</v>
      </c>
      <c r="AV472" t="s">
        <v>1803</v>
      </c>
      <c r="AW472" t="s">
        <v>1815</v>
      </c>
      <c r="AX472" t="s">
        <v>1805</v>
      </c>
      <c r="AY472" t="s">
        <v>1806</v>
      </c>
      <c r="AZ472" t="s">
        <v>76</v>
      </c>
    </row>
    <row r="473" spans="1:52" x14ac:dyDescent="0.2">
      <c r="A473" t="s">
        <v>1180</v>
      </c>
      <c r="B473" t="s">
        <v>1181</v>
      </c>
      <c r="C473" t="s">
        <v>1182</v>
      </c>
      <c r="D473">
        <v>2010</v>
      </c>
      <c r="E473" t="s">
        <v>1308</v>
      </c>
      <c r="F473" t="s">
        <v>1380</v>
      </c>
      <c r="G473" t="s">
        <v>1463</v>
      </c>
      <c r="H473" t="s">
        <v>1641</v>
      </c>
      <c r="I473" t="s">
        <v>1090</v>
      </c>
      <c r="J473" t="s">
        <v>82</v>
      </c>
      <c r="K473" t="s">
        <v>35</v>
      </c>
      <c r="L473" t="s">
        <v>11</v>
      </c>
      <c r="M473" t="s">
        <v>19</v>
      </c>
      <c r="N473">
        <v>0</v>
      </c>
      <c r="O473" s="18" t="s">
        <v>20</v>
      </c>
      <c r="P473" s="18" t="s">
        <v>27</v>
      </c>
      <c r="S473" t="s">
        <v>47</v>
      </c>
      <c r="T473" t="s">
        <v>49</v>
      </c>
      <c r="U473">
        <v>1019</v>
      </c>
      <c r="V473">
        <v>3</v>
      </c>
      <c r="W473">
        <v>50</v>
      </c>
      <c r="X473">
        <v>50</v>
      </c>
      <c r="Y473">
        <v>48</v>
      </c>
      <c r="Z473">
        <v>2</v>
      </c>
      <c r="AG473" t="s">
        <v>1790</v>
      </c>
      <c r="AH473" t="s">
        <v>213</v>
      </c>
      <c r="AS473" t="s">
        <v>849</v>
      </c>
      <c r="AT473" t="s">
        <v>849</v>
      </c>
      <c r="AV473" t="s">
        <v>1803</v>
      </c>
      <c r="AW473" t="s">
        <v>1807</v>
      </c>
      <c r="AX473" t="s">
        <v>1808</v>
      </c>
      <c r="AY473" t="s">
        <v>1811</v>
      </c>
      <c r="AZ473" t="s">
        <v>76</v>
      </c>
    </row>
    <row r="474" spans="1:52" x14ac:dyDescent="0.2">
      <c r="A474" t="s">
        <v>1180</v>
      </c>
      <c r="B474" t="s">
        <v>1181</v>
      </c>
      <c r="C474" t="s">
        <v>1182</v>
      </c>
      <c r="D474">
        <v>2010</v>
      </c>
      <c r="E474" t="s">
        <v>1308</v>
      </c>
      <c r="F474" t="s">
        <v>1380</v>
      </c>
      <c r="G474" t="s">
        <v>1463</v>
      </c>
      <c r="H474" t="s">
        <v>1642</v>
      </c>
      <c r="I474" t="s">
        <v>1090</v>
      </c>
      <c r="J474" t="s">
        <v>82</v>
      </c>
      <c r="K474" t="s">
        <v>35</v>
      </c>
      <c r="L474" t="s">
        <v>11</v>
      </c>
      <c r="M474" t="s">
        <v>19</v>
      </c>
      <c r="N474">
        <v>0</v>
      </c>
      <c r="O474" s="18" t="s">
        <v>20</v>
      </c>
      <c r="P474" s="18" t="s">
        <v>27</v>
      </c>
      <c r="S474" t="s">
        <v>47</v>
      </c>
      <c r="T474" t="s">
        <v>49</v>
      </c>
      <c r="U474">
        <v>1019</v>
      </c>
      <c r="V474">
        <v>3</v>
      </c>
      <c r="W474">
        <v>50</v>
      </c>
      <c r="X474">
        <v>50</v>
      </c>
      <c r="Y474">
        <v>11</v>
      </c>
      <c r="Z474">
        <v>39</v>
      </c>
      <c r="AG474" t="s">
        <v>1790</v>
      </c>
      <c r="AH474" t="s">
        <v>213</v>
      </c>
      <c r="AS474" t="s">
        <v>849</v>
      </c>
      <c r="AT474" t="s">
        <v>849</v>
      </c>
      <c r="AV474" t="s">
        <v>1803</v>
      </c>
      <c r="AW474" t="s">
        <v>1807</v>
      </c>
      <c r="AX474" t="s">
        <v>1808</v>
      </c>
      <c r="AY474" t="s">
        <v>1811</v>
      </c>
      <c r="AZ474" t="s">
        <v>76</v>
      </c>
    </row>
    <row r="475" spans="1:52" x14ac:dyDescent="0.2">
      <c r="A475" t="s">
        <v>1183</v>
      </c>
      <c r="B475" t="s">
        <v>1184</v>
      </c>
      <c r="C475" t="s">
        <v>1185</v>
      </c>
      <c r="D475">
        <v>2015</v>
      </c>
      <c r="E475" t="s">
        <v>1309</v>
      </c>
      <c r="F475" t="s">
        <v>1381</v>
      </c>
      <c r="G475" t="s">
        <v>1464</v>
      </c>
      <c r="H475" t="s">
        <v>1643</v>
      </c>
      <c r="I475" t="s">
        <v>1090</v>
      </c>
      <c r="J475" t="s">
        <v>82</v>
      </c>
      <c r="K475" t="s">
        <v>35</v>
      </c>
      <c r="L475" t="s">
        <v>11</v>
      </c>
      <c r="M475" t="s">
        <v>19</v>
      </c>
      <c r="N475">
        <v>0</v>
      </c>
      <c r="O475" s="18" t="s">
        <v>20</v>
      </c>
      <c r="P475" s="18" t="s">
        <v>23</v>
      </c>
      <c r="S475" t="s">
        <v>47</v>
      </c>
      <c r="T475" t="s">
        <v>49</v>
      </c>
      <c r="U475">
        <v>4</v>
      </c>
      <c r="V475">
        <v>3</v>
      </c>
      <c r="W475">
        <v>40</v>
      </c>
      <c r="X475">
        <v>40</v>
      </c>
      <c r="AA475">
        <v>113.763440860215</v>
      </c>
      <c r="AB475">
        <v>32.642866169480101</v>
      </c>
      <c r="AC475">
        <v>231.32616487455201</v>
      </c>
      <c r="AD475">
        <v>65.285732338960202</v>
      </c>
      <c r="AE475" t="s">
        <v>71</v>
      </c>
      <c r="AF475" t="s">
        <v>61</v>
      </c>
      <c r="AG475" t="str">
        <f>IF(AE475="mean", "mean", "")</f>
        <v>mean</v>
      </c>
      <c r="AH475" t="s">
        <v>213</v>
      </c>
      <c r="AS475" t="s">
        <v>849</v>
      </c>
      <c r="AT475" t="s">
        <v>849</v>
      </c>
      <c r="AV475" t="s">
        <v>1803</v>
      </c>
      <c r="AW475" t="s">
        <v>1807</v>
      </c>
      <c r="AX475" t="s">
        <v>1808</v>
      </c>
      <c r="AY475" t="s">
        <v>1811</v>
      </c>
      <c r="AZ475" t="s">
        <v>76</v>
      </c>
    </row>
    <row r="476" spans="1:52" x14ac:dyDescent="0.2">
      <c r="A476" t="s">
        <v>1186</v>
      </c>
      <c r="B476" t="s">
        <v>1187</v>
      </c>
      <c r="C476" t="s">
        <v>1188</v>
      </c>
      <c r="D476">
        <v>2007</v>
      </c>
      <c r="E476" t="s">
        <v>1310</v>
      </c>
      <c r="F476" t="s">
        <v>1382</v>
      </c>
      <c r="G476" t="s">
        <v>1465</v>
      </c>
      <c r="H476" t="s">
        <v>1644</v>
      </c>
      <c r="I476" t="s">
        <v>1786</v>
      </c>
      <c r="J476" t="s">
        <v>1189</v>
      </c>
      <c r="K476" t="s">
        <v>34</v>
      </c>
      <c r="O476" s="18" t="s">
        <v>21</v>
      </c>
      <c r="P476" s="18" t="s">
        <v>75</v>
      </c>
      <c r="Q476" t="s">
        <v>37</v>
      </c>
      <c r="R476" t="s">
        <v>2272</v>
      </c>
      <c r="S476" t="s">
        <v>47</v>
      </c>
      <c r="T476" t="s">
        <v>50</v>
      </c>
      <c r="U476">
        <v>339</v>
      </c>
      <c r="V476">
        <v>1</v>
      </c>
      <c r="AG476" t="s">
        <v>4</v>
      </c>
      <c r="AH476" t="s">
        <v>214</v>
      </c>
      <c r="AN476">
        <v>23</v>
      </c>
      <c r="AO476">
        <v>2.5999999999999999E-2</v>
      </c>
      <c r="AS476" t="s">
        <v>849</v>
      </c>
      <c r="AT476" t="s">
        <v>849</v>
      </c>
      <c r="AV476" t="s">
        <v>1803</v>
      </c>
      <c r="AW476" t="s">
        <v>1815</v>
      </c>
      <c r="AX476" t="s">
        <v>23</v>
      </c>
      <c r="AY476" t="s">
        <v>1806</v>
      </c>
      <c r="AZ476" t="s">
        <v>76</v>
      </c>
    </row>
    <row r="477" spans="1:52" x14ac:dyDescent="0.2">
      <c r="A477" t="s">
        <v>1186</v>
      </c>
      <c r="B477" t="s">
        <v>1187</v>
      </c>
      <c r="C477" t="s">
        <v>1188</v>
      </c>
      <c r="D477">
        <v>2007</v>
      </c>
      <c r="E477" t="s">
        <v>1310</v>
      </c>
      <c r="F477" t="s">
        <v>1382</v>
      </c>
      <c r="G477" t="s">
        <v>1465</v>
      </c>
      <c r="H477" t="s">
        <v>1645</v>
      </c>
      <c r="I477" t="s">
        <v>1786</v>
      </c>
      <c r="J477" t="s">
        <v>1189</v>
      </c>
      <c r="K477" t="s">
        <v>34</v>
      </c>
      <c r="O477" s="18" t="s">
        <v>21</v>
      </c>
      <c r="P477" s="18" t="s">
        <v>75</v>
      </c>
      <c r="Q477" t="s">
        <v>37</v>
      </c>
      <c r="R477" t="s">
        <v>2273</v>
      </c>
      <c r="S477" t="s">
        <v>47</v>
      </c>
      <c r="T477" t="s">
        <v>50</v>
      </c>
      <c r="U477">
        <v>339</v>
      </c>
      <c r="V477">
        <v>1</v>
      </c>
      <c r="AG477" t="s">
        <v>4</v>
      </c>
      <c r="AH477" t="s">
        <v>214</v>
      </c>
      <c r="AN477">
        <v>23</v>
      </c>
      <c r="AO477">
        <v>-7.0000000000000001E-3</v>
      </c>
      <c r="AS477" t="s">
        <v>849</v>
      </c>
      <c r="AT477" t="s">
        <v>849</v>
      </c>
      <c r="AV477" t="s">
        <v>1803</v>
      </c>
      <c r="AW477" t="s">
        <v>1815</v>
      </c>
      <c r="AX477" t="s">
        <v>23</v>
      </c>
      <c r="AY477" t="s">
        <v>1806</v>
      </c>
      <c r="AZ477" t="s">
        <v>76</v>
      </c>
    </row>
    <row r="478" spans="1:52" x14ac:dyDescent="0.2">
      <c r="A478" t="s">
        <v>1186</v>
      </c>
      <c r="B478" t="s">
        <v>1187</v>
      </c>
      <c r="C478" t="s">
        <v>1188</v>
      </c>
      <c r="D478">
        <v>2007</v>
      </c>
      <c r="E478" t="s">
        <v>1310</v>
      </c>
      <c r="F478" t="s">
        <v>1382</v>
      </c>
      <c r="G478" t="s">
        <v>1465</v>
      </c>
      <c r="H478" t="s">
        <v>1646</v>
      </c>
      <c r="I478" t="s">
        <v>1786</v>
      </c>
      <c r="J478" t="s">
        <v>1189</v>
      </c>
      <c r="K478" t="s">
        <v>34</v>
      </c>
      <c r="O478" s="18" t="s">
        <v>21</v>
      </c>
      <c r="P478" s="18" t="s">
        <v>75</v>
      </c>
      <c r="Q478" t="s">
        <v>37</v>
      </c>
      <c r="R478" t="s">
        <v>2274</v>
      </c>
      <c r="S478" t="s">
        <v>47</v>
      </c>
      <c r="T478" t="s">
        <v>50</v>
      </c>
      <c r="U478">
        <v>339</v>
      </c>
      <c r="V478">
        <v>1</v>
      </c>
      <c r="AG478" t="s">
        <v>4</v>
      </c>
      <c r="AH478" t="s">
        <v>214</v>
      </c>
      <c r="AN478">
        <v>23</v>
      </c>
      <c r="AO478">
        <v>8.2000000000000003E-2</v>
      </c>
      <c r="AS478" t="s">
        <v>849</v>
      </c>
      <c r="AT478" t="s">
        <v>849</v>
      </c>
      <c r="AV478" t="s">
        <v>1803</v>
      </c>
      <c r="AW478" t="s">
        <v>1815</v>
      </c>
      <c r="AX478" t="s">
        <v>23</v>
      </c>
      <c r="AY478" t="s">
        <v>1806</v>
      </c>
      <c r="AZ478" t="s">
        <v>76</v>
      </c>
    </row>
    <row r="479" spans="1:52" x14ac:dyDescent="0.2">
      <c r="A479" t="s">
        <v>1186</v>
      </c>
      <c r="B479" t="s">
        <v>1187</v>
      </c>
      <c r="C479" t="s">
        <v>1188</v>
      </c>
      <c r="D479">
        <v>2007</v>
      </c>
      <c r="E479" t="s">
        <v>1310</v>
      </c>
      <c r="F479" t="s">
        <v>1382</v>
      </c>
      <c r="G479" t="s">
        <v>1465</v>
      </c>
      <c r="H479" t="s">
        <v>1647</v>
      </c>
      <c r="I479" t="s">
        <v>1786</v>
      </c>
      <c r="J479" t="s">
        <v>1189</v>
      </c>
      <c r="K479" t="s">
        <v>34</v>
      </c>
      <c r="O479" s="18" t="s">
        <v>21</v>
      </c>
      <c r="P479" s="18" t="s">
        <v>75</v>
      </c>
      <c r="Q479" t="s">
        <v>37</v>
      </c>
      <c r="R479" t="s">
        <v>2271</v>
      </c>
      <c r="S479" t="s">
        <v>47</v>
      </c>
      <c r="T479" t="s">
        <v>50</v>
      </c>
      <c r="U479">
        <v>339</v>
      </c>
      <c r="V479">
        <v>1</v>
      </c>
      <c r="AG479" t="s">
        <v>4</v>
      </c>
      <c r="AH479" t="s">
        <v>214</v>
      </c>
      <c r="AN479">
        <v>23</v>
      </c>
      <c r="AO479">
        <v>-8.7999999999999995E-2</v>
      </c>
      <c r="AS479" t="s">
        <v>849</v>
      </c>
      <c r="AT479" t="s">
        <v>849</v>
      </c>
      <c r="AV479" t="s">
        <v>1803</v>
      </c>
      <c r="AW479" t="s">
        <v>1815</v>
      </c>
      <c r="AX479" t="s">
        <v>23</v>
      </c>
      <c r="AY479" t="s">
        <v>1806</v>
      </c>
      <c r="AZ479" t="s">
        <v>76</v>
      </c>
    </row>
    <row r="480" spans="1:52" x14ac:dyDescent="0.2">
      <c r="A480" t="s">
        <v>1186</v>
      </c>
      <c r="B480" t="s">
        <v>1187</v>
      </c>
      <c r="C480" t="s">
        <v>1188</v>
      </c>
      <c r="D480">
        <v>2007</v>
      </c>
      <c r="E480" t="s">
        <v>1310</v>
      </c>
      <c r="F480" t="s">
        <v>1382</v>
      </c>
      <c r="G480" t="s">
        <v>1465</v>
      </c>
      <c r="H480" t="s">
        <v>1648</v>
      </c>
      <c r="I480" t="s">
        <v>1786</v>
      </c>
      <c r="J480" t="s">
        <v>1189</v>
      </c>
      <c r="K480" t="s">
        <v>34</v>
      </c>
      <c r="O480" s="18" t="s">
        <v>21</v>
      </c>
      <c r="P480" s="18" t="s">
        <v>75</v>
      </c>
      <c r="Q480" t="s">
        <v>37</v>
      </c>
      <c r="R480" t="s">
        <v>2272</v>
      </c>
      <c r="S480" t="s">
        <v>47</v>
      </c>
      <c r="T480" t="s">
        <v>50</v>
      </c>
      <c r="U480">
        <v>339</v>
      </c>
      <c r="V480">
        <v>1</v>
      </c>
      <c r="AG480" t="s">
        <v>4</v>
      </c>
      <c r="AH480" t="s">
        <v>214</v>
      </c>
      <c r="AN480">
        <v>28</v>
      </c>
      <c r="AO480">
        <v>0.61299999999999999</v>
      </c>
      <c r="AS480" t="s">
        <v>849</v>
      </c>
      <c r="AT480" t="s">
        <v>849</v>
      </c>
      <c r="AV480" t="s">
        <v>1803</v>
      </c>
      <c r="AW480" t="s">
        <v>1815</v>
      </c>
      <c r="AX480" t="s">
        <v>23</v>
      </c>
      <c r="AY480" t="s">
        <v>1806</v>
      </c>
      <c r="AZ480" t="s">
        <v>76</v>
      </c>
    </row>
    <row r="481" spans="1:52" x14ac:dyDescent="0.2">
      <c r="A481" t="s">
        <v>1186</v>
      </c>
      <c r="B481" t="s">
        <v>1187</v>
      </c>
      <c r="C481" t="s">
        <v>1188</v>
      </c>
      <c r="D481">
        <v>2007</v>
      </c>
      <c r="E481" t="s">
        <v>1310</v>
      </c>
      <c r="F481" t="s">
        <v>1382</v>
      </c>
      <c r="G481" t="s">
        <v>1465</v>
      </c>
      <c r="H481" t="s">
        <v>1649</v>
      </c>
      <c r="I481" t="s">
        <v>1786</v>
      </c>
      <c r="J481" t="s">
        <v>1189</v>
      </c>
      <c r="K481" t="s">
        <v>34</v>
      </c>
      <c r="O481" s="18" t="s">
        <v>21</v>
      </c>
      <c r="P481" s="18" t="s">
        <v>75</v>
      </c>
      <c r="Q481" t="s">
        <v>37</v>
      </c>
      <c r="R481" t="s">
        <v>2273</v>
      </c>
      <c r="S481" t="s">
        <v>47</v>
      </c>
      <c r="T481" t="s">
        <v>50</v>
      </c>
      <c r="U481">
        <v>339</v>
      </c>
      <c r="V481">
        <v>1</v>
      </c>
      <c r="AG481" t="s">
        <v>4</v>
      </c>
      <c r="AH481" t="s">
        <v>214</v>
      </c>
      <c r="AN481">
        <v>28</v>
      </c>
      <c r="AO481">
        <v>0.61699999999999999</v>
      </c>
      <c r="AS481" t="s">
        <v>849</v>
      </c>
      <c r="AT481" t="s">
        <v>849</v>
      </c>
      <c r="AV481" t="s">
        <v>1803</v>
      </c>
      <c r="AW481" t="s">
        <v>1815</v>
      </c>
      <c r="AX481" t="s">
        <v>23</v>
      </c>
      <c r="AY481" t="s">
        <v>1806</v>
      </c>
      <c r="AZ481" t="s">
        <v>76</v>
      </c>
    </row>
    <row r="482" spans="1:52" x14ac:dyDescent="0.2">
      <c r="A482" t="s">
        <v>1186</v>
      </c>
      <c r="B482" t="s">
        <v>1187</v>
      </c>
      <c r="C482" t="s">
        <v>1188</v>
      </c>
      <c r="D482">
        <v>2007</v>
      </c>
      <c r="E482" t="s">
        <v>1310</v>
      </c>
      <c r="F482" t="s">
        <v>1382</v>
      </c>
      <c r="G482" t="s">
        <v>1465</v>
      </c>
      <c r="H482" t="s">
        <v>1650</v>
      </c>
      <c r="I482" t="s">
        <v>1786</v>
      </c>
      <c r="J482" t="s">
        <v>1189</v>
      </c>
      <c r="K482" t="s">
        <v>34</v>
      </c>
      <c r="O482" s="18" t="s">
        <v>21</v>
      </c>
      <c r="P482" s="18" t="s">
        <v>75</v>
      </c>
      <c r="Q482" t="s">
        <v>37</v>
      </c>
      <c r="R482" t="s">
        <v>2274</v>
      </c>
      <c r="S482" t="s">
        <v>47</v>
      </c>
      <c r="T482" t="s">
        <v>50</v>
      </c>
      <c r="U482">
        <v>339</v>
      </c>
      <c r="V482">
        <v>1</v>
      </c>
      <c r="AG482" t="s">
        <v>4</v>
      </c>
      <c r="AH482" t="s">
        <v>214</v>
      </c>
      <c r="AN482">
        <v>28</v>
      </c>
      <c r="AO482">
        <v>0.371</v>
      </c>
      <c r="AS482" t="s">
        <v>849</v>
      </c>
      <c r="AT482" t="s">
        <v>849</v>
      </c>
      <c r="AV482" t="s">
        <v>1803</v>
      </c>
      <c r="AW482" t="s">
        <v>1815</v>
      </c>
      <c r="AX482" t="s">
        <v>23</v>
      </c>
      <c r="AY482" t="s">
        <v>1806</v>
      </c>
      <c r="AZ482" t="s">
        <v>76</v>
      </c>
    </row>
    <row r="483" spans="1:52" x14ac:dyDescent="0.2">
      <c r="A483" t="s">
        <v>1186</v>
      </c>
      <c r="B483" t="s">
        <v>1187</v>
      </c>
      <c r="C483" t="s">
        <v>1188</v>
      </c>
      <c r="D483">
        <v>2007</v>
      </c>
      <c r="E483" t="s">
        <v>1310</v>
      </c>
      <c r="F483" t="s">
        <v>1382</v>
      </c>
      <c r="G483" t="s">
        <v>1465</v>
      </c>
      <c r="H483" t="s">
        <v>1651</v>
      </c>
      <c r="I483" t="s">
        <v>1786</v>
      </c>
      <c r="J483" t="s">
        <v>1189</v>
      </c>
      <c r="K483" t="s">
        <v>34</v>
      </c>
      <c r="O483" s="18" t="s">
        <v>21</v>
      </c>
      <c r="P483" s="18" t="s">
        <v>75</v>
      </c>
      <c r="Q483" t="s">
        <v>37</v>
      </c>
      <c r="R483" t="s">
        <v>2271</v>
      </c>
      <c r="S483" t="s">
        <v>47</v>
      </c>
      <c r="T483" t="s">
        <v>50</v>
      </c>
      <c r="U483">
        <v>339</v>
      </c>
      <c r="V483">
        <v>1</v>
      </c>
      <c r="AG483" t="s">
        <v>4</v>
      </c>
      <c r="AH483" t="s">
        <v>214</v>
      </c>
      <c r="AN483">
        <v>28</v>
      </c>
      <c r="AO483">
        <v>0.29799999999999999</v>
      </c>
      <c r="AS483" t="s">
        <v>849</v>
      </c>
      <c r="AT483" t="s">
        <v>849</v>
      </c>
      <c r="AV483" t="s">
        <v>1803</v>
      </c>
      <c r="AW483" t="s">
        <v>1815</v>
      </c>
      <c r="AX483" t="s">
        <v>23</v>
      </c>
      <c r="AY483" t="s">
        <v>1806</v>
      </c>
      <c r="AZ483" t="s">
        <v>76</v>
      </c>
    </row>
    <row r="484" spans="1:52" x14ac:dyDescent="0.2">
      <c r="A484" t="s">
        <v>1190</v>
      </c>
      <c r="B484" t="s">
        <v>1191</v>
      </c>
      <c r="C484" t="s">
        <v>1192</v>
      </c>
      <c r="D484">
        <v>2014</v>
      </c>
      <c r="E484" t="s">
        <v>1311</v>
      </c>
      <c r="F484" t="s">
        <v>1383</v>
      </c>
      <c r="G484" t="s">
        <v>1466</v>
      </c>
      <c r="H484" t="s">
        <v>1652</v>
      </c>
      <c r="I484" t="s">
        <v>1094</v>
      </c>
      <c r="J484" t="s">
        <v>31</v>
      </c>
      <c r="K484" t="s">
        <v>35</v>
      </c>
      <c r="L484" t="s">
        <v>11</v>
      </c>
      <c r="M484" t="s">
        <v>15</v>
      </c>
      <c r="N484">
        <v>1</v>
      </c>
      <c r="O484" s="18" t="s">
        <v>20</v>
      </c>
      <c r="P484" s="18" t="s">
        <v>27</v>
      </c>
      <c r="S484" t="s">
        <v>47</v>
      </c>
      <c r="T484" t="s">
        <v>53</v>
      </c>
      <c r="W484">
        <v>21</v>
      </c>
      <c r="X484">
        <v>28</v>
      </c>
      <c r="Y484">
        <v>19</v>
      </c>
      <c r="Z484">
        <v>19</v>
      </c>
      <c r="AG484" t="s">
        <v>1790</v>
      </c>
      <c r="AH484" t="s">
        <v>213</v>
      </c>
      <c r="AS484" t="s">
        <v>849</v>
      </c>
      <c r="AT484" t="s">
        <v>849</v>
      </c>
      <c r="AV484" t="s">
        <v>1803</v>
      </c>
      <c r="AW484" t="s">
        <v>1815</v>
      </c>
      <c r="AX484" t="s">
        <v>1821</v>
      </c>
      <c r="AY484" t="s">
        <v>1806</v>
      </c>
      <c r="AZ484" t="s">
        <v>76</v>
      </c>
    </row>
    <row r="485" spans="1:52" x14ac:dyDescent="0.2">
      <c r="A485" t="s">
        <v>1193</v>
      </c>
      <c r="B485" t="s">
        <v>1194</v>
      </c>
      <c r="C485" t="s">
        <v>1195</v>
      </c>
      <c r="D485">
        <v>2018</v>
      </c>
      <c r="E485" t="s">
        <v>1312</v>
      </c>
      <c r="F485" t="s">
        <v>1384</v>
      </c>
      <c r="G485" t="s">
        <v>1467</v>
      </c>
      <c r="H485" t="s">
        <v>1653</v>
      </c>
      <c r="I485" t="s">
        <v>1775</v>
      </c>
      <c r="J485" t="s">
        <v>29</v>
      </c>
      <c r="K485" t="s">
        <v>35</v>
      </c>
      <c r="L485" t="s">
        <v>11</v>
      </c>
      <c r="M485" t="s">
        <v>19</v>
      </c>
      <c r="N485">
        <v>0</v>
      </c>
      <c r="O485" s="18" t="s">
        <v>20</v>
      </c>
      <c r="P485" s="18" t="s">
        <v>25</v>
      </c>
      <c r="S485" t="s">
        <v>48</v>
      </c>
      <c r="T485" t="s">
        <v>53</v>
      </c>
      <c r="W485">
        <v>10</v>
      </c>
      <c r="X485">
        <v>7</v>
      </c>
      <c r="AA485">
        <v>0.26302373869344314</v>
      </c>
      <c r="AB485">
        <v>0.11050190759502501</v>
      </c>
      <c r="AC485">
        <v>0.19281955816328486</v>
      </c>
      <c r="AD485">
        <v>5.6819867212345811E-2</v>
      </c>
      <c r="AE485" t="s">
        <v>71</v>
      </c>
      <c r="AF485" t="s">
        <v>61</v>
      </c>
      <c r="AG485" t="str">
        <f t="shared" ref="AG485:AG491" si="15">IF(AE485="mean", "mean", "")</f>
        <v>mean</v>
      </c>
      <c r="AH485" t="s">
        <v>213</v>
      </c>
      <c r="AS485" t="s">
        <v>849</v>
      </c>
      <c r="AT485" t="s">
        <v>849</v>
      </c>
      <c r="AV485" t="s">
        <v>1803</v>
      </c>
      <c r="AW485" t="s">
        <v>1815</v>
      </c>
      <c r="AX485" t="s">
        <v>1808</v>
      </c>
      <c r="AY485" t="s">
        <v>1814</v>
      </c>
      <c r="AZ485" t="s">
        <v>76</v>
      </c>
    </row>
    <row r="486" spans="1:52" x14ac:dyDescent="0.2">
      <c r="A486" t="s">
        <v>1193</v>
      </c>
      <c r="B486" t="s">
        <v>1194</v>
      </c>
      <c r="C486" t="s">
        <v>1195</v>
      </c>
      <c r="D486">
        <v>2018</v>
      </c>
      <c r="E486" t="s">
        <v>1312</v>
      </c>
      <c r="F486" t="s">
        <v>1384</v>
      </c>
      <c r="G486" t="s">
        <v>1467</v>
      </c>
      <c r="H486" t="s">
        <v>1654</v>
      </c>
      <c r="I486" t="s">
        <v>1775</v>
      </c>
      <c r="J486" t="s">
        <v>29</v>
      </c>
      <c r="K486" t="s">
        <v>35</v>
      </c>
      <c r="L486" t="s">
        <v>11</v>
      </c>
      <c r="M486" t="s">
        <v>19</v>
      </c>
      <c r="N486">
        <v>0</v>
      </c>
      <c r="O486" s="18" t="s">
        <v>20</v>
      </c>
      <c r="P486" s="18" t="s">
        <v>25</v>
      </c>
      <c r="S486" t="s">
        <v>48</v>
      </c>
      <c r="T486" t="s">
        <v>53</v>
      </c>
      <c r="W486">
        <v>10</v>
      </c>
      <c r="X486">
        <v>8</v>
      </c>
      <c r="AA486">
        <v>0.26302373869344314</v>
      </c>
      <c r="AB486">
        <v>0.11050190759502501</v>
      </c>
      <c r="AC486">
        <v>0.16789168197566948</v>
      </c>
      <c r="AD486">
        <v>7.3463049210421447E-2</v>
      </c>
      <c r="AE486" t="s">
        <v>71</v>
      </c>
      <c r="AF486" t="s">
        <v>61</v>
      </c>
      <c r="AG486" t="str">
        <f t="shared" si="15"/>
        <v>mean</v>
      </c>
      <c r="AH486" t="s">
        <v>213</v>
      </c>
      <c r="AS486" t="s">
        <v>849</v>
      </c>
      <c r="AT486" t="s">
        <v>849</v>
      </c>
      <c r="AV486" t="s">
        <v>1803</v>
      </c>
      <c r="AW486" t="s">
        <v>1815</v>
      </c>
      <c r="AX486" t="s">
        <v>1808</v>
      </c>
      <c r="AY486" t="s">
        <v>1814</v>
      </c>
      <c r="AZ486" t="s">
        <v>76</v>
      </c>
    </row>
    <row r="487" spans="1:52" x14ac:dyDescent="0.2">
      <c r="A487" t="s">
        <v>1196</v>
      </c>
      <c r="B487" t="s">
        <v>1197</v>
      </c>
      <c r="C487" t="s">
        <v>1198</v>
      </c>
      <c r="D487">
        <v>2014</v>
      </c>
      <c r="E487" t="s">
        <v>1313</v>
      </c>
      <c r="F487" t="s">
        <v>1385</v>
      </c>
      <c r="G487" t="s">
        <v>1468</v>
      </c>
      <c r="H487" t="s">
        <v>1655</v>
      </c>
      <c r="I487" t="s">
        <v>512</v>
      </c>
      <c r="J487" t="s">
        <v>83</v>
      </c>
      <c r="K487" t="s">
        <v>35</v>
      </c>
      <c r="L487" t="s">
        <v>11</v>
      </c>
      <c r="M487" t="s">
        <v>18</v>
      </c>
      <c r="N487">
        <v>0</v>
      </c>
      <c r="O487" s="18" t="s">
        <v>21</v>
      </c>
      <c r="P487" s="18" t="s">
        <v>74</v>
      </c>
      <c r="S487" t="s">
        <v>47</v>
      </c>
      <c r="T487" t="s">
        <v>53</v>
      </c>
      <c r="W487">
        <v>192</v>
      </c>
      <c r="X487">
        <v>211</v>
      </c>
      <c r="AA487">
        <v>0.65855436279289237</v>
      </c>
      <c r="AB487">
        <v>0.33305948792947726</v>
      </c>
      <c r="AC487">
        <v>0.61836027876753974</v>
      </c>
      <c r="AD487">
        <v>0.3252924428992286</v>
      </c>
      <c r="AE487" t="s">
        <v>71</v>
      </c>
      <c r="AF487" t="s">
        <v>61</v>
      </c>
      <c r="AG487" t="str">
        <f t="shared" si="15"/>
        <v>mean</v>
      </c>
      <c r="AH487" t="s">
        <v>213</v>
      </c>
      <c r="AS487" t="s">
        <v>849</v>
      </c>
      <c r="AT487" t="s">
        <v>849</v>
      </c>
      <c r="AV487" t="s">
        <v>1803</v>
      </c>
      <c r="AW487" t="s">
        <v>1815</v>
      </c>
      <c r="AX487" t="s">
        <v>1816</v>
      </c>
      <c r="AY487" t="s">
        <v>1814</v>
      </c>
      <c r="AZ487" t="s">
        <v>76</v>
      </c>
    </row>
    <row r="488" spans="1:52" x14ac:dyDescent="0.2">
      <c r="A488" t="s">
        <v>1196</v>
      </c>
      <c r="B488" t="s">
        <v>1197</v>
      </c>
      <c r="C488" t="s">
        <v>1198</v>
      </c>
      <c r="D488">
        <v>2014</v>
      </c>
      <c r="E488" t="s">
        <v>1313</v>
      </c>
      <c r="F488" t="s">
        <v>1385</v>
      </c>
      <c r="G488" t="s">
        <v>1468</v>
      </c>
      <c r="H488" t="s">
        <v>1656</v>
      </c>
      <c r="I488" t="s">
        <v>512</v>
      </c>
      <c r="J488" t="s">
        <v>83</v>
      </c>
      <c r="K488" t="s">
        <v>35</v>
      </c>
      <c r="L488" t="s">
        <v>11</v>
      </c>
      <c r="M488" t="s">
        <v>18</v>
      </c>
      <c r="N488">
        <v>0</v>
      </c>
      <c r="O488" s="18" t="s">
        <v>21</v>
      </c>
      <c r="P488" s="18" t="s">
        <v>74</v>
      </c>
      <c r="S488" t="s">
        <v>47</v>
      </c>
      <c r="T488" t="s">
        <v>53</v>
      </c>
      <c r="W488">
        <v>192</v>
      </c>
      <c r="X488">
        <v>214</v>
      </c>
      <c r="AA488">
        <v>0.65855436279289237</v>
      </c>
      <c r="AB488">
        <v>0.33305948792947726</v>
      </c>
      <c r="AC488">
        <v>0.67461407910617199</v>
      </c>
      <c r="AD488">
        <v>0.32526684150323609</v>
      </c>
      <c r="AE488" t="s">
        <v>71</v>
      </c>
      <c r="AF488" t="s">
        <v>61</v>
      </c>
      <c r="AG488" t="str">
        <f t="shared" si="15"/>
        <v>mean</v>
      </c>
      <c r="AH488" t="s">
        <v>213</v>
      </c>
      <c r="AS488" t="s">
        <v>849</v>
      </c>
      <c r="AT488" t="s">
        <v>849</v>
      </c>
      <c r="AV488" t="s">
        <v>1803</v>
      </c>
      <c r="AW488" t="s">
        <v>1815</v>
      </c>
      <c r="AX488" t="s">
        <v>1816</v>
      </c>
      <c r="AY488" t="s">
        <v>1814</v>
      </c>
      <c r="AZ488" t="s">
        <v>76</v>
      </c>
    </row>
    <row r="489" spans="1:52" x14ac:dyDescent="0.2">
      <c r="A489" t="s">
        <v>1196</v>
      </c>
      <c r="B489" t="s">
        <v>1197</v>
      </c>
      <c r="C489" t="s">
        <v>1198</v>
      </c>
      <c r="D489">
        <v>2014</v>
      </c>
      <c r="E489" t="s">
        <v>1313</v>
      </c>
      <c r="F489" t="s">
        <v>1385</v>
      </c>
      <c r="G489" t="s">
        <v>1468</v>
      </c>
      <c r="H489" t="s">
        <v>1657</v>
      </c>
      <c r="I489" t="s">
        <v>512</v>
      </c>
      <c r="J489" t="s">
        <v>83</v>
      </c>
      <c r="K489" t="s">
        <v>35</v>
      </c>
      <c r="L489" t="s">
        <v>11</v>
      </c>
      <c r="M489" t="s">
        <v>18</v>
      </c>
      <c r="N489">
        <v>0</v>
      </c>
      <c r="O489" s="18" t="s">
        <v>21</v>
      </c>
      <c r="P489" s="18" t="s">
        <v>74</v>
      </c>
      <c r="S489" t="s">
        <v>47</v>
      </c>
      <c r="T489" t="s">
        <v>53</v>
      </c>
      <c r="W489">
        <v>192</v>
      </c>
      <c r="X489">
        <v>183</v>
      </c>
      <c r="AA489">
        <v>0.65855436279289237</v>
      </c>
      <c r="AB489">
        <v>0.33305948792947726</v>
      </c>
      <c r="AC489">
        <v>0.68877426003917197</v>
      </c>
      <c r="AD489">
        <v>0.29803162957839952</v>
      </c>
      <c r="AE489" t="s">
        <v>71</v>
      </c>
      <c r="AF489" t="s">
        <v>61</v>
      </c>
      <c r="AG489" t="str">
        <f t="shared" si="15"/>
        <v>mean</v>
      </c>
      <c r="AH489" t="s">
        <v>213</v>
      </c>
      <c r="AS489" t="s">
        <v>849</v>
      </c>
      <c r="AT489" t="s">
        <v>849</v>
      </c>
      <c r="AV489" t="s">
        <v>1803</v>
      </c>
      <c r="AW489" t="s">
        <v>1815</v>
      </c>
      <c r="AX489" t="s">
        <v>1816</v>
      </c>
      <c r="AY489" t="s">
        <v>1814</v>
      </c>
      <c r="AZ489" t="s">
        <v>76</v>
      </c>
    </row>
    <row r="490" spans="1:52" x14ac:dyDescent="0.2">
      <c r="A490" t="s">
        <v>1196</v>
      </c>
      <c r="B490" t="s">
        <v>1197</v>
      </c>
      <c r="C490" t="s">
        <v>1198</v>
      </c>
      <c r="D490">
        <v>2014</v>
      </c>
      <c r="E490" t="s">
        <v>1313</v>
      </c>
      <c r="F490" t="s">
        <v>1385</v>
      </c>
      <c r="G490" t="s">
        <v>1468</v>
      </c>
      <c r="H490" t="s">
        <v>1658</v>
      </c>
      <c r="I490" t="s">
        <v>512</v>
      </c>
      <c r="J490" t="s">
        <v>83</v>
      </c>
      <c r="K490" t="s">
        <v>35</v>
      </c>
      <c r="L490" t="s">
        <v>11</v>
      </c>
      <c r="M490" t="s">
        <v>18</v>
      </c>
      <c r="N490">
        <v>0</v>
      </c>
      <c r="O490" s="18" t="s">
        <v>21</v>
      </c>
      <c r="P490" s="18" t="s">
        <v>74</v>
      </c>
      <c r="S490" t="s">
        <v>47</v>
      </c>
      <c r="T490" t="s">
        <v>53</v>
      </c>
      <c r="W490">
        <v>192</v>
      </c>
      <c r="X490">
        <v>213</v>
      </c>
      <c r="AA490">
        <v>0.65855436279289237</v>
      </c>
      <c r="AB490">
        <v>0.33305948792947726</v>
      </c>
      <c r="AC490">
        <v>0.69191114318359803</v>
      </c>
      <c r="AD490">
        <v>0.3147331746788723</v>
      </c>
      <c r="AE490" t="s">
        <v>71</v>
      </c>
      <c r="AF490" t="s">
        <v>61</v>
      </c>
      <c r="AG490" t="str">
        <f t="shared" si="15"/>
        <v>mean</v>
      </c>
      <c r="AH490" t="s">
        <v>213</v>
      </c>
      <c r="AS490" t="s">
        <v>849</v>
      </c>
      <c r="AT490" t="s">
        <v>849</v>
      </c>
      <c r="AV490" t="s">
        <v>1803</v>
      </c>
      <c r="AW490" t="s">
        <v>1815</v>
      </c>
      <c r="AX490" t="s">
        <v>1816</v>
      </c>
      <c r="AY490" t="s">
        <v>1814</v>
      </c>
      <c r="AZ490" t="s">
        <v>76</v>
      </c>
    </row>
    <row r="491" spans="1:52" x14ac:dyDescent="0.2">
      <c r="A491" t="s">
        <v>1199</v>
      </c>
      <c r="B491" t="s">
        <v>1200</v>
      </c>
      <c r="C491" t="s">
        <v>1201</v>
      </c>
      <c r="D491">
        <v>2015</v>
      </c>
      <c r="E491" t="s">
        <v>1314</v>
      </c>
      <c r="F491" t="s">
        <v>1386</v>
      </c>
      <c r="G491" t="s">
        <v>1469</v>
      </c>
      <c r="H491" t="s">
        <v>1659</v>
      </c>
      <c r="I491" t="s">
        <v>1759</v>
      </c>
      <c r="J491" t="s">
        <v>81</v>
      </c>
      <c r="K491" t="s">
        <v>35</v>
      </c>
      <c r="L491" t="s">
        <v>11</v>
      </c>
      <c r="M491" t="s">
        <v>14</v>
      </c>
      <c r="N491">
        <v>1</v>
      </c>
      <c r="O491" s="18" t="s">
        <v>21</v>
      </c>
      <c r="P491" s="18" t="s">
        <v>78</v>
      </c>
      <c r="S491" t="s">
        <v>48</v>
      </c>
      <c r="T491" t="s">
        <v>49</v>
      </c>
      <c r="U491">
        <v>8</v>
      </c>
      <c r="V491" t="s">
        <v>1202</v>
      </c>
      <c r="W491">
        <v>60</v>
      </c>
      <c r="X491">
        <v>49</v>
      </c>
      <c r="AA491">
        <v>73.138297872340402</v>
      </c>
      <c r="AB491">
        <v>5.1502438114459297</v>
      </c>
      <c r="AC491">
        <v>56.648936170212799</v>
      </c>
      <c r="AD491">
        <v>26.0353187524973</v>
      </c>
      <c r="AE491" t="s">
        <v>71</v>
      </c>
      <c r="AF491" t="s">
        <v>61</v>
      </c>
      <c r="AG491" t="str">
        <f t="shared" si="15"/>
        <v>mean</v>
      </c>
      <c r="AH491" t="s">
        <v>213</v>
      </c>
      <c r="AS491" t="s">
        <v>849</v>
      </c>
      <c r="AT491" t="s">
        <v>849</v>
      </c>
      <c r="AV491" t="s">
        <v>1803</v>
      </c>
      <c r="AW491" t="s">
        <v>1807</v>
      </c>
      <c r="AX491" t="s">
        <v>1808</v>
      </c>
      <c r="AY491" t="s">
        <v>1806</v>
      </c>
      <c r="AZ491" t="s">
        <v>1809</v>
      </c>
    </row>
    <row r="492" spans="1:52" x14ac:dyDescent="0.2">
      <c r="A492" t="s">
        <v>1203</v>
      </c>
      <c r="B492" t="s">
        <v>1204</v>
      </c>
      <c r="C492" t="s">
        <v>1205</v>
      </c>
      <c r="D492">
        <v>2013</v>
      </c>
      <c r="E492" t="s">
        <v>1315</v>
      </c>
      <c r="F492" t="s">
        <v>1387</v>
      </c>
      <c r="G492" t="s">
        <v>1470</v>
      </c>
      <c r="H492" t="s">
        <v>1660</v>
      </c>
      <c r="I492" t="s">
        <v>1206</v>
      </c>
      <c r="J492" t="s">
        <v>31</v>
      </c>
      <c r="K492" t="s">
        <v>35</v>
      </c>
      <c r="L492" t="s">
        <v>11</v>
      </c>
      <c r="M492" t="s">
        <v>19</v>
      </c>
      <c r="N492">
        <v>0</v>
      </c>
      <c r="O492" s="18" t="s">
        <v>20</v>
      </c>
      <c r="P492" s="18" t="s">
        <v>26</v>
      </c>
      <c r="S492" t="s">
        <v>47</v>
      </c>
      <c r="T492" t="s">
        <v>51</v>
      </c>
      <c r="W492">
        <v>34</v>
      </c>
      <c r="X492">
        <v>63</v>
      </c>
      <c r="Y492">
        <v>16</v>
      </c>
      <c r="Z492">
        <v>46</v>
      </c>
      <c r="AG492" t="s">
        <v>1790</v>
      </c>
      <c r="AH492" t="s">
        <v>213</v>
      </c>
      <c r="AS492" t="s">
        <v>849</v>
      </c>
      <c r="AT492" t="s">
        <v>849</v>
      </c>
      <c r="AV492" t="s">
        <v>1803</v>
      </c>
      <c r="AW492" t="s">
        <v>1815</v>
      </c>
      <c r="AX492" t="s">
        <v>1805</v>
      </c>
      <c r="AY492" t="s">
        <v>1811</v>
      </c>
      <c r="AZ492" t="s">
        <v>76</v>
      </c>
    </row>
    <row r="493" spans="1:52" x14ac:dyDescent="0.2">
      <c r="A493" t="s">
        <v>1203</v>
      </c>
      <c r="B493" t="s">
        <v>1204</v>
      </c>
      <c r="C493" t="s">
        <v>1205</v>
      </c>
      <c r="D493">
        <v>2013</v>
      </c>
      <c r="E493" t="s">
        <v>1315</v>
      </c>
      <c r="F493" t="s">
        <v>1387</v>
      </c>
      <c r="G493" t="s">
        <v>1470</v>
      </c>
      <c r="H493" t="s">
        <v>1661</v>
      </c>
      <c r="I493" t="s">
        <v>1206</v>
      </c>
      <c r="J493" t="s">
        <v>31</v>
      </c>
      <c r="K493" t="s">
        <v>35</v>
      </c>
      <c r="L493" t="s">
        <v>11</v>
      </c>
      <c r="M493" t="s">
        <v>19</v>
      </c>
      <c r="N493">
        <v>0</v>
      </c>
      <c r="O493" s="18" t="s">
        <v>20</v>
      </c>
      <c r="P493" s="18" t="s">
        <v>27</v>
      </c>
      <c r="S493" t="s">
        <v>47</v>
      </c>
      <c r="T493" t="s">
        <v>51</v>
      </c>
      <c r="W493">
        <v>30</v>
      </c>
      <c r="X493">
        <v>37</v>
      </c>
      <c r="Y493">
        <v>15</v>
      </c>
      <c r="Z493">
        <v>16</v>
      </c>
      <c r="AG493" t="s">
        <v>1790</v>
      </c>
      <c r="AH493" t="s">
        <v>213</v>
      </c>
      <c r="AS493" t="s">
        <v>849</v>
      </c>
      <c r="AT493" t="s">
        <v>849</v>
      </c>
      <c r="AV493" t="s">
        <v>1803</v>
      </c>
      <c r="AW493" t="s">
        <v>1815</v>
      </c>
      <c r="AX493" t="s">
        <v>1805</v>
      </c>
      <c r="AY493" t="s">
        <v>1811</v>
      </c>
      <c r="AZ493" t="s">
        <v>76</v>
      </c>
    </row>
    <row r="494" spans="1:52" x14ac:dyDescent="0.2">
      <c r="A494" t="s">
        <v>1207</v>
      </c>
      <c r="B494" t="s">
        <v>1208</v>
      </c>
      <c r="C494" t="s">
        <v>1209</v>
      </c>
      <c r="D494">
        <v>2000</v>
      </c>
      <c r="E494" t="s">
        <v>1316</v>
      </c>
      <c r="F494" t="s">
        <v>1388</v>
      </c>
      <c r="G494" t="s">
        <v>1471</v>
      </c>
      <c r="H494" t="s">
        <v>1662</v>
      </c>
      <c r="I494" t="s">
        <v>1054</v>
      </c>
      <c r="J494" t="s">
        <v>29</v>
      </c>
      <c r="K494" t="s">
        <v>34</v>
      </c>
      <c r="O494" s="18" t="s">
        <v>20</v>
      </c>
      <c r="P494" s="18" t="s">
        <v>25</v>
      </c>
      <c r="Q494" t="s">
        <v>38</v>
      </c>
      <c r="R494" t="s">
        <v>43</v>
      </c>
      <c r="S494" t="s">
        <v>47</v>
      </c>
      <c r="T494" t="s">
        <v>50</v>
      </c>
      <c r="U494">
        <v>2455</v>
      </c>
      <c r="V494">
        <v>1</v>
      </c>
      <c r="AG494" t="s">
        <v>4</v>
      </c>
      <c r="AH494" t="s">
        <v>214</v>
      </c>
      <c r="AN494">
        <v>82</v>
      </c>
      <c r="AO494">
        <v>0.62</v>
      </c>
      <c r="AS494" t="s">
        <v>849</v>
      </c>
      <c r="AT494" t="s">
        <v>849</v>
      </c>
      <c r="AV494" t="s">
        <v>1803</v>
      </c>
      <c r="AW494" t="s">
        <v>1804</v>
      </c>
      <c r="AX494" t="s">
        <v>1808</v>
      </c>
      <c r="AY494" t="s">
        <v>1814</v>
      </c>
      <c r="AZ494" t="s">
        <v>76</v>
      </c>
    </row>
    <row r="495" spans="1:52" x14ac:dyDescent="0.2">
      <c r="A495" t="s">
        <v>1207</v>
      </c>
      <c r="B495" t="s">
        <v>1208</v>
      </c>
      <c r="C495" t="s">
        <v>1209</v>
      </c>
      <c r="D495">
        <v>2000</v>
      </c>
      <c r="E495" t="s">
        <v>1316</v>
      </c>
      <c r="F495" t="s">
        <v>1388</v>
      </c>
      <c r="G495" t="s">
        <v>1471</v>
      </c>
      <c r="H495" t="s">
        <v>1663</v>
      </c>
      <c r="I495" t="s">
        <v>1054</v>
      </c>
      <c r="J495" t="s">
        <v>29</v>
      </c>
      <c r="K495" t="s">
        <v>34</v>
      </c>
      <c r="O495" s="18" t="s">
        <v>20</v>
      </c>
      <c r="P495" s="18" t="s">
        <v>25</v>
      </c>
      <c r="Q495" t="s">
        <v>38</v>
      </c>
      <c r="R495" t="s">
        <v>43</v>
      </c>
      <c r="S495" t="s">
        <v>47</v>
      </c>
      <c r="T495" t="s">
        <v>50</v>
      </c>
      <c r="U495">
        <v>2455</v>
      </c>
      <c r="V495">
        <v>1</v>
      </c>
      <c r="AG495" t="s">
        <v>4</v>
      </c>
      <c r="AH495" t="s">
        <v>214</v>
      </c>
      <c r="AN495">
        <v>82</v>
      </c>
      <c r="AO495">
        <v>-0.22</v>
      </c>
      <c r="AS495" t="s">
        <v>849</v>
      </c>
      <c r="AT495" t="s">
        <v>222</v>
      </c>
      <c r="AV495" t="s">
        <v>1803</v>
      </c>
      <c r="AW495" t="s">
        <v>1804</v>
      </c>
      <c r="AX495" t="s">
        <v>1808</v>
      </c>
      <c r="AY495" t="s">
        <v>1814</v>
      </c>
      <c r="AZ495" t="s">
        <v>76</v>
      </c>
    </row>
    <row r="496" spans="1:52" x14ac:dyDescent="0.2">
      <c r="A496" t="s">
        <v>1207</v>
      </c>
      <c r="B496" t="s">
        <v>1208</v>
      </c>
      <c r="C496" t="s">
        <v>1209</v>
      </c>
      <c r="D496">
        <v>2000</v>
      </c>
      <c r="E496" t="s">
        <v>1316</v>
      </c>
      <c r="F496" t="s">
        <v>1388</v>
      </c>
      <c r="G496" t="s">
        <v>1471</v>
      </c>
      <c r="H496" t="s">
        <v>1664</v>
      </c>
      <c r="I496" t="s">
        <v>1054</v>
      </c>
      <c r="J496" t="s">
        <v>29</v>
      </c>
      <c r="K496" t="s">
        <v>34</v>
      </c>
      <c r="O496" s="18" t="s">
        <v>20</v>
      </c>
      <c r="P496" s="18" t="s">
        <v>25</v>
      </c>
      <c r="Q496" t="s">
        <v>38</v>
      </c>
      <c r="R496" t="s">
        <v>43</v>
      </c>
      <c r="S496" t="s">
        <v>47</v>
      </c>
      <c r="T496" t="s">
        <v>50</v>
      </c>
      <c r="U496">
        <v>2455</v>
      </c>
      <c r="V496">
        <v>1</v>
      </c>
      <c r="AG496" t="s">
        <v>4</v>
      </c>
      <c r="AH496" t="s">
        <v>214</v>
      </c>
      <c r="AN496">
        <v>78</v>
      </c>
      <c r="AO496">
        <v>-0.23</v>
      </c>
      <c r="AS496" t="s">
        <v>849</v>
      </c>
      <c r="AT496" t="s">
        <v>222</v>
      </c>
      <c r="AV496" t="s">
        <v>1803</v>
      </c>
      <c r="AW496" t="s">
        <v>1804</v>
      </c>
      <c r="AX496" t="s">
        <v>1808</v>
      </c>
      <c r="AY496" t="s">
        <v>1814</v>
      </c>
      <c r="AZ496" t="s">
        <v>76</v>
      </c>
    </row>
    <row r="497" spans="1:52" x14ac:dyDescent="0.2">
      <c r="A497" t="s">
        <v>1207</v>
      </c>
      <c r="B497" t="s">
        <v>1208</v>
      </c>
      <c r="C497" t="s">
        <v>1209</v>
      </c>
      <c r="D497">
        <v>2000</v>
      </c>
      <c r="E497" t="s">
        <v>1316</v>
      </c>
      <c r="F497" t="s">
        <v>1388</v>
      </c>
      <c r="G497" t="s">
        <v>1471</v>
      </c>
      <c r="H497" t="s">
        <v>1665</v>
      </c>
      <c r="I497" t="s">
        <v>1054</v>
      </c>
      <c r="J497" t="s">
        <v>29</v>
      </c>
      <c r="K497" t="s">
        <v>34</v>
      </c>
      <c r="O497" s="18" t="s">
        <v>20</v>
      </c>
      <c r="P497" s="18" t="s">
        <v>25</v>
      </c>
      <c r="Q497" t="s">
        <v>37</v>
      </c>
      <c r="R497" t="s">
        <v>42</v>
      </c>
      <c r="S497" t="s">
        <v>47</v>
      </c>
      <c r="T497" t="s">
        <v>50</v>
      </c>
      <c r="U497">
        <v>2455</v>
      </c>
      <c r="V497">
        <v>1</v>
      </c>
      <c r="AG497" t="s">
        <v>4</v>
      </c>
      <c r="AH497" t="s">
        <v>214</v>
      </c>
      <c r="AN497">
        <v>81</v>
      </c>
      <c r="AO497">
        <v>0.02</v>
      </c>
      <c r="AS497" t="s">
        <v>849</v>
      </c>
      <c r="AT497" t="s">
        <v>849</v>
      </c>
      <c r="AV497" t="s">
        <v>1803</v>
      </c>
      <c r="AW497" t="s">
        <v>1804</v>
      </c>
      <c r="AX497" t="s">
        <v>1808</v>
      </c>
      <c r="AY497" t="s">
        <v>1814</v>
      </c>
      <c r="AZ497" t="s">
        <v>76</v>
      </c>
    </row>
    <row r="498" spans="1:52" x14ac:dyDescent="0.2">
      <c r="A498" t="s">
        <v>1207</v>
      </c>
      <c r="B498" t="s">
        <v>1208</v>
      </c>
      <c r="C498" t="s">
        <v>1209</v>
      </c>
      <c r="D498">
        <v>2000</v>
      </c>
      <c r="E498" t="s">
        <v>1316</v>
      </c>
      <c r="F498" t="s">
        <v>1388</v>
      </c>
      <c r="G498" t="s">
        <v>1471</v>
      </c>
      <c r="H498" t="s">
        <v>1666</v>
      </c>
      <c r="I498" t="s">
        <v>1054</v>
      </c>
      <c r="J498" t="s">
        <v>29</v>
      </c>
      <c r="K498" t="s">
        <v>34</v>
      </c>
      <c r="O498" s="18" t="s">
        <v>20</v>
      </c>
      <c r="P498" s="18" t="s">
        <v>25</v>
      </c>
      <c r="Q498" t="s">
        <v>37</v>
      </c>
      <c r="R498" t="s">
        <v>42</v>
      </c>
      <c r="S498" t="s">
        <v>47</v>
      </c>
      <c r="T498" t="s">
        <v>50</v>
      </c>
      <c r="U498">
        <v>2455</v>
      </c>
      <c r="V498">
        <v>1</v>
      </c>
      <c r="AG498" t="s">
        <v>4</v>
      </c>
      <c r="AH498" t="s">
        <v>214</v>
      </c>
      <c r="AN498">
        <v>83</v>
      </c>
      <c r="AO498">
        <v>-0.08</v>
      </c>
      <c r="AS498" t="s">
        <v>849</v>
      </c>
      <c r="AT498" t="s">
        <v>222</v>
      </c>
      <c r="AV498" t="s">
        <v>1803</v>
      </c>
      <c r="AW498" t="s">
        <v>1804</v>
      </c>
      <c r="AX498" t="s">
        <v>1808</v>
      </c>
      <c r="AY498" t="s">
        <v>1814</v>
      </c>
      <c r="AZ498" t="s">
        <v>76</v>
      </c>
    </row>
    <row r="499" spans="1:52" x14ac:dyDescent="0.2">
      <c r="A499" t="s">
        <v>1207</v>
      </c>
      <c r="B499" t="s">
        <v>1208</v>
      </c>
      <c r="C499" t="s">
        <v>1209</v>
      </c>
      <c r="D499">
        <v>2000</v>
      </c>
      <c r="E499" t="s">
        <v>1316</v>
      </c>
      <c r="F499" t="s">
        <v>1388</v>
      </c>
      <c r="G499" t="s">
        <v>1471</v>
      </c>
      <c r="H499" t="s">
        <v>1667</v>
      </c>
      <c r="I499" t="s">
        <v>1054</v>
      </c>
      <c r="J499" t="s">
        <v>29</v>
      </c>
      <c r="K499" t="s">
        <v>34</v>
      </c>
      <c r="O499" s="18" t="s">
        <v>20</v>
      </c>
      <c r="P499" s="18" t="s">
        <v>25</v>
      </c>
      <c r="Q499" t="s">
        <v>37</v>
      </c>
      <c r="R499" t="s">
        <v>42</v>
      </c>
      <c r="S499" t="s">
        <v>47</v>
      </c>
      <c r="T499" t="s">
        <v>50</v>
      </c>
      <c r="U499">
        <v>2455</v>
      </c>
      <c r="V499">
        <v>1</v>
      </c>
      <c r="AG499" t="s">
        <v>4</v>
      </c>
      <c r="AH499" t="s">
        <v>214</v>
      </c>
      <c r="AN499">
        <v>79</v>
      </c>
      <c r="AO499">
        <v>0.05</v>
      </c>
      <c r="AS499" t="s">
        <v>849</v>
      </c>
      <c r="AT499" t="s">
        <v>222</v>
      </c>
      <c r="AV499" t="s">
        <v>1803</v>
      </c>
      <c r="AW499" t="s">
        <v>1804</v>
      </c>
      <c r="AX499" t="s">
        <v>1808</v>
      </c>
      <c r="AY499" t="s">
        <v>1814</v>
      </c>
      <c r="AZ499" t="s">
        <v>76</v>
      </c>
    </row>
    <row r="500" spans="1:52" x14ac:dyDescent="0.2">
      <c r="A500" t="s">
        <v>1210</v>
      </c>
      <c r="B500" t="s">
        <v>665</v>
      </c>
      <c r="C500" t="s">
        <v>1211</v>
      </c>
      <c r="D500">
        <v>2003</v>
      </c>
      <c r="E500" t="s">
        <v>1317</v>
      </c>
      <c r="F500" t="s">
        <v>1389</v>
      </c>
      <c r="G500" t="s">
        <v>1472</v>
      </c>
      <c r="H500" t="s">
        <v>1668</v>
      </c>
      <c r="I500" t="s">
        <v>230</v>
      </c>
      <c r="J500" t="s">
        <v>31</v>
      </c>
      <c r="K500" t="s">
        <v>34</v>
      </c>
      <c r="O500" s="18" t="s">
        <v>20</v>
      </c>
      <c r="P500" s="18" t="s">
        <v>24</v>
      </c>
      <c r="Q500" t="s">
        <v>38</v>
      </c>
      <c r="R500" t="s">
        <v>43</v>
      </c>
      <c r="S500" t="s">
        <v>47</v>
      </c>
      <c r="T500" t="s">
        <v>49</v>
      </c>
      <c r="U500">
        <v>506</v>
      </c>
      <c r="V500">
        <v>2</v>
      </c>
      <c r="W500">
        <v>19</v>
      </c>
      <c r="X500">
        <v>19</v>
      </c>
      <c r="AA500">
        <v>46.291793313069903</v>
      </c>
      <c r="AB500">
        <v>15.501251562135501</v>
      </c>
      <c r="AC500">
        <v>60.607902735562298</v>
      </c>
      <c r="AD500">
        <v>12.718975640726599</v>
      </c>
      <c r="AE500" t="s">
        <v>71</v>
      </c>
      <c r="AF500" t="s">
        <v>61</v>
      </c>
      <c r="AG500" t="str">
        <f>IF(AE500="mean", "mean", "")</f>
        <v>mean</v>
      </c>
      <c r="AH500" t="s">
        <v>213</v>
      </c>
      <c r="AS500" t="s">
        <v>849</v>
      </c>
      <c r="AT500" t="s">
        <v>849</v>
      </c>
      <c r="AV500" t="s">
        <v>1803</v>
      </c>
      <c r="AW500" t="s">
        <v>1815</v>
      </c>
      <c r="AX500" t="s">
        <v>1805</v>
      </c>
      <c r="AY500" t="s">
        <v>1806</v>
      </c>
      <c r="AZ500" t="s">
        <v>76</v>
      </c>
    </row>
    <row r="501" spans="1:52" x14ac:dyDescent="0.2">
      <c r="A501" t="s">
        <v>1210</v>
      </c>
      <c r="B501" t="s">
        <v>665</v>
      </c>
      <c r="C501" t="s">
        <v>1211</v>
      </c>
      <c r="D501">
        <v>2003</v>
      </c>
      <c r="E501" t="s">
        <v>1317</v>
      </c>
      <c r="F501" t="s">
        <v>1389</v>
      </c>
      <c r="G501" t="s">
        <v>1472</v>
      </c>
      <c r="H501" t="s">
        <v>1669</v>
      </c>
      <c r="I501" t="s">
        <v>230</v>
      </c>
      <c r="J501" t="s">
        <v>31</v>
      </c>
      <c r="K501" t="s">
        <v>34</v>
      </c>
      <c r="O501" s="18" t="s">
        <v>20</v>
      </c>
      <c r="P501" s="18" t="s">
        <v>24</v>
      </c>
      <c r="Q501" t="s">
        <v>37</v>
      </c>
      <c r="R501" t="s">
        <v>40</v>
      </c>
      <c r="S501" t="s">
        <v>47</v>
      </c>
      <c r="T501" t="s">
        <v>49</v>
      </c>
      <c r="U501">
        <v>506</v>
      </c>
      <c r="V501">
        <v>3</v>
      </c>
      <c r="W501">
        <v>19</v>
      </c>
      <c r="X501">
        <v>19</v>
      </c>
      <c r="AA501">
        <v>0.18052147239263799</v>
      </c>
      <c r="AB501">
        <v>0.15643901116388301</v>
      </c>
      <c r="AC501">
        <v>0.16211656441717801</v>
      </c>
      <c r="AD501">
        <v>0.112315187502275</v>
      </c>
      <c r="AE501" t="s">
        <v>71</v>
      </c>
      <c r="AF501" t="s">
        <v>61</v>
      </c>
      <c r="AG501" t="str">
        <f>IF(AE501="mean", "mean", "")</f>
        <v>mean</v>
      </c>
      <c r="AH501" t="s">
        <v>213</v>
      </c>
      <c r="AS501" t="s">
        <v>849</v>
      </c>
      <c r="AT501" t="s">
        <v>849</v>
      </c>
      <c r="AV501" t="s">
        <v>1803</v>
      </c>
      <c r="AW501" t="s">
        <v>1815</v>
      </c>
      <c r="AX501" t="s">
        <v>1805</v>
      </c>
      <c r="AY501" t="s">
        <v>1806</v>
      </c>
      <c r="AZ501" t="s">
        <v>76</v>
      </c>
    </row>
    <row r="502" spans="1:52" x14ac:dyDescent="0.2">
      <c r="A502" t="s">
        <v>1210</v>
      </c>
      <c r="B502" t="s">
        <v>665</v>
      </c>
      <c r="C502" t="s">
        <v>1211</v>
      </c>
      <c r="D502">
        <v>2003</v>
      </c>
      <c r="E502" t="s">
        <v>1317</v>
      </c>
      <c r="F502" t="s">
        <v>1389</v>
      </c>
      <c r="G502" t="s">
        <v>1472</v>
      </c>
      <c r="H502" t="s">
        <v>1670</v>
      </c>
      <c r="I502" t="s">
        <v>230</v>
      </c>
      <c r="J502" t="s">
        <v>31</v>
      </c>
      <c r="K502" t="s">
        <v>34</v>
      </c>
      <c r="O502" s="18" t="s">
        <v>20</v>
      </c>
      <c r="P502" s="18" t="s">
        <v>24</v>
      </c>
      <c r="Q502" t="s">
        <v>38</v>
      </c>
      <c r="R502" t="s">
        <v>43</v>
      </c>
      <c r="S502" t="s">
        <v>47</v>
      </c>
      <c r="T502" t="s">
        <v>50</v>
      </c>
      <c r="U502">
        <v>507</v>
      </c>
      <c r="V502">
        <v>1</v>
      </c>
      <c r="AG502" t="s">
        <v>4</v>
      </c>
      <c r="AH502" t="s">
        <v>214</v>
      </c>
      <c r="AN502">
        <v>38</v>
      </c>
      <c r="AO502">
        <v>0.34</v>
      </c>
      <c r="AS502" t="s">
        <v>849</v>
      </c>
      <c r="AT502" t="s">
        <v>849</v>
      </c>
      <c r="AV502" t="s">
        <v>1803</v>
      </c>
      <c r="AW502" t="s">
        <v>1815</v>
      </c>
      <c r="AX502" t="s">
        <v>1805</v>
      </c>
      <c r="AY502" t="s">
        <v>1806</v>
      </c>
      <c r="AZ502" t="s">
        <v>76</v>
      </c>
    </row>
    <row r="503" spans="1:52" x14ac:dyDescent="0.2">
      <c r="A503" t="s">
        <v>1210</v>
      </c>
      <c r="B503" t="s">
        <v>665</v>
      </c>
      <c r="C503" t="s">
        <v>1211</v>
      </c>
      <c r="D503">
        <v>2003</v>
      </c>
      <c r="E503" t="s">
        <v>1317</v>
      </c>
      <c r="F503" t="s">
        <v>1389</v>
      </c>
      <c r="G503" t="s">
        <v>1472</v>
      </c>
      <c r="H503" t="s">
        <v>1671</v>
      </c>
      <c r="I503" t="s">
        <v>230</v>
      </c>
      <c r="J503" t="s">
        <v>31</v>
      </c>
      <c r="K503" t="s">
        <v>34</v>
      </c>
      <c r="O503" s="18" t="s">
        <v>20</v>
      </c>
      <c r="P503" s="18" t="s">
        <v>24</v>
      </c>
      <c r="Q503" t="s">
        <v>38</v>
      </c>
      <c r="R503" t="s">
        <v>43</v>
      </c>
      <c r="S503" t="s">
        <v>47</v>
      </c>
      <c r="T503" t="s">
        <v>50</v>
      </c>
      <c r="U503">
        <v>507</v>
      </c>
      <c r="V503">
        <v>1</v>
      </c>
      <c r="AG503" t="s">
        <v>4</v>
      </c>
      <c r="AH503" t="s">
        <v>214</v>
      </c>
      <c r="AN503">
        <v>38</v>
      </c>
      <c r="AO503">
        <v>0.32</v>
      </c>
      <c r="AS503" t="s">
        <v>849</v>
      </c>
      <c r="AT503" t="s">
        <v>849</v>
      </c>
      <c r="AV503" t="s">
        <v>1803</v>
      </c>
      <c r="AW503" t="s">
        <v>1815</v>
      </c>
      <c r="AX503" t="s">
        <v>1805</v>
      </c>
      <c r="AY503" t="s">
        <v>1806</v>
      </c>
      <c r="AZ503" t="s">
        <v>76</v>
      </c>
    </row>
    <row r="504" spans="1:52" x14ac:dyDescent="0.2">
      <c r="A504" t="s">
        <v>1210</v>
      </c>
      <c r="B504" t="s">
        <v>665</v>
      </c>
      <c r="C504" t="s">
        <v>1211</v>
      </c>
      <c r="D504">
        <v>2003</v>
      </c>
      <c r="E504" t="s">
        <v>1317</v>
      </c>
      <c r="F504" t="s">
        <v>1389</v>
      </c>
      <c r="G504" t="s">
        <v>1472</v>
      </c>
      <c r="H504" t="s">
        <v>1672</v>
      </c>
      <c r="I504" t="s">
        <v>230</v>
      </c>
      <c r="J504" t="s">
        <v>31</v>
      </c>
      <c r="K504" t="s">
        <v>34</v>
      </c>
      <c r="O504" s="18" t="s">
        <v>20</v>
      </c>
      <c r="P504" s="18" t="s">
        <v>24</v>
      </c>
      <c r="Q504" t="s">
        <v>38</v>
      </c>
      <c r="R504" t="s">
        <v>43</v>
      </c>
      <c r="S504" t="s">
        <v>47</v>
      </c>
      <c r="T504" t="s">
        <v>50</v>
      </c>
      <c r="U504">
        <v>507</v>
      </c>
      <c r="V504">
        <v>1</v>
      </c>
      <c r="AG504" t="s">
        <v>4</v>
      </c>
      <c r="AH504" t="s">
        <v>214</v>
      </c>
      <c r="AN504">
        <v>38</v>
      </c>
      <c r="AO504">
        <v>0.35</v>
      </c>
      <c r="AS504" t="s">
        <v>849</v>
      </c>
      <c r="AT504" t="s">
        <v>849</v>
      </c>
      <c r="AV504" t="s">
        <v>1803</v>
      </c>
      <c r="AW504" t="s">
        <v>1815</v>
      </c>
      <c r="AX504" t="s">
        <v>1805</v>
      </c>
      <c r="AY504" t="s">
        <v>1806</v>
      </c>
      <c r="AZ504" t="s">
        <v>76</v>
      </c>
    </row>
    <row r="505" spans="1:52" x14ac:dyDescent="0.2">
      <c r="A505" t="s">
        <v>1210</v>
      </c>
      <c r="B505" t="s">
        <v>665</v>
      </c>
      <c r="C505" t="s">
        <v>1211</v>
      </c>
      <c r="D505">
        <v>2003</v>
      </c>
      <c r="E505" t="s">
        <v>1317</v>
      </c>
      <c r="F505" t="s">
        <v>1389</v>
      </c>
      <c r="G505" t="s">
        <v>1472</v>
      </c>
      <c r="H505" t="s">
        <v>1673</v>
      </c>
      <c r="I505" t="s">
        <v>230</v>
      </c>
      <c r="J505" t="s">
        <v>31</v>
      </c>
      <c r="K505" t="s">
        <v>34</v>
      </c>
      <c r="O505" s="18" t="s">
        <v>20</v>
      </c>
      <c r="P505" s="18" t="s">
        <v>24</v>
      </c>
      <c r="Q505" t="s">
        <v>38</v>
      </c>
      <c r="R505" t="s">
        <v>43</v>
      </c>
      <c r="S505" t="s">
        <v>47</v>
      </c>
      <c r="T505" t="s">
        <v>50</v>
      </c>
      <c r="U505">
        <v>507</v>
      </c>
      <c r="V505">
        <v>1</v>
      </c>
      <c r="AG505" t="s">
        <v>4</v>
      </c>
      <c r="AH505" t="s">
        <v>214</v>
      </c>
      <c r="AN505">
        <v>38</v>
      </c>
      <c r="AO505">
        <v>-0.3</v>
      </c>
      <c r="AS505" t="s">
        <v>849</v>
      </c>
      <c r="AT505" t="s">
        <v>849</v>
      </c>
      <c r="AV505" t="s">
        <v>1803</v>
      </c>
      <c r="AW505" t="s">
        <v>1815</v>
      </c>
      <c r="AX505" t="s">
        <v>1805</v>
      </c>
      <c r="AY505" t="s">
        <v>1806</v>
      </c>
      <c r="AZ505" t="s">
        <v>76</v>
      </c>
    </row>
    <row r="506" spans="1:52" x14ac:dyDescent="0.2">
      <c r="A506" t="s">
        <v>1210</v>
      </c>
      <c r="B506" t="s">
        <v>665</v>
      </c>
      <c r="C506" t="s">
        <v>1211</v>
      </c>
      <c r="D506">
        <v>2003</v>
      </c>
      <c r="E506" t="s">
        <v>1317</v>
      </c>
      <c r="F506" t="s">
        <v>1389</v>
      </c>
      <c r="G506" t="s">
        <v>1472</v>
      </c>
      <c r="H506" t="s">
        <v>1674</v>
      </c>
      <c r="I506" t="s">
        <v>230</v>
      </c>
      <c r="J506" t="s">
        <v>31</v>
      </c>
      <c r="K506" t="s">
        <v>34</v>
      </c>
      <c r="O506" s="18" t="s">
        <v>20</v>
      </c>
      <c r="P506" s="18" t="s">
        <v>24</v>
      </c>
      <c r="Q506" t="s">
        <v>37</v>
      </c>
      <c r="R506" t="s">
        <v>40</v>
      </c>
      <c r="S506" t="s">
        <v>47</v>
      </c>
      <c r="T506" t="s">
        <v>50</v>
      </c>
      <c r="U506">
        <v>507</v>
      </c>
      <c r="V506">
        <v>1</v>
      </c>
      <c r="AG506" t="s">
        <v>4</v>
      </c>
      <c r="AH506" t="s">
        <v>214</v>
      </c>
      <c r="AN506">
        <v>38</v>
      </c>
      <c r="AO506">
        <v>-0.34</v>
      </c>
      <c r="AS506" t="s">
        <v>849</v>
      </c>
      <c r="AT506" t="s">
        <v>849</v>
      </c>
      <c r="AV506" t="s">
        <v>1803</v>
      </c>
      <c r="AW506" t="s">
        <v>1815</v>
      </c>
      <c r="AX506" t="s">
        <v>1805</v>
      </c>
      <c r="AY506" t="s">
        <v>1806</v>
      </c>
      <c r="AZ506" t="s">
        <v>76</v>
      </c>
    </row>
    <row r="507" spans="1:52" x14ac:dyDescent="0.2">
      <c r="A507" t="s">
        <v>1210</v>
      </c>
      <c r="B507" t="s">
        <v>665</v>
      </c>
      <c r="C507" t="s">
        <v>1211</v>
      </c>
      <c r="D507">
        <v>2003</v>
      </c>
      <c r="E507" t="s">
        <v>1317</v>
      </c>
      <c r="F507" t="s">
        <v>1389</v>
      </c>
      <c r="G507" t="s">
        <v>1472</v>
      </c>
      <c r="H507" t="s">
        <v>1675</v>
      </c>
      <c r="I507" t="s">
        <v>230</v>
      </c>
      <c r="J507" t="s">
        <v>31</v>
      </c>
      <c r="K507" t="s">
        <v>34</v>
      </c>
      <c r="O507" s="18" t="s">
        <v>20</v>
      </c>
      <c r="P507" s="18" t="s">
        <v>24</v>
      </c>
      <c r="Q507" t="s">
        <v>37</v>
      </c>
      <c r="R507" t="s">
        <v>40</v>
      </c>
      <c r="S507" t="s">
        <v>47</v>
      </c>
      <c r="T507" t="s">
        <v>50</v>
      </c>
      <c r="U507">
        <v>507</v>
      </c>
      <c r="V507">
        <v>1</v>
      </c>
      <c r="AG507" t="s">
        <v>4</v>
      </c>
      <c r="AH507" t="s">
        <v>214</v>
      </c>
      <c r="AN507">
        <v>38</v>
      </c>
      <c r="AO507">
        <v>-0.37</v>
      </c>
      <c r="AS507" t="s">
        <v>849</v>
      </c>
      <c r="AT507" t="s">
        <v>849</v>
      </c>
      <c r="AV507" t="s">
        <v>1803</v>
      </c>
      <c r="AW507" t="s">
        <v>1815</v>
      </c>
      <c r="AX507" t="s">
        <v>1805</v>
      </c>
      <c r="AY507" t="s">
        <v>1806</v>
      </c>
      <c r="AZ507" t="s">
        <v>76</v>
      </c>
    </row>
    <row r="508" spans="1:52" x14ac:dyDescent="0.2">
      <c r="A508" t="s">
        <v>1210</v>
      </c>
      <c r="B508" t="s">
        <v>665</v>
      </c>
      <c r="C508" t="s">
        <v>1211</v>
      </c>
      <c r="D508">
        <v>2003</v>
      </c>
      <c r="E508" t="s">
        <v>1317</v>
      </c>
      <c r="F508" t="s">
        <v>1389</v>
      </c>
      <c r="G508" t="s">
        <v>1472</v>
      </c>
      <c r="H508" t="s">
        <v>1676</v>
      </c>
      <c r="I508" t="s">
        <v>230</v>
      </c>
      <c r="J508" t="s">
        <v>31</v>
      </c>
      <c r="K508" t="s">
        <v>34</v>
      </c>
      <c r="O508" s="18" t="s">
        <v>20</v>
      </c>
      <c r="P508" s="18" t="s">
        <v>24</v>
      </c>
      <c r="Q508" t="s">
        <v>37</v>
      </c>
      <c r="R508" t="s">
        <v>40</v>
      </c>
      <c r="S508" t="s">
        <v>47</v>
      </c>
      <c r="T508" t="s">
        <v>50</v>
      </c>
      <c r="U508">
        <v>507</v>
      </c>
      <c r="V508">
        <v>1</v>
      </c>
      <c r="AG508" t="s">
        <v>4</v>
      </c>
      <c r="AH508" t="s">
        <v>214</v>
      </c>
      <c r="AN508">
        <v>38</v>
      </c>
      <c r="AO508">
        <v>-0.32</v>
      </c>
      <c r="AS508" t="s">
        <v>849</v>
      </c>
      <c r="AT508" t="s">
        <v>849</v>
      </c>
      <c r="AV508" t="s">
        <v>1803</v>
      </c>
      <c r="AW508" t="s">
        <v>1815</v>
      </c>
      <c r="AX508" t="s">
        <v>1805</v>
      </c>
      <c r="AY508" t="s">
        <v>1806</v>
      </c>
      <c r="AZ508" t="s">
        <v>76</v>
      </c>
    </row>
    <row r="509" spans="1:52" x14ac:dyDescent="0.2">
      <c r="A509" t="s">
        <v>1210</v>
      </c>
      <c r="B509" t="s">
        <v>665</v>
      </c>
      <c r="C509" t="s">
        <v>1211</v>
      </c>
      <c r="D509">
        <v>2003</v>
      </c>
      <c r="E509" t="s">
        <v>1317</v>
      </c>
      <c r="F509" t="s">
        <v>1389</v>
      </c>
      <c r="G509" t="s">
        <v>1472</v>
      </c>
      <c r="H509" t="s">
        <v>1677</v>
      </c>
      <c r="I509" t="s">
        <v>230</v>
      </c>
      <c r="J509" t="s">
        <v>31</v>
      </c>
      <c r="K509" t="s">
        <v>34</v>
      </c>
      <c r="O509" s="18" t="s">
        <v>20</v>
      </c>
      <c r="P509" s="18" t="s">
        <v>24</v>
      </c>
      <c r="Q509" t="s">
        <v>37</v>
      </c>
      <c r="R509" t="s">
        <v>40</v>
      </c>
      <c r="S509" t="s">
        <v>47</v>
      </c>
      <c r="T509" t="s">
        <v>50</v>
      </c>
      <c r="U509">
        <v>507</v>
      </c>
      <c r="V509">
        <v>1</v>
      </c>
      <c r="AG509" t="s">
        <v>4</v>
      </c>
      <c r="AH509" t="s">
        <v>214</v>
      </c>
      <c r="AN509">
        <v>38</v>
      </c>
      <c r="AO509">
        <v>0.38</v>
      </c>
      <c r="AS509" t="s">
        <v>849</v>
      </c>
      <c r="AT509" t="s">
        <v>849</v>
      </c>
      <c r="AV509" t="s">
        <v>1803</v>
      </c>
      <c r="AW509" t="s">
        <v>1815</v>
      </c>
      <c r="AX509" t="s">
        <v>1805</v>
      </c>
      <c r="AY509" t="s">
        <v>1806</v>
      </c>
      <c r="AZ509" t="s">
        <v>76</v>
      </c>
    </row>
    <row r="510" spans="1:52" x14ac:dyDescent="0.2">
      <c r="A510" t="s">
        <v>1212</v>
      </c>
      <c r="B510" t="s">
        <v>1213</v>
      </c>
      <c r="C510" t="s">
        <v>1214</v>
      </c>
      <c r="D510">
        <v>2002</v>
      </c>
      <c r="E510" t="s">
        <v>1318</v>
      </c>
      <c r="F510" t="s">
        <v>1390</v>
      </c>
      <c r="G510" t="s">
        <v>1473</v>
      </c>
      <c r="H510" t="s">
        <v>1678</v>
      </c>
      <c r="I510" t="s">
        <v>1090</v>
      </c>
      <c r="J510" t="s">
        <v>82</v>
      </c>
      <c r="K510" t="s">
        <v>35</v>
      </c>
      <c r="L510" t="s">
        <v>12</v>
      </c>
      <c r="O510" s="18" t="s">
        <v>76</v>
      </c>
      <c r="P510" s="18" t="s">
        <v>27</v>
      </c>
      <c r="Q510" t="s">
        <v>37</v>
      </c>
      <c r="R510" t="s">
        <v>39</v>
      </c>
      <c r="S510" t="s">
        <v>47</v>
      </c>
      <c r="T510" t="s">
        <v>49</v>
      </c>
      <c r="U510">
        <v>9917</v>
      </c>
      <c r="V510">
        <v>1</v>
      </c>
      <c r="W510">
        <v>17</v>
      </c>
      <c r="X510">
        <v>15</v>
      </c>
      <c r="AA510">
        <v>785.99221789883302</v>
      </c>
      <c r="AB510">
        <v>437.02924918293797</v>
      </c>
      <c r="AC510">
        <v>303.501945525292</v>
      </c>
      <c r="AD510">
        <v>128.34570040833299</v>
      </c>
      <c r="AE510" t="s">
        <v>71</v>
      </c>
      <c r="AF510" t="s">
        <v>61</v>
      </c>
      <c r="AG510" t="str">
        <f t="shared" ref="AG510:AG515" si="16">IF(AE510="mean", "mean", "")</f>
        <v>mean</v>
      </c>
      <c r="AH510" t="s">
        <v>213</v>
      </c>
      <c r="AS510" t="s">
        <v>849</v>
      </c>
      <c r="AT510" t="s">
        <v>849</v>
      </c>
      <c r="AV510" t="s">
        <v>1803</v>
      </c>
      <c r="AW510" t="s">
        <v>1807</v>
      </c>
      <c r="AX510" t="s">
        <v>1808</v>
      </c>
      <c r="AY510" t="s">
        <v>1811</v>
      </c>
      <c r="AZ510" t="s">
        <v>76</v>
      </c>
    </row>
    <row r="511" spans="1:52" x14ac:dyDescent="0.2">
      <c r="A511" t="s">
        <v>1215</v>
      </c>
      <c r="B511" t="s">
        <v>1216</v>
      </c>
      <c r="C511" t="s">
        <v>1217</v>
      </c>
      <c r="D511">
        <v>2013</v>
      </c>
      <c r="E511" t="s">
        <v>1319</v>
      </c>
      <c r="F511" t="s">
        <v>1391</v>
      </c>
      <c r="G511" t="s">
        <v>1474</v>
      </c>
      <c r="H511" t="s">
        <v>1679</v>
      </c>
      <c r="I511" t="s">
        <v>1218</v>
      </c>
      <c r="J511" t="s">
        <v>29</v>
      </c>
      <c r="K511" t="s">
        <v>34</v>
      </c>
      <c r="O511" s="18" t="s">
        <v>20</v>
      </c>
      <c r="P511" s="18" t="s">
        <v>26</v>
      </c>
      <c r="Q511" t="s">
        <v>37</v>
      </c>
      <c r="R511" t="s">
        <v>39</v>
      </c>
      <c r="S511" t="s">
        <v>47</v>
      </c>
      <c r="T511" t="s">
        <v>49</v>
      </c>
      <c r="U511">
        <v>623</v>
      </c>
      <c r="V511" t="s">
        <v>672</v>
      </c>
      <c r="W511">
        <v>15</v>
      </c>
      <c r="X511">
        <v>15</v>
      </c>
      <c r="AA511">
        <v>2.61308068459658E-2</v>
      </c>
      <c r="AB511">
        <v>1.71284651342931E-2</v>
      </c>
      <c r="AC511">
        <v>9.7570293398533001E-2</v>
      </c>
      <c r="AD511">
        <v>7.0891188074913597E-2</v>
      </c>
      <c r="AE511" t="s">
        <v>71</v>
      </c>
      <c r="AF511" t="s">
        <v>61</v>
      </c>
      <c r="AG511" t="str">
        <f t="shared" si="16"/>
        <v>mean</v>
      </c>
      <c r="AH511" t="s">
        <v>213</v>
      </c>
      <c r="AS511" t="s">
        <v>849</v>
      </c>
      <c r="AT511" t="s">
        <v>849</v>
      </c>
      <c r="AV511" t="s">
        <v>1803</v>
      </c>
      <c r="AW511" t="s">
        <v>1815</v>
      </c>
      <c r="AX511" t="s">
        <v>1808</v>
      </c>
      <c r="AY511" t="s">
        <v>1811</v>
      </c>
      <c r="AZ511" t="s">
        <v>76</v>
      </c>
    </row>
    <row r="512" spans="1:52" x14ac:dyDescent="0.2">
      <c r="A512" t="s">
        <v>1215</v>
      </c>
      <c r="B512" t="s">
        <v>1216</v>
      </c>
      <c r="C512" t="s">
        <v>1217</v>
      </c>
      <c r="D512">
        <v>2013</v>
      </c>
      <c r="E512" t="s">
        <v>1319</v>
      </c>
      <c r="F512" t="s">
        <v>1391</v>
      </c>
      <c r="G512" t="s">
        <v>1474</v>
      </c>
      <c r="H512" t="s">
        <v>1680</v>
      </c>
      <c r="I512" t="s">
        <v>1218</v>
      </c>
      <c r="J512" t="s">
        <v>29</v>
      </c>
      <c r="K512" t="s">
        <v>34</v>
      </c>
      <c r="O512" s="18" t="s">
        <v>20</v>
      </c>
      <c r="P512" s="18" t="s">
        <v>26</v>
      </c>
      <c r="Q512" t="s">
        <v>37</v>
      </c>
      <c r="R512" t="s">
        <v>1829</v>
      </c>
      <c r="S512" t="s">
        <v>47</v>
      </c>
      <c r="T512" t="s">
        <v>49</v>
      </c>
      <c r="U512">
        <v>623</v>
      </c>
      <c r="V512" t="s">
        <v>1219</v>
      </c>
      <c r="W512">
        <v>15</v>
      </c>
      <c r="X512">
        <v>15</v>
      </c>
      <c r="AA512">
        <v>11.4285714285714</v>
      </c>
      <c r="AB512">
        <v>15.123077828048</v>
      </c>
      <c r="AC512">
        <v>2.90476190476191</v>
      </c>
      <c r="AD512">
        <v>1.47542222712664</v>
      </c>
      <c r="AE512" t="s">
        <v>71</v>
      </c>
      <c r="AF512" t="s">
        <v>61</v>
      </c>
      <c r="AG512" t="str">
        <f t="shared" si="16"/>
        <v>mean</v>
      </c>
      <c r="AH512" t="s">
        <v>213</v>
      </c>
      <c r="AS512" t="s">
        <v>849</v>
      </c>
      <c r="AT512" t="s">
        <v>849</v>
      </c>
      <c r="AV512" t="s">
        <v>1803</v>
      </c>
      <c r="AW512" t="s">
        <v>1815</v>
      </c>
      <c r="AX512" t="s">
        <v>1808</v>
      </c>
      <c r="AY512" t="s">
        <v>1811</v>
      </c>
      <c r="AZ512" t="s">
        <v>76</v>
      </c>
    </row>
    <row r="513" spans="1:52" x14ac:dyDescent="0.2">
      <c r="A513" t="s">
        <v>1220</v>
      </c>
      <c r="B513" t="s">
        <v>1221</v>
      </c>
      <c r="C513" t="s">
        <v>1222</v>
      </c>
      <c r="D513">
        <v>2006</v>
      </c>
      <c r="E513" t="s">
        <v>1320</v>
      </c>
      <c r="F513" t="s">
        <v>1392</v>
      </c>
      <c r="G513" t="s">
        <v>1475</v>
      </c>
      <c r="H513" t="s">
        <v>1681</v>
      </c>
      <c r="I513" t="s">
        <v>1090</v>
      </c>
      <c r="J513" t="s">
        <v>82</v>
      </c>
      <c r="K513" t="s">
        <v>35</v>
      </c>
      <c r="L513" t="s">
        <v>11</v>
      </c>
      <c r="M513" t="s">
        <v>19</v>
      </c>
      <c r="N513">
        <v>0</v>
      </c>
      <c r="O513" s="18" t="s">
        <v>20</v>
      </c>
      <c r="P513" s="18" t="s">
        <v>23</v>
      </c>
      <c r="S513" t="s">
        <v>47</v>
      </c>
      <c r="T513" t="s">
        <v>49</v>
      </c>
      <c r="U513">
        <v>323</v>
      </c>
      <c r="V513" t="s">
        <v>1050</v>
      </c>
      <c r="W513">
        <v>15</v>
      </c>
      <c r="X513">
        <v>15</v>
      </c>
      <c r="AA513">
        <v>107.425742574258</v>
      </c>
      <c r="AB513">
        <v>214.739670680807</v>
      </c>
      <c r="AC513">
        <v>533.663366336634</v>
      </c>
      <c r="AD513">
        <v>322.10950602121</v>
      </c>
      <c r="AE513" t="s">
        <v>71</v>
      </c>
      <c r="AF513" t="s">
        <v>61</v>
      </c>
      <c r="AG513" t="str">
        <f t="shared" si="16"/>
        <v>mean</v>
      </c>
      <c r="AH513" t="s">
        <v>213</v>
      </c>
      <c r="AS513" t="s">
        <v>849</v>
      </c>
      <c r="AT513" t="s">
        <v>849</v>
      </c>
      <c r="AV513" t="s">
        <v>1803</v>
      </c>
      <c r="AW513" t="s">
        <v>1807</v>
      </c>
      <c r="AX513" t="s">
        <v>1808</v>
      </c>
      <c r="AY513" t="s">
        <v>1811</v>
      </c>
      <c r="AZ513" t="s">
        <v>76</v>
      </c>
    </row>
    <row r="514" spans="1:52" x14ac:dyDescent="0.2">
      <c r="A514" t="s">
        <v>1223</v>
      </c>
      <c r="B514" t="s">
        <v>1224</v>
      </c>
      <c r="C514" t="s">
        <v>1225</v>
      </c>
      <c r="D514">
        <v>2005</v>
      </c>
      <c r="E514" t="s">
        <v>1321</v>
      </c>
      <c r="F514" t="s">
        <v>1393</v>
      </c>
      <c r="G514" t="s">
        <v>1476</v>
      </c>
      <c r="H514" t="s">
        <v>1682</v>
      </c>
      <c r="I514" t="s">
        <v>1226</v>
      </c>
      <c r="J514" t="s">
        <v>83</v>
      </c>
      <c r="K514" t="s">
        <v>35</v>
      </c>
      <c r="L514" t="s">
        <v>12</v>
      </c>
      <c r="O514" s="18" t="s">
        <v>76</v>
      </c>
      <c r="P514" s="18" t="s">
        <v>27</v>
      </c>
      <c r="Q514" t="s">
        <v>37</v>
      </c>
      <c r="R514" t="s">
        <v>39</v>
      </c>
      <c r="S514" t="s">
        <v>47</v>
      </c>
      <c r="T514" t="s">
        <v>51</v>
      </c>
      <c r="U514">
        <v>457</v>
      </c>
      <c r="W514">
        <v>52</v>
      </c>
      <c r="X514">
        <v>52</v>
      </c>
      <c r="AA514">
        <v>411.98</v>
      </c>
      <c r="AB514">
        <v>76.63</v>
      </c>
      <c r="AC514">
        <v>511.51</v>
      </c>
      <c r="AD514">
        <v>75.78</v>
      </c>
      <c r="AE514" t="s">
        <v>71</v>
      </c>
      <c r="AF514" t="s">
        <v>62</v>
      </c>
      <c r="AG514" t="str">
        <f t="shared" si="16"/>
        <v>mean</v>
      </c>
      <c r="AH514" t="s">
        <v>213</v>
      </c>
      <c r="AS514" t="s">
        <v>849</v>
      </c>
      <c r="AT514" t="s">
        <v>849</v>
      </c>
      <c r="AV514" t="s">
        <v>1803</v>
      </c>
      <c r="AW514" t="s">
        <v>1815</v>
      </c>
      <c r="AX514" t="s">
        <v>1808</v>
      </c>
      <c r="AY514" t="s">
        <v>1811</v>
      </c>
      <c r="AZ514" t="s">
        <v>76</v>
      </c>
    </row>
    <row r="515" spans="1:52" x14ac:dyDescent="0.2">
      <c r="A515" t="s">
        <v>1223</v>
      </c>
      <c r="B515" t="s">
        <v>1224</v>
      </c>
      <c r="C515" t="s">
        <v>1225</v>
      </c>
      <c r="D515">
        <v>2005</v>
      </c>
      <c r="E515" t="s">
        <v>1321</v>
      </c>
      <c r="F515" t="s">
        <v>1393</v>
      </c>
      <c r="G515" t="s">
        <v>1476</v>
      </c>
      <c r="H515" t="s">
        <v>1683</v>
      </c>
      <c r="I515" t="s">
        <v>1226</v>
      </c>
      <c r="J515" t="s">
        <v>83</v>
      </c>
      <c r="K515" t="s">
        <v>35</v>
      </c>
      <c r="L515" t="s">
        <v>12</v>
      </c>
      <c r="O515" s="18" t="s">
        <v>76</v>
      </c>
      <c r="P515" s="18" t="s">
        <v>27</v>
      </c>
      <c r="Q515" t="s">
        <v>37</v>
      </c>
      <c r="R515" t="s">
        <v>39</v>
      </c>
      <c r="S515" t="s">
        <v>47</v>
      </c>
      <c r="T515" t="s">
        <v>51</v>
      </c>
      <c r="U515">
        <v>457</v>
      </c>
      <c r="W515">
        <v>52</v>
      </c>
      <c r="X515">
        <v>52</v>
      </c>
      <c r="AA515">
        <v>411.98</v>
      </c>
      <c r="AB515">
        <v>76.63</v>
      </c>
      <c r="AC515">
        <v>383.23</v>
      </c>
      <c r="AD515">
        <v>91.4</v>
      </c>
      <c r="AE515" t="s">
        <v>71</v>
      </c>
      <c r="AF515" t="s">
        <v>62</v>
      </c>
      <c r="AG515" t="str">
        <f t="shared" si="16"/>
        <v>mean</v>
      </c>
      <c r="AH515" t="s">
        <v>213</v>
      </c>
      <c r="AS515" t="s">
        <v>849</v>
      </c>
      <c r="AT515" t="s">
        <v>849</v>
      </c>
      <c r="AV515" t="s">
        <v>1803</v>
      </c>
      <c r="AW515" t="s">
        <v>1815</v>
      </c>
      <c r="AX515" t="s">
        <v>1808</v>
      </c>
      <c r="AY515" t="s">
        <v>1811</v>
      </c>
      <c r="AZ515" t="s">
        <v>76</v>
      </c>
    </row>
    <row r="516" spans="1:52" x14ac:dyDescent="0.2">
      <c r="A516" t="s">
        <v>1227</v>
      </c>
      <c r="B516" t="s">
        <v>1228</v>
      </c>
      <c r="C516" t="s">
        <v>1229</v>
      </c>
      <c r="D516">
        <v>2005</v>
      </c>
      <c r="E516" t="s">
        <v>1322</v>
      </c>
      <c r="F516" t="s">
        <v>1394</v>
      </c>
      <c r="G516" t="s">
        <v>1477</v>
      </c>
      <c r="H516" t="s">
        <v>1684</v>
      </c>
      <c r="I516" t="s">
        <v>1230</v>
      </c>
      <c r="J516" t="s">
        <v>31</v>
      </c>
      <c r="K516" t="s">
        <v>34</v>
      </c>
      <c r="O516" s="18" t="s">
        <v>20</v>
      </c>
      <c r="P516" s="18" t="s">
        <v>24</v>
      </c>
      <c r="Q516" t="s">
        <v>38</v>
      </c>
      <c r="R516" t="s">
        <v>43</v>
      </c>
      <c r="S516" t="s">
        <v>47</v>
      </c>
      <c r="T516" t="s">
        <v>49</v>
      </c>
      <c r="U516">
        <v>1238</v>
      </c>
      <c r="V516">
        <v>2</v>
      </c>
      <c r="AG516" t="s">
        <v>4</v>
      </c>
      <c r="AH516" t="s">
        <v>214</v>
      </c>
      <c r="AN516">
        <v>58</v>
      </c>
      <c r="AO516">
        <v>-0.31165520269872399</v>
      </c>
      <c r="AS516" t="s">
        <v>849</v>
      </c>
      <c r="AT516" t="s">
        <v>849</v>
      </c>
      <c r="AV516" t="s">
        <v>1803</v>
      </c>
      <c r="AW516" t="s">
        <v>1815</v>
      </c>
      <c r="AX516" t="s">
        <v>1805</v>
      </c>
      <c r="AY516" t="s">
        <v>1806</v>
      </c>
      <c r="AZ516" t="s">
        <v>76</v>
      </c>
    </row>
    <row r="517" spans="1:52" x14ac:dyDescent="0.2">
      <c r="A517" t="s">
        <v>1231</v>
      </c>
      <c r="B517" t="s">
        <v>1228</v>
      </c>
      <c r="C517" t="s">
        <v>1232</v>
      </c>
      <c r="D517">
        <v>2010</v>
      </c>
      <c r="E517" t="s">
        <v>1323</v>
      </c>
      <c r="F517" t="s">
        <v>1395</v>
      </c>
      <c r="G517" t="s">
        <v>1478</v>
      </c>
      <c r="H517" t="s">
        <v>1685</v>
      </c>
      <c r="I517" t="s">
        <v>1094</v>
      </c>
      <c r="J517" t="s">
        <v>31</v>
      </c>
      <c r="K517" t="s">
        <v>34</v>
      </c>
      <c r="O517" s="18" t="s">
        <v>20</v>
      </c>
      <c r="P517" s="18" t="s">
        <v>24</v>
      </c>
      <c r="Q517" t="s">
        <v>38</v>
      </c>
      <c r="R517" t="s">
        <v>43</v>
      </c>
      <c r="S517" t="s">
        <v>47</v>
      </c>
      <c r="T517" t="s">
        <v>50</v>
      </c>
      <c r="U517">
        <v>1333</v>
      </c>
      <c r="V517">
        <v>3</v>
      </c>
      <c r="AG517" t="s">
        <v>4</v>
      </c>
      <c r="AH517" t="s">
        <v>214</v>
      </c>
      <c r="AN517">
        <v>19</v>
      </c>
      <c r="AO517">
        <v>9.1999999999999998E-2</v>
      </c>
      <c r="AS517" t="s">
        <v>849</v>
      </c>
      <c r="AT517" t="s">
        <v>849</v>
      </c>
      <c r="AV517" t="s">
        <v>1803</v>
      </c>
      <c r="AW517" t="s">
        <v>1815</v>
      </c>
      <c r="AX517" t="s">
        <v>1821</v>
      </c>
      <c r="AY517" t="s">
        <v>1806</v>
      </c>
      <c r="AZ517" t="s">
        <v>76</v>
      </c>
    </row>
    <row r="518" spans="1:52" x14ac:dyDescent="0.2">
      <c r="A518" t="s">
        <v>1231</v>
      </c>
      <c r="B518" t="s">
        <v>1228</v>
      </c>
      <c r="C518" t="s">
        <v>1232</v>
      </c>
      <c r="D518">
        <v>2010</v>
      </c>
      <c r="E518" t="s">
        <v>1323</v>
      </c>
      <c r="F518" t="s">
        <v>1395</v>
      </c>
      <c r="G518" t="s">
        <v>1478</v>
      </c>
      <c r="H518" t="s">
        <v>1686</v>
      </c>
      <c r="I518" t="s">
        <v>1094</v>
      </c>
      <c r="J518" t="s">
        <v>31</v>
      </c>
      <c r="K518" t="s">
        <v>34</v>
      </c>
      <c r="O518" s="18" t="s">
        <v>20</v>
      </c>
      <c r="P518" s="18" t="s">
        <v>24</v>
      </c>
      <c r="Q518" t="s">
        <v>38</v>
      </c>
      <c r="R518" t="s">
        <v>43</v>
      </c>
      <c r="S518" t="s">
        <v>47</v>
      </c>
      <c r="T518" t="s">
        <v>50</v>
      </c>
      <c r="U518">
        <v>1333</v>
      </c>
      <c r="V518">
        <v>3</v>
      </c>
      <c r="AG518" t="s">
        <v>4</v>
      </c>
      <c r="AH518" t="s">
        <v>214</v>
      </c>
      <c r="AN518">
        <v>19</v>
      </c>
      <c r="AO518">
        <v>-0.215</v>
      </c>
      <c r="AS518" t="s">
        <v>849</v>
      </c>
      <c r="AT518" t="s">
        <v>222</v>
      </c>
      <c r="AV518" t="s">
        <v>1803</v>
      </c>
      <c r="AW518" t="s">
        <v>1815</v>
      </c>
      <c r="AX518" t="s">
        <v>1821</v>
      </c>
      <c r="AY518" t="s">
        <v>1806</v>
      </c>
      <c r="AZ518" t="s">
        <v>76</v>
      </c>
    </row>
    <row r="519" spans="1:52" x14ac:dyDescent="0.2">
      <c r="A519" t="s">
        <v>1231</v>
      </c>
      <c r="B519" t="s">
        <v>1228</v>
      </c>
      <c r="C519" t="s">
        <v>1232</v>
      </c>
      <c r="D519">
        <v>2010</v>
      </c>
      <c r="E519" t="s">
        <v>1323</v>
      </c>
      <c r="F519" t="s">
        <v>1395</v>
      </c>
      <c r="G519" t="s">
        <v>1478</v>
      </c>
      <c r="H519" t="s">
        <v>1687</v>
      </c>
      <c r="I519" t="s">
        <v>1094</v>
      </c>
      <c r="J519" t="s">
        <v>31</v>
      </c>
      <c r="K519" t="s">
        <v>34</v>
      </c>
      <c r="O519" s="18" t="s">
        <v>20</v>
      </c>
      <c r="P519" s="18" t="s">
        <v>24</v>
      </c>
      <c r="Q519" t="s">
        <v>38</v>
      </c>
      <c r="R519" t="s">
        <v>43</v>
      </c>
      <c r="S519" t="s">
        <v>47</v>
      </c>
      <c r="T519" t="s">
        <v>50</v>
      </c>
      <c r="U519">
        <v>1333</v>
      </c>
      <c r="V519">
        <v>3</v>
      </c>
      <c r="AG519" t="s">
        <v>4</v>
      </c>
      <c r="AH519" t="s">
        <v>214</v>
      </c>
      <c r="AN519">
        <v>19</v>
      </c>
      <c r="AO519">
        <v>-2.1999999999999999E-2</v>
      </c>
      <c r="AS519" t="s">
        <v>849</v>
      </c>
      <c r="AT519" t="s">
        <v>849</v>
      </c>
      <c r="AV519" t="s">
        <v>1803</v>
      </c>
      <c r="AW519" t="s">
        <v>1815</v>
      </c>
      <c r="AX519" t="s">
        <v>1821</v>
      </c>
      <c r="AY519" t="s">
        <v>1806</v>
      </c>
      <c r="AZ519" t="s">
        <v>76</v>
      </c>
    </row>
    <row r="520" spans="1:52" x14ac:dyDescent="0.2">
      <c r="A520" t="s">
        <v>1231</v>
      </c>
      <c r="B520" t="s">
        <v>1228</v>
      </c>
      <c r="C520" t="s">
        <v>1232</v>
      </c>
      <c r="D520">
        <v>2010</v>
      </c>
      <c r="E520" t="s">
        <v>1323</v>
      </c>
      <c r="F520" t="s">
        <v>1395</v>
      </c>
      <c r="G520" t="s">
        <v>1478</v>
      </c>
      <c r="H520" t="s">
        <v>1688</v>
      </c>
      <c r="I520" t="s">
        <v>1094</v>
      </c>
      <c r="J520" t="s">
        <v>31</v>
      </c>
      <c r="K520" t="s">
        <v>34</v>
      </c>
      <c r="O520" s="18" t="s">
        <v>20</v>
      </c>
      <c r="P520" s="18" t="s">
        <v>24</v>
      </c>
      <c r="Q520" t="s">
        <v>38</v>
      </c>
      <c r="R520" t="s">
        <v>43</v>
      </c>
      <c r="S520" t="s">
        <v>47</v>
      </c>
      <c r="T520" t="s">
        <v>50</v>
      </c>
      <c r="U520">
        <v>1333</v>
      </c>
      <c r="V520">
        <v>3</v>
      </c>
      <c r="AG520" t="s">
        <v>4</v>
      </c>
      <c r="AH520" t="s">
        <v>214</v>
      </c>
      <c r="AN520">
        <v>19</v>
      </c>
      <c r="AO520">
        <v>0.114</v>
      </c>
      <c r="AS520" t="s">
        <v>849</v>
      </c>
      <c r="AT520" t="s">
        <v>849</v>
      </c>
      <c r="AV520" t="s">
        <v>1803</v>
      </c>
      <c r="AW520" t="s">
        <v>1815</v>
      </c>
      <c r="AX520" t="s">
        <v>1821</v>
      </c>
      <c r="AY520" t="s">
        <v>1806</v>
      </c>
      <c r="AZ520" t="s">
        <v>76</v>
      </c>
    </row>
    <row r="521" spans="1:52" x14ac:dyDescent="0.2">
      <c r="A521" t="s">
        <v>1231</v>
      </c>
      <c r="B521" t="s">
        <v>1228</v>
      </c>
      <c r="C521" t="s">
        <v>1232</v>
      </c>
      <c r="D521">
        <v>2010</v>
      </c>
      <c r="E521" t="s">
        <v>1323</v>
      </c>
      <c r="F521" t="s">
        <v>1395</v>
      </c>
      <c r="G521" t="s">
        <v>1478</v>
      </c>
      <c r="H521" t="s">
        <v>1689</v>
      </c>
      <c r="I521" t="s">
        <v>1094</v>
      </c>
      <c r="J521" t="s">
        <v>31</v>
      </c>
      <c r="K521" t="s">
        <v>34</v>
      </c>
      <c r="O521" s="18" t="s">
        <v>20</v>
      </c>
      <c r="P521" s="18" t="s">
        <v>24</v>
      </c>
      <c r="Q521" t="s">
        <v>38</v>
      </c>
      <c r="R521" t="s">
        <v>43</v>
      </c>
      <c r="S521" t="s">
        <v>47</v>
      </c>
      <c r="T521" t="s">
        <v>50</v>
      </c>
      <c r="U521">
        <v>1333</v>
      </c>
      <c r="V521">
        <v>3</v>
      </c>
      <c r="AG521" t="s">
        <v>4</v>
      </c>
      <c r="AH521" t="s">
        <v>214</v>
      </c>
      <c r="AN521">
        <v>19</v>
      </c>
      <c r="AO521">
        <v>-7.0000000000000001E-3</v>
      </c>
      <c r="AS521" t="s">
        <v>849</v>
      </c>
      <c r="AT521" t="s">
        <v>222</v>
      </c>
      <c r="AV521" t="s">
        <v>1803</v>
      </c>
      <c r="AW521" t="s">
        <v>1815</v>
      </c>
      <c r="AX521" t="s">
        <v>1821</v>
      </c>
      <c r="AY521" t="s">
        <v>1806</v>
      </c>
      <c r="AZ521" t="s">
        <v>76</v>
      </c>
    </row>
    <row r="522" spans="1:52" x14ac:dyDescent="0.2">
      <c r="A522" t="s">
        <v>1231</v>
      </c>
      <c r="B522" t="s">
        <v>1228</v>
      </c>
      <c r="C522" t="s">
        <v>1232</v>
      </c>
      <c r="D522">
        <v>2010</v>
      </c>
      <c r="E522" t="s">
        <v>1323</v>
      </c>
      <c r="F522" t="s">
        <v>1395</v>
      </c>
      <c r="G522" t="s">
        <v>1478</v>
      </c>
      <c r="H522" t="s">
        <v>1690</v>
      </c>
      <c r="I522" t="s">
        <v>1094</v>
      </c>
      <c r="J522" t="s">
        <v>31</v>
      </c>
      <c r="K522" t="s">
        <v>34</v>
      </c>
      <c r="O522" s="18" t="s">
        <v>20</v>
      </c>
      <c r="P522" s="18" t="s">
        <v>24</v>
      </c>
      <c r="Q522" t="s">
        <v>38</v>
      </c>
      <c r="R522" t="s">
        <v>43</v>
      </c>
      <c r="S522" t="s">
        <v>47</v>
      </c>
      <c r="T522" t="s">
        <v>50</v>
      </c>
      <c r="U522">
        <v>1333</v>
      </c>
      <c r="V522">
        <v>3</v>
      </c>
      <c r="AG522" t="s">
        <v>4</v>
      </c>
      <c r="AH522" t="s">
        <v>214</v>
      </c>
      <c r="AN522">
        <v>19</v>
      </c>
      <c r="AO522">
        <v>-0.38</v>
      </c>
      <c r="AS522" t="s">
        <v>849</v>
      </c>
      <c r="AT522" t="s">
        <v>849</v>
      </c>
      <c r="AV522" t="s">
        <v>1803</v>
      </c>
      <c r="AW522" t="s">
        <v>1815</v>
      </c>
      <c r="AX522" t="s">
        <v>1821</v>
      </c>
      <c r="AY522" t="s">
        <v>1806</v>
      </c>
      <c r="AZ522" t="s">
        <v>76</v>
      </c>
    </row>
    <row r="523" spans="1:52" x14ac:dyDescent="0.2">
      <c r="A523" t="s">
        <v>1231</v>
      </c>
      <c r="B523" t="s">
        <v>1228</v>
      </c>
      <c r="C523" t="s">
        <v>1232</v>
      </c>
      <c r="D523">
        <v>2010</v>
      </c>
      <c r="E523" t="s">
        <v>1323</v>
      </c>
      <c r="F523" t="s">
        <v>1395</v>
      </c>
      <c r="G523" t="s">
        <v>1478</v>
      </c>
      <c r="H523" t="s">
        <v>1691</v>
      </c>
      <c r="I523" t="s">
        <v>1094</v>
      </c>
      <c r="J523" t="s">
        <v>31</v>
      </c>
      <c r="K523" t="s">
        <v>34</v>
      </c>
      <c r="O523" s="18" t="s">
        <v>20</v>
      </c>
      <c r="P523" s="18" t="s">
        <v>24</v>
      </c>
      <c r="Q523" t="s">
        <v>38</v>
      </c>
      <c r="R523" t="s">
        <v>43</v>
      </c>
      <c r="S523" t="s">
        <v>47</v>
      </c>
      <c r="T523" t="s">
        <v>50</v>
      </c>
      <c r="U523">
        <v>1333</v>
      </c>
      <c r="V523">
        <v>3</v>
      </c>
      <c r="AG523" t="s">
        <v>4</v>
      </c>
      <c r="AH523" t="s">
        <v>214</v>
      </c>
      <c r="AN523">
        <v>19</v>
      </c>
      <c r="AO523">
        <v>-0.11799999999999999</v>
      </c>
      <c r="AS523" t="s">
        <v>849</v>
      </c>
      <c r="AT523" t="s">
        <v>222</v>
      </c>
      <c r="AV523" t="s">
        <v>1803</v>
      </c>
      <c r="AW523" t="s">
        <v>1815</v>
      </c>
      <c r="AX523" t="s">
        <v>1821</v>
      </c>
      <c r="AY523" t="s">
        <v>1806</v>
      </c>
      <c r="AZ523" t="s">
        <v>76</v>
      </c>
    </row>
    <row r="524" spans="1:52" x14ac:dyDescent="0.2">
      <c r="A524" t="s">
        <v>1231</v>
      </c>
      <c r="B524" t="s">
        <v>1228</v>
      </c>
      <c r="C524" t="s">
        <v>1232</v>
      </c>
      <c r="D524">
        <v>2010</v>
      </c>
      <c r="E524" t="s">
        <v>1323</v>
      </c>
      <c r="F524" t="s">
        <v>1395</v>
      </c>
      <c r="G524" t="s">
        <v>1478</v>
      </c>
      <c r="H524" t="s">
        <v>1692</v>
      </c>
      <c r="I524" t="s">
        <v>1094</v>
      </c>
      <c r="J524" t="s">
        <v>31</v>
      </c>
      <c r="K524" t="s">
        <v>34</v>
      </c>
      <c r="O524" s="18" t="s">
        <v>20</v>
      </c>
      <c r="P524" s="18" t="s">
        <v>24</v>
      </c>
      <c r="Q524" t="s">
        <v>38</v>
      </c>
      <c r="R524" t="s">
        <v>43</v>
      </c>
      <c r="S524" t="s">
        <v>47</v>
      </c>
      <c r="T524" t="s">
        <v>50</v>
      </c>
      <c r="U524">
        <v>1333</v>
      </c>
      <c r="V524">
        <v>3</v>
      </c>
      <c r="AG524" t="s">
        <v>4</v>
      </c>
      <c r="AH524" t="s">
        <v>214</v>
      </c>
      <c r="AN524">
        <v>19</v>
      </c>
      <c r="AO524">
        <v>0.23400000000000001</v>
      </c>
      <c r="AS524" t="s">
        <v>849</v>
      </c>
      <c r="AT524" t="s">
        <v>849</v>
      </c>
      <c r="AV524" t="s">
        <v>1803</v>
      </c>
      <c r="AW524" t="s">
        <v>1815</v>
      </c>
      <c r="AX524" t="s">
        <v>1821</v>
      </c>
      <c r="AY524" t="s">
        <v>1806</v>
      </c>
      <c r="AZ524" t="s">
        <v>76</v>
      </c>
    </row>
    <row r="525" spans="1:52" x14ac:dyDescent="0.2">
      <c r="A525" t="s">
        <v>1231</v>
      </c>
      <c r="B525" t="s">
        <v>1228</v>
      </c>
      <c r="C525" t="s">
        <v>1232</v>
      </c>
      <c r="D525">
        <v>2010</v>
      </c>
      <c r="E525" t="s">
        <v>1323</v>
      </c>
      <c r="F525" t="s">
        <v>1395</v>
      </c>
      <c r="G525" t="s">
        <v>1478</v>
      </c>
      <c r="H525" t="s">
        <v>1693</v>
      </c>
      <c r="I525" t="s">
        <v>1094</v>
      </c>
      <c r="J525" t="s">
        <v>31</v>
      </c>
      <c r="K525" t="s">
        <v>34</v>
      </c>
      <c r="O525" s="18" t="s">
        <v>20</v>
      </c>
      <c r="P525" s="18" t="s">
        <v>24</v>
      </c>
      <c r="Q525" t="s">
        <v>38</v>
      </c>
      <c r="R525" t="s">
        <v>43</v>
      </c>
      <c r="S525" t="s">
        <v>47</v>
      </c>
      <c r="T525" t="s">
        <v>50</v>
      </c>
      <c r="U525">
        <v>1333</v>
      </c>
      <c r="V525">
        <v>3</v>
      </c>
      <c r="AG525" t="s">
        <v>4</v>
      </c>
      <c r="AH525" t="s">
        <v>214</v>
      </c>
      <c r="AN525">
        <v>19</v>
      </c>
      <c r="AO525">
        <v>-0.47099999999999997</v>
      </c>
      <c r="AS525" t="s">
        <v>849</v>
      </c>
      <c r="AT525" t="s">
        <v>849</v>
      </c>
      <c r="AV525" t="s">
        <v>1803</v>
      </c>
      <c r="AW525" t="s">
        <v>1815</v>
      </c>
      <c r="AX525" t="s">
        <v>1821</v>
      </c>
      <c r="AY525" t="s">
        <v>1806</v>
      </c>
      <c r="AZ525" t="s">
        <v>76</v>
      </c>
    </row>
    <row r="526" spans="1:52" x14ac:dyDescent="0.2">
      <c r="A526" t="s">
        <v>1231</v>
      </c>
      <c r="B526" t="s">
        <v>1228</v>
      </c>
      <c r="C526" t="s">
        <v>1232</v>
      </c>
      <c r="D526">
        <v>2010</v>
      </c>
      <c r="E526" t="s">
        <v>1323</v>
      </c>
      <c r="F526" t="s">
        <v>1395</v>
      </c>
      <c r="G526" t="s">
        <v>1478</v>
      </c>
      <c r="H526" t="s">
        <v>1694</v>
      </c>
      <c r="I526" t="s">
        <v>1094</v>
      </c>
      <c r="J526" t="s">
        <v>31</v>
      </c>
      <c r="K526" t="s">
        <v>34</v>
      </c>
      <c r="O526" s="18" t="s">
        <v>20</v>
      </c>
      <c r="P526" s="18" t="s">
        <v>24</v>
      </c>
      <c r="Q526" t="s">
        <v>37</v>
      </c>
      <c r="R526" t="s">
        <v>42</v>
      </c>
      <c r="S526" t="s">
        <v>47</v>
      </c>
      <c r="T526" t="s">
        <v>50</v>
      </c>
      <c r="U526">
        <v>1333</v>
      </c>
      <c r="V526">
        <v>3</v>
      </c>
      <c r="AG526" t="s">
        <v>4</v>
      </c>
      <c r="AH526" t="s">
        <v>214</v>
      </c>
      <c r="AN526">
        <v>19</v>
      </c>
      <c r="AO526">
        <v>0.16200000000000001</v>
      </c>
      <c r="AS526" t="s">
        <v>849</v>
      </c>
      <c r="AT526" t="s">
        <v>849</v>
      </c>
      <c r="AV526" t="s">
        <v>1803</v>
      </c>
      <c r="AW526" t="s">
        <v>1815</v>
      </c>
      <c r="AX526" t="s">
        <v>1821</v>
      </c>
      <c r="AY526" t="s">
        <v>1806</v>
      </c>
      <c r="AZ526" t="s">
        <v>76</v>
      </c>
    </row>
    <row r="527" spans="1:52" x14ac:dyDescent="0.2">
      <c r="A527" t="s">
        <v>1231</v>
      </c>
      <c r="B527" t="s">
        <v>1228</v>
      </c>
      <c r="C527" t="s">
        <v>1232</v>
      </c>
      <c r="D527">
        <v>2010</v>
      </c>
      <c r="E527" t="s">
        <v>1323</v>
      </c>
      <c r="F527" t="s">
        <v>1395</v>
      </c>
      <c r="G527" t="s">
        <v>1478</v>
      </c>
      <c r="H527" t="s">
        <v>1695</v>
      </c>
      <c r="I527" t="s">
        <v>1094</v>
      </c>
      <c r="J527" t="s">
        <v>31</v>
      </c>
      <c r="K527" t="s">
        <v>34</v>
      </c>
      <c r="O527" s="18" t="s">
        <v>20</v>
      </c>
      <c r="P527" s="18" t="s">
        <v>24</v>
      </c>
      <c r="Q527" t="s">
        <v>37</v>
      </c>
      <c r="R527" t="s">
        <v>42</v>
      </c>
      <c r="S527" t="s">
        <v>47</v>
      </c>
      <c r="T527" t="s">
        <v>50</v>
      </c>
      <c r="U527">
        <v>1333</v>
      </c>
      <c r="V527">
        <v>3</v>
      </c>
      <c r="AG527" t="s">
        <v>4</v>
      </c>
      <c r="AH527" t="s">
        <v>214</v>
      </c>
      <c r="AN527">
        <v>19</v>
      </c>
      <c r="AO527">
        <v>-0.17899999999999999</v>
      </c>
      <c r="AS527" t="s">
        <v>849</v>
      </c>
      <c r="AT527" t="s">
        <v>222</v>
      </c>
      <c r="AV527" t="s">
        <v>1803</v>
      </c>
      <c r="AW527" t="s">
        <v>1815</v>
      </c>
      <c r="AX527" t="s">
        <v>1821</v>
      </c>
      <c r="AY527" t="s">
        <v>1806</v>
      </c>
      <c r="AZ527" t="s">
        <v>76</v>
      </c>
    </row>
    <row r="528" spans="1:52" x14ac:dyDescent="0.2">
      <c r="A528" t="s">
        <v>1231</v>
      </c>
      <c r="B528" t="s">
        <v>1228</v>
      </c>
      <c r="C528" t="s">
        <v>1232</v>
      </c>
      <c r="D528">
        <v>2010</v>
      </c>
      <c r="E528" t="s">
        <v>1323</v>
      </c>
      <c r="F528" t="s">
        <v>1395</v>
      </c>
      <c r="G528" t="s">
        <v>1478</v>
      </c>
      <c r="H528" t="s">
        <v>1696</v>
      </c>
      <c r="I528" t="s">
        <v>1094</v>
      </c>
      <c r="J528" t="s">
        <v>31</v>
      </c>
      <c r="K528" t="s">
        <v>34</v>
      </c>
      <c r="O528" s="18" t="s">
        <v>20</v>
      </c>
      <c r="P528" s="18" t="s">
        <v>24</v>
      </c>
      <c r="Q528" t="s">
        <v>37</v>
      </c>
      <c r="R528" t="s">
        <v>42</v>
      </c>
      <c r="S528" t="s">
        <v>47</v>
      </c>
      <c r="T528" t="s">
        <v>50</v>
      </c>
      <c r="U528">
        <v>1333</v>
      </c>
      <c r="V528">
        <v>3</v>
      </c>
      <c r="AG528" t="s">
        <v>4</v>
      </c>
      <c r="AH528" t="s">
        <v>214</v>
      </c>
      <c r="AN528">
        <v>19</v>
      </c>
      <c r="AO528">
        <v>4.1000000000000002E-2</v>
      </c>
      <c r="AS528" t="s">
        <v>849</v>
      </c>
      <c r="AT528" t="s">
        <v>849</v>
      </c>
      <c r="AV528" t="s">
        <v>1803</v>
      </c>
      <c r="AW528" t="s">
        <v>1815</v>
      </c>
      <c r="AX528" t="s">
        <v>1821</v>
      </c>
      <c r="AY528" t="s">
        <v>1806</v>
      </c>
      <c r="AZ528" t="s">
        <v>76</v>
      </c>
    </row>
    <row r="529" spans="1:52" x14ac:dyDescent="0.2">
      <c r="A529" t="s">
        <v>1231</v>
      </c>
      <c r="B529" t="s">
        <v>1228</v>
      </c>
      <c r="C529" t="s">
        <v>1232</v>
      </c>
      <c r="D529">
        <v>2010</v>
      </c>
      <c r="E529" t="s">
        <v>1323</v>
      </c>
      <c r="F529" t="s">
        <v>1395</v>
      </c>
      <c r="G529" t="s">
        <v>1478</v>
      </c>
      <c r="H529" t="s">
        <v>1697</v>
      </c>
      <c r="I529" t="s">
        <v>1094</v>
      </c>
      <c r="J529" t="s">
        <v>31</v>
      </c>
      <c r="K529" t="s">
        <v>34</v>
      </c>
      <c r="O529" s="18" t="s">
        <v>20</v>
      </c>
      <c r="P529" s="18" t="s">
        <v>24</v>
      </c>
      <c r="Q529" t="s">
        <v>37</v>
      </c>
      <c r="R529" t="s">
        <v>42</v>
      </c>
      <c r="S529" t="s">
        <v>47</v>
      </c>
      <c r="T529" t="s">
        <v>50</v>
      </c>
      <c r="U529">
        <v>1333</v>
      </c>
      <c r="V529">
        <v>3</v>
      </c>
      <c r="AG529" t="s">
        <v>4</v>
      </c>
      <c r="AH529" t="s">
        <v>214</v>
      </c>
      <c r="AN529">
        <v>19</v>
      </c>
      <c r="AO529">
        <v>0.14899999999999999</v>
      </c>
      <c r="AS529" t="s">
        <v>849</v>
      </c>
      <c r="AT529" t="s">
        <v>849</v>
      </c>
      <c r="AV529" t="s">
        <v>1803</v>
      </c>
      <c r="AW529" t="s">
        <v>1815</v>
      </c>
      <c r="AX529" t="s">
        <v>1821</v>
      </c>
      <c r="AY529" t="s">
        <v>1806</v>
      </c>
      <c r="AZ529" t="s">
        <v>76</v>
      </c>
    </row>
    <row r="530" spans="1:52" x14ac:dyDescent="0.2">
      <c r="A530" t="s">
        <v>1231</v>
      </c>
      <c r="B530" t="s">
        <v>1228</v>
      </c>
      <c r="C530" t="s">
        <v>1232</v>
      </c>
      <c r="D530">
        <v>2010</v>
      </c>
      <c r="E530" t="s">
        <v>1323</v>
      </c>
      <c r="F530" t="s">
        <v>1395</v>
      </c>
      <c r="G530" t="s">
        <v>1478</v>
      </c>
      <c r="H530" t="s">
        <v>1698</v>
      </c>
      <c r="I530" t="s">
        <v>1094</v>
      </c>
      <c r="J530" t="s">
        <v>31</v>
      </c>
      <c r="K530" t="s">
        <v>34</v>
      </c>
      <c r="O530" s="18" t="s">
        <v>20</v>
      </c>
      <c r="P530" s="18" t="s">
        <v>24</v>
      </c>
      <c r="Q530" t="s">
        <v>37</v>
      </c>
      <c r="R530" t="s">
        <v>42</v>
      </c>
      <c r="S530" t="s">
        <v>47</v>
      </c>
      <c r="T530" t="s">
        <v>50</v>
      </c>
      <c r="U530">
        <v>1333</v>
      </c>
      <c r="V530">
        <v>3</v>
      </c>
      <c r="AG530" t="s">
        <v>4</v>
      </c>
      <c r="AH530" t="s">
        <v>214</v>
      </c>
      <c r="AN530">
        <v>19</v>
      </c>
      <c r="AO530">
        <v>5.1999999999999998E-2</v>
      </c>
      <c r="AS530" t="s">
        <v>849</v>
      </c>
      <c r="AT530" t="s">
        <v>222</v>
      </c>
      <c r="AV530" t="s">
        <v>1803</v>
      </c>
      <c r="AW530" t="s">
        <v>1815</v>
      </c>
      <c r="AX530" t="s">
        <v>1821</v>
      </c>
      <c r="AY530" t="s">
        <v>1806</v>
      </c>
      <c r="AZ530" t="s">
        <v>76</v>
      </c>
    </row>
    <row r="531" spans="1:52" x14ac:dyDescent="0.2">
      <c r="A531" t="s">
        <v>1231</v>
      </c>
      <c r="B531" t="s">
        <v>1228</v>
      </c>
      <c r="C531" t="s">
        <v>1232</v>
      </c>
      <c r="D531">
        <v>2010</v>
      </c>
      <c r="E531" t="s">
        <v>1323</v>
      </c>
      <c r="F531" t="s">
        <v>1395</v>
      </c>
      <c r="G531" t="s">
        <v>1478</v>
      </c>
      <c r="H531" t="s">
        <v>1699</v>
      </c>
      <c r="I531" t="s">
        <v>1094</v>
      </c>
      <c r="J531" t="s">
        <v>31</v>
      </c>
      <c r="K531" t="s">
        <v>34</v>
      </c>
      <c r="O531" s="18" t="s">
        <v>20</v>
      </c>
      <c r="P531" s="18" t="s">
        <v>24</v>
      </c>
      <c r="Q531" t="s">
        <v>37</v>
      </c>
      <c r="R531" t="s">
        <v>42</v>
      </c>
      <c r="S531" t="s">
        <v>47</v>
      </c>
      <c r="T531" t="s">
        <v>50</v>
      </c>
      <c r="U531">
        <v>1333</v>
      </c>
      <c r="V531">
        <v>3</v>
      </c>
      <c r="AG531" t="s">
        <v>4</v>
      </c>
      <c r="AH531" t="s">
        <v>214</v>
      </c>
      <c r="AN531">
        <v>19</v>
      </c>
      <c r="AO531">
        <v>-0.43</v>
      </c>
      <c r="AS531" t="s">
        <v>849</v>
      </c>
      <c r="AT531" t="s">
        <v>849</v>
      </c>
      <c r="AV531" t="s">
        <v>1803</v>
      </c>
      <c r="AW531" t="s">
        <v>1815</v>
      </c>
      <c r="AX531" t="s">
        <v>1821</v>
      </c>
      <c r="AY531" t="s">
        <v>1806</v>
      </c>
      <c r="AZ531" t="s">
        <v>76</v>
      </c>
    </row>
    <row r="532" spans="1:52" x14ac:dyDescent="0.2">
      <c r="A532" t="s">
        <v>1231</v>
      </c>
      <c r="B532" t="s">
        <v>1228</v>
      </c>
      <c r="C532" t="s">
        <v>1232</v>
      </c>
      <c r="D532">
        <v>2010</v>
      </c>
      <c r="E532" t="s">
        <v>1323</v>
      </c>
      <c r="F532" t="s">
        <v>1395</v>
      </c>
      <c r="G532" t="s">
        <v>1478</v>
      </c>
      <c r="H532" t="s">
        <v>1700</v>
      </c>
      <c r="I532" t="s">
        <v>1094</v>
      </c>
      <c r="J532" t="s">
        <v>31</v>
      </c>
      <c r="K532" t="s">
        <v>34</v>
      </c>
      <c r="O532" s="18" t="s">
        <v>20</v>
      </c>
      <c r="P532" s="18" t="s">
        <v>24</v>
      </c>
      <c r="Q532" t="s">
        <v>37</v>
      </c>
      <c r="R532" t="s">
        <v>42</v>
      </c>
      <c r="S532" t="s">
        <v>47</v>
      </c>
      <c r="T532" t="s">
        <v>50</v>
      </c>
      <c r="U532">
        <v>1333</v>
      </c>
      <c r="V532">
        <v>3</v>
      </c>
      <c r="AG532" t="s">
        <v>4</v>
      </c>
      <c r="AH532" t="s">
        <v>214</v>
      </c>
      <c r="AN532">
        <v>19</v>
      </c>
      <c r="AO532">
        <v>-0.24299999999999999</v>
      </c>
      <c r="AS532" t="s">
        <v>849</v>
      </c>
      <c r="AT532" t="s">
        <v>222</v>
      </c>
      <c r="AV532" t="s">
        <v>1803</v>
      </c>
      <c r="AW532" t="s">
        <v>1815</v>
      </c>
      <c r="AX532" t="s">
        <v>1821</v>
      </c>
      <c r="AY532" t="s">
        <v>1806</v>
      </c>
      <c r="AZ532" t="s">
        <v>76</v>
      </c>
    </row>
    <row r="533" spans="1:52" x14ac:dyDescent="0.2">
      <c r="A533" t="s">
        <v>1231</v>
      </c>
      <c r="B533" t="s">
        <v>1228</v>
      </c>
      <c r="C533" t="s">
        <v>1232</v>
      </c>
      <c r="D533">
        <v>2010</v>
      </c>
      <c r="E533" t="s">
        <v>1323</v>
      </c>
      <c r="F533" t="s">
        <v>1395</v>
      </c>
      <c r="G533" t="s">
        <v>1478</v>
      </c>
      <c r="H533" t="s">
        <v>1701</v>
      </c>
      <c r="I533" t="s">
        <v>1094</v>
      </c>
      <c r="J533" t="s">
        <v>31</v>
      </c>
      <c r="K533" t="s">
        <v>34</v>
      </c>
      <c r="O533" s="18" t="s">
        <v>20</v>
      </c>
      <c r="P533" s="18" t="s">
        <v>24</v>
      </c>
      <c r="Q533" t="s">
        <v>37</v>
      </c>
      <c r="R533" t="s">
        <v>42</v>
      </c>
      <c r="S533" t="s">
        <v>47</v>
      </c>
      <c r="T533" t="s">
        <v>50</v>
      </c>
      <c r="U533">
        <v>1333</v>
      </c>
      <c r="V533">
        <v>3</v>
      </c>
      <c r="AG533" t="s">
        <v>4</v>
      </c>
      <c r="AH533" t="s">
        <v>214</v>
      </c>
      <c r="AN533">
        <v>19</v>
      </c>
      <c r="AO533">
        <v>0.33100000000000002</v>
      </c>
      <c r="AS533" t="s">
        <v>849</v>
      </c>
      <c r="AT533" t="s">
        <v>849</v>
      </c>
      <c r="AV533" t="s">
        <v>1803</v>
      </c>
      <c r="AW533" t="s">
        <v>1815</v>
      </c>
      <c r="AX533" t="s">
        <v>1821</v>
      </c>
      <c r="AY533" t="s">
        <v>1806</v>
      </c>
      <c r="AZ533" t="s">
        <v>76</v>
      </c>
    </row>
    <row r="534" spans="1:52" x14ac:dyDescent="0.2">
      <c r="A534" t="s">
        <v>1231</v>
      </c>
      <c r="B534" t="s">
        <v>1228</v>
      </c>
      <c r="C534" t="s">
        <v>1232</v>
      </c>
      <c r="D534">
        <v>2010</v>
      </c>
      <c r="E534" t="s">
        <v>1323</v>
      </c>
      <c r="F534" t="s">
        <v>1395</v>
      </c>
      <c r="G534" t="s">
        <v>1478</v>
      </c>
      <c r="H534" t="s">
        <v>1702</v>
      </c>
      <c r="I534" t="s">
        <v>1094</v>
      </c>
      <c r="J534" t="s">
        <v>31</v>
      </c>
      <c r="K534" t="s">
        <v>34</v>
      </c>
      <c r="O534" s="18" t="s">
        <v>20</v>
      </c>
      <c r="P534" s="18" t="s">
        <v>24</v>
      </c>
      <c r="Q534" t="s">
        <v>37</v>
      </c>
      <c r="R534" t="s">
        <v>42</v>
      </c>
      <c r="S534" t="s">
        <v>47</v>
      </c>
      <c r="T534" t="s">
        <v>50</v>
      </c>
      <c r="U534">
        <v>1333</v>
      </c>
      <c r="V534">
        <v>3</v>
      </c>
      <c r="AG534" t="s">
        <v>4</v>
      </c>
      <c r="AH534" t="s">
        <v>214</v>
      </c>
      <c r="AN534">
        <v>19</v>
      </c>
      <c r="AO534">
        <v>-0.48299999999999998</v>
      </c>
      <c r="AS534" t="s">
        <v>849</v>
      </c>
      <c r="AT534" t="s">
        <v>849</v>
      </c>
      <c r="AV534" t="s">
        <v>1803</v>
      </c>
      <c r="AW534" t="s">
        <v>1815</v>
      </c>
      <c r="AX534" t="s">
        <v>1821</v>
      </c>
      <c r="AY534" t="s">
        <v>1806</v>
      </c>
      <c r="AZ534" t="s">
        <v>76</v>
      </c>
    </row>
    <row r="535" spans="1:52" x14ac:dyDescent="0.2">
      <c r="A535" t="s">
        <v>1231</v>
      </c>
      <c r="B535" t="s">
        <v>1228</v>
      </c>
      <c r="C535" t="s">
        <v>1232</v>
      </c>
      <c r="D535">
        <v>2010</v>
      </c>
      <c r="E535" t="s">
        <v>1323</v>
      </c>
      <c r="F535" t="s">
        <v>1395</v>
      </c>
      <c r="G535" t="s">
        <v>1478</v>
      </c>
      <c r="H535" t="s">
        <v>1703</v>
      </c>
      <c r="I535" t="s">
        <v>1094</v>
      </c>
      <c r="J535" t="s">
        <v>31</v>
      </c>
      <c r="K535" t="s">
        <v>34</v>
      </c>
      <c r="O535" s="18" t="s">
        <v>20</v>
      </c>
      <c r="P535" s="18" t="s">
        <v>24</v>
      </c>
      <c r="Q535" t="s">
        <v>37</v>
      </c>
      <c r="R535" t="s">
        <v>40</v>
      </c>
      <c r="S535" t="s">
        <v>47</v>
      </c>
      <c r="T535" t="s">
        <v>50</v>
      </c>
      <c r="U535">
        <v>1333</v>
      </c>
      <c r="V535">
        <v>3</v>
      </c>
      <c r="AG535" t="s">
        <v>4</v>
      </c>
      <c r="AH535" t="s">
        <v>214</v>
      </c>
      <c r="AN535">
        <v>19</v>
      </c>
      <c r="AO535">
        <v>0.13200000000000001</v>
      </c>
      <c r="AS535" t="s">
        <v>849</v>
      </c>
      <c r="AT535" t="s">
        <v>849</v>
      </c>
      <c r="AV535" t="s">
        <v>1803</v>
      </c>
      <c r="AW535" t="s">
        <v>1815</v>
      </c>
      <c r="AX535" t="s">
        <v>1821</v>
      </c>
      <c r="AY535" t="s">
        <v>1806</v>
      </c>
      <c r="AZ535" t="s">
        <v>76</v>
      </c>
    </row>
    <row r="536" spans="1:52" x14ac:dyDescent="0.2">
      <c r="A536" t="s">
        <v>1231</v>
      </c>
      <c r="B536" t="s">
        <v>1228</v>
      </c>
      <c r="C536" t="s">
        <v>1232</v>
      </c>
      <c r="D536">
        <v>2010</v>
      </c>
      <c r="E536" t="s">
        <v>1323</v>
      </c>
      <c r="F536" t="s">
        <v>1395</v>
      </c>
      <c r="G536" t="s">
        <v>1478</v>
      </c>
      <c r="H536" t="s">
        <v>1704</v>
      </c>
      <c r="I536" t="s">
        <v>1094</v>
      </c>
      <c r="J536" t="s">
        <v>31</v>
      </c>
      <c r="K536" t="s">
        <v>34</v>
      </c>
      <c r="O536" s="18" t="s">
        <v>20</v>
      </c>
      <c r="P536" s="18" t="s">
        <v>24</v>
      </c>
      <c r="Q536" t="s">
        <v>37</v>
      </c>
      <c r="R536" t="s">
        <v>40</v>
      </c>
      <c r="S536" t="s">
        <v>47</v>
      </c>
      <c r="T536" t="s">
        <v>50</v>
      </c>
      <c r="U536">
        <v>1333</v>
      </c>
      <c r="V536">
        <v>3</v>
      </c>
      <c r="AG536" t="s">
        <v>4</v>
      </c>
      <c r="AH536" t="s">
        <v>214</v>
      </c>
      <c r="AN536">
        <v>19</v>
      </c>
      <c r="AO536">
        <v>-0.27300000000000002</v>
      </c>
      <c r="AS536" t="s">
        <v>849</v>
      </c>
      <c r="AT536" t="s">
        <v>222</v>
      </c>
      <c r="AV536" t="s">
        <v>1803</v>
      </c>
      <c r="AW536" t="s">
        <v>1815</v>
      </c>
      <c r="AX536" t="s">
        <v>1821</v>
      </c>
      <c r="AY536" t="s">
        <v>1806</v>
      </c>
      <c r="AZ536" t="s">
        <v>76</v>
      </c>
    </row>
    <row r="537" spans="1:52" x14ac:dyDescent="0.2">
      <c r="A537" t="s">
        <v>1231</v>
      </c>
      <c r="B537" t="s">
        <v>1228</v>
      </c>
      <c r="C537" t="s">
        <v>1232</v>
      </c>
      <c r="D537">
        <v>2010</v>
      </c>
      <c r="E537" t="s">
        <v>1323</v>
      </c>
      <c r="F537" t="s">
        <v>1395</v>
      </c>
      <c r="G537" t="s">
        <v>1478</v>
      </c>
      <c r="H537" t="s">
        <v>1705</v>
      </c>
      <c r="I537" t="s">
        <v>1094</v>
      </c>
      <c r="J537" t="s">
        <v>31</v>
      </c>
      <c r="K537" t="s">
        <v>34</v>
      </c>
      <c r="O537" s="18" t="s">
        <v>20</v>
      </c>
      <c r="P537" s="18" t="s">
        <v>24</v>
      </c>
      <c r="Q537" t="s">
        <v>37</v>
      </c>
      <c r="R537" t="s">
        <v>40</v>
      </c>
      <c r="S537" t="s">
        <v>47</v>
      </c>
      <c r="T537" t="s">
        <v>50</v>
      </c>
      <c r="U537">
        <v>1333</v>
      </c>
      <c r="V537">
        <v>3</v>
      </c>
      <c r="AG537" t="s">
        <v>4</v>
      </c>
      <c r="AH537" t="s">
        <v>214</v>
      </c>
      <c r="AN537">
        <v>19</v>
      </c>
      <c r="AO537">
        <v>0.312</v>
      </c>
      <c r="AS537" t="s">
        <v>849</v>
      </c>
      <c r="AT537" t="s">
        <v>849</v>
      </c>
      <c r="AV537" t="s">
        <v>1803</v>
      </c>
      <c r="AW537" t="s">
        <v>1815</v>
      </c>
      <c r="AX537" t="s">
        <v>1821</v>
      </c>
      <c r="AY537" t="s">
        <v>1806</v>
      </c>
      <c r="AZ537" t="s">
        <v>76</v>
      </c>
    </row>
    <row r="538" spans="1:52" x14ac:dyDescent="0.2">
      <c r="A538" t="s">
        <v>1231</v>
      </c>
      <c r="B538" t="s">
        <v>1228</v>
      </c>
      <c r="C538" t="s">
        <v>1232</v>
      </c>
      <c r="D538">
        <v>2010</v>
      </c>
      <c r="E538" t="s">
        <v>1323</v>
      </c>
      <c r="F538" t="s">
        <v>1395</v>
      </c>
      <c r="G538" t="s">
        <v>1478</v>
      </c>
      <c r="H538" t="s">
        <v>1706</v>
      </c>
      <c r="I538" t="s">
        <v>1094</v>
      </c>
      <c r="J538" t="s">
        <v>31</v>
      </c>
      <c r="K538" t="s">
        <v>34</v>
      </c>
      <c r="O538" s="18" t="s">
        <v>20</v>
      </c>
      <c r="P538" s="18" t="s">
        <v>24</v>
      </c>
      <c r="Q538" t="s">
        <v>37</v>
      </c>
      <c r="R538" t="s">
        <v>40</v>
      </c>
      <c r="S538" t="s">
        <v>47</v>
      </c>
      <c r="T538" t="s">
        <v>50</v>
      </c>
      <c r="U538">
        <v>1333</v>
      </c>
      <c r="V538">
        <v>3</v>
      </c>
      <c r="AG538" t="s">
        <v>4</v>
      </c>
      <c r="AH538" t="s">
        <v>214</v>
      </c>
      <c r="AN538">
        <v>19</v>
      </c>
      <c r="AO538">
        <v>0.182</v>
      </c>
      <c r="AS538" t="s">
        <v>849</v>
      </c>
      <c r="AT538" t="s">
        <v>849</v>
      </c>
      <c r="AV538" t="s">
        <v>1803</v>
      </c>
      <c r="AW538" t="s">
        <v>1815</v>
      </c>
      <c r="AX538" t="s">
        <v>1821</v>
      </c>
      <c r="AY538" t="s">
        <v>1806</v>
      </c>
      <c r="AZ538" t="s">
        <v>76</v>
      </c>
    </row>
    <row r="539" spans="1:52" x14ac:dyDescent="0.2">
      <c r="A539" t="s">
        <v>1231</v>
      </c>
      <c r="B539" t="s">
        <v>1228</v>
      </c>
      <c r="C539" t="s">
        <v>1232</v>
      </c>
      <c r="D539">
        <v>2010</v>
      </c>
      <c r="E539" t="s">
        <v>1323</v>
      </c>
      <c r="F539" t="s">
        <v>1395</v>
      </c>
      <c r="G539" t="s">
        <v>1478</v>
      </c>
      <c r="H539" t="s">
        <v>1707</v>
      </c>
      <c r="I539" t="s">
        <v>1094</v>
      </c>
      <c r="J539" t="s">
        <v>31</v>
      </c>
      <c r="K539" t="s">
        <v>34</v>
      </c>
      <c r="O539" s="18" t="s">
        <v>20</v>
      </c>
      <c r="P539" s="18" t="s">
        <v>24</v>
      </c>
      <c r="Q539" t="s">
        <v>37</v>
      </c>
      <c r="R539" t="s">
        <v>40</v>
      </c>
      <c r="S539" t="s">
        <v>47</v>
      </c>
      <c r="T539" t="s">
        <v>50</v>
      </c>
      <c r="U539">
        <v>1333</v>
      </c>
      <c r="V539">
        <v>3</v>
      </c>
      <c r="AG539" t="s">
        <v>4</v>
      </c>
      <c r="AH539" t="s">
        <v>214</v>
      </c>
      <c r="AN539">
        <v>19</v>
      </c>
      <c r="AO539">
        <v>-2.4E-2</v>
      </c>
      <c r="AS539" t="s">
        <v>849</v>
      </c>
      <c r="AT539" t="s">
        <v>222</v>
      </c>
      <c r="AV539" t="s">
        <v>1803</v>
      </c>
      <c r="AW539" t="s">
        <v>1815</v>
      </c>
      <c r="AX539" t="s">
        <v>1821</v>
      </c>
      <c r="AY539" t="s">
        <v>1806</v>
      </c>
      <c r="AZ539" t="s">
        <v>76</v>
      </c>
    </row>
    <row r="540" spans="1:52" x14ac:dyDescent="0.2">
      <c r="A540" t="s">
        <v>1231</v>
      </c>
      <c r="B540" t="s">
        <v>1228</v>
      </c>
      <c r="C540" t="s">
        <v>1232</v>
      </c>
      <c r="D540">
        <v>2010</v>
      </c>
      <c r="E540" t="s">
        <v>1323</v>
      </c>
      <c r="F540" t="s">
        <v>1395</v>
      </c>
      <c r="G540" t="s">
        <v>1478</v>
      </c>
      <c r="H540" t="s">
        <v>1708</v>
      </c>
      <c r="I540" t="s">
        <v>1094</v>
      </c>
      <c r="J540" t="s">
        <v>31</v>
      </c>
      <c r="K540" t="s">
        <v>34</v>
      </c>
      <c r="O540" s="18" t="s">
        <v>20</v>
      </c>
      <c r="P540" s="18" t="s">
        <v>24</v>
      </c>
      <c r="Q540" t="s">
        <v>37</v>
      </c>
      <c r="R540" t="s">
        <v>40</v>
      </c>
      <c r="S540" t="s">
        <v>47</v>
      </c>
      <c r="T540" t="s">
        <v>50</v>
      </c>
      <c r="U540">
        <v>1333</v>
      </c>
      <c r="V540">
        <v>3</v>
      </c>
      <c r="AG540" t="s">
        <v>4</v>
      </c>
      <c r="AH540" t="s">
        <v>214</v>
      </c>
      <c r="AN540">
        <v>19</v>
      </c>
      <c r="AO540">
        <v>0.16900000000000001</v>
      </c>
      <c r="AS540" t="s">
        <v>849</v>
      </c>
      <c r="AT540" t="s">
        <v>849</v>
      </c>
      <c r="AV540" t="s">
        <v>1803</v>
      </c>
      <c r="AW540" t="s">
        <v>1815</v>
      </c>
      <c r="AX540" t="s">
        <v>1821</v>
      </c>
      <c r="AY540" t="s">
        <v>1806</v>
      </c>
      <c r="AZ540" t="s">
        <v>76</v>
      </c>
    </row>
    <row r="541" spans="1:52" x14ac:dyDescent="0.2">
      <c r="A541" t="s">
        <v>1231</v>
      </c>
      <c r="B541" t="s">
        <v>1228</v>
      </c>
      <c r="C541" t="s">
        <v>1232</v>
      </c>
      <c r="D541">
        <v>2010</v>
      </c>
      <c r="E541" t="s">
        <v>1323</v>
      </c>
      <c r="F541" t="s">
        <v>1395</v>
      </c>
      <c r="G541" t="s">
        <v>1478</v>
      </c>
      <c r="H541" t="s">
        <v>1709</v>
      </c>
      <c r="I541" t="s">
        <v>1094</v>
      </c>
      <c r="J541" t="s">
        <v>31</v>
      </c>
      <c r="K541" t="s">
        <v>34</v>
      </c>
      <c r="O541" s="18" t="s">
        <v>20</v>
      </c>
      <c r="P541" s="18" t="s">
        <v>24</v>
      </c>
      <c r="Q541" t="s">
        <v>37</v>
      </c>
      <c r="R541" t="s">
        <v>40</v>
      </c>
      <c r="S541" t="s">
        <v>47</v>
      </c>
      <c r="T541" t="s">
        <v>50</v>
      </c>
      <c r="U541">
        <v>1333</v>
      </c>
      <c r="V541">
        <v>3</v>
      </c>
      <c r="AG541" t="s">
        <v>4</v>
      </c>
      <c r="AH541" t="s">
        <v>214</v>
      </c>
      <c r="AN541">
        <v>19</v>
      </c>
      <c r="AO541">
        <v>-0.18</v>
      </c>
      <c r="AS541" t="s">
        <v>849</v>
      </c>
      <c r="AT541" t="s">
        <v>222</v>
      </c>
      <c r="AV541" t="s">
        <v>1803</v>
      </c>
      <c r="AW541" t="s">
        <v>1815</v>
      </c>
      <c r="AX541" t="s">
        <v>1821</v>
      </c>
      <c r="AY541" t="s">
        <v>1806</v>
      </c>
      <c r="AZ541" t="s">
        <v>76</v>
      </c>
    </row>
    <row r="542" spans="1:52" x14ac:dyDescent="0.2">
      <c r="A542" t="s">
        <v>1231</v>
      </c>
      <c r="B542" t="s">
        <v>1228</v>
      </c>
      <c r="C542" t="s">
        <v>1232</v>
      </c>
      <c r="D542">
        <v>2010</v>
      </c>
      <c r="E542" t="s">
        <v>1323</v>
      </c>
      <c r="F542" t="s">
        <v>1395</v>
      </c>
      <c r="G542" t="s">
        <v>1478</v>
      </c>
      <c r="H542" t="s">
        <v>1710</v>
      </c>
      <c r="I542" t="s">
        <v>1094</v>
      </c>
      <c r="J542" t="s">
        <v>31</v>
      </c>
      <c r="K542" t="s">
        <v>34</v>
      </c>
      <c r="O542" s="18" t="s">
        <v>20</v>
      </c>
      <c r="P542" s="18" t="s">
        <v>24</v>
      </c>
      <c r="Q542" t="s">
        <v>37</v>
      </c>
      <c r="R542" t="s">
        <v>40</v>
      </c>
      <c r="S542" t="s">
        <v>47</v>
      </c>
      <c r="T542" t="s">
        <v>50</v>
      </c>
      <c r="U542">
        <v>1333</v>
      </c>
      <c r="V542">
        <v>3</v>
      </c>
      <c r="AG542" t="s">
        <v>4</v>
      </c>
      <c r="AH542" t="s">
        <v>214</v>
      </c>
      <c r="AN542">
        <v>19</v>
      </c>
      <c r="AO542">
        <v>-1.9E-2</v>
      </c>
      <c r="AS542" t="s">
        <v>849</v>
      </c>
      <c r="AT542" t="s">
        <v>849</v>
      </c>
      <c r="AV542" t="s">
        <v>1803</v>
      </c>
      <c r="AW542" t="s">
        <v>1815</v>
      </c>
      <c r="AX542" t="s">
        <v>1821</v>
      </c>
      <c r="AY542" t="s">
        <v>1806</v>
      </c>
      <c r="AZ542" t="s">
        <v>76</v>
      </c>
    </row>
    <row r="543" spans="1:52" x14ac:dyDescent="0.2">
      <c r="A543" t="s">
        <v>1231</v>
      </c>
      <c r="B543" t="s">
        <v>1228</v>
      </c>
      <c r="C543" t="s">
        <v>1232</v>
      </c>
      <c r="D543">
        <v>2010</v>
      </c>
      <c r="E543" t="s">
        <v>1323</v>
      </c>
      <c r="F543" t="s">
        <v>1395</v>
      </c>
      <c r="G543" t="s">
        <v>1478</v>
      </c>
      <c r="H543" t="s">
        <v>1711</v>
      </c>
      <c r="I543" t="s">
        <v>1094</v>
      </c>
      <c r="J543" t="s">
        <v>31</v>
      </c>
      <c r="K543" t="s">
        <v>34</v>
      </c>
      <c r="O543" s="18" t="s">
        <v>20</v>
      </c>
      <c r="P543" s="18" t="s">
        <v>24</v>
      </c>
      <c r="Q543" t="s">
        <v>37</v>
      </c>
      <c r="R543" t="s">
        <v>40</v>
      </c>
      <c r="S543" t="s">
        <v>47</v>
      </c>
      <c r="T543" t="s">
        <v>50</v>
      </c>
      <c r="U543">
        <v>1333</v>
      </c>
      <c r="V543">
        <v>3</v>
      </c>
      <c r="AG543" t="s">
        <v>4</v>
      </c>
      <c r="AH543" t="s">
        <v>214</v>
      </c>
      <c r="AN543">
        <v>19</v>
      </c>
      <c r="AO543">
        <v>1.4999999999999999E-2</v>
      </c>
      <c r="AS543" t="s">
        <v>849</v>
      </c>
      <c r="AT543" t="s">
        <v>849</v>
      </c>
      <c r="AV543" t="s">
        <v>1803</v>
      </c>
      <c r="AW543" t="s">
        <v>1815</v>
      </c>
      <c r="AX543" t="s">
        <v>1821</v>
      </c>
      <c r="AY543" t="s">
        <v>1806</v>
      </c>
      <c r="AZ543" t="s">
        <v>76</v>
      </c>
    </row>
    <row r="544" spans="1:52" x14ac:dyDescent="0.2">
      <c r="A544" t="s">
        <v>1233</v>
      </c>
      <c r="B544" t="s">
        <v>1234</v>
      </c>
      <c r="C544" t="s">
        <v>1235</v>
      </c>
      <c r="D544">
        <v>1998</v>
      </c>
      <c r="E544" t="s">
        <v>1324</v>
      </c>
      <c r="F544" t="s">
        <v>1396</v>
      </c>
      <c r="G544" t="s">
        <v>1479</v>
      </c>
      <c r="H544" t="s">
        <v>1712</v>
      </c>
      <c r="I544" t="s">
        <v>1236</v>
      </c>
      <c r="J544" t="s">
        <v>29</v>
      </c>
      <c r="K544" t="s">
        <v>35</v>
      </c>
      <c r="L544" t="s">
        <v>12</v>
      </c>
      <c r="O544" s="18" t="s">
        <v>76</v>
      </c>
      <c r="P544" s="18" t="s">
        <v>27</v>
      </c>
      <c r="Q544" t="s">
        <v>38</v>
      </c>
      <c r="R544" t="s">
        <v>43</v>
      </c>
      <c r="S544" t="s">
        <v>47</v>
      </c>
      <c r="T544" t="s">
        <v>51</v>
      </c>
      <c r="U544">
        <v>276</v>
      </c>
      <c r="W544">
        <v>5</v>
      </c>
      <c r="X544">
        <v>5</v>
      </c>
      <c r="AA544">
        <v>5.0999999999999997E-2</v>
      </c>
      <c r="AB544">
        <v>1.4E-2</v>
      </c>
      <c r="AC544">
        <v>1.2E-2</v>
      </c>
      <c r="AD544">
        <v>6.0000000000000001E-3</v>
      </c>
      <c r="AE544" t="s">
        <v>71</v>
      </c>
      <c r="AF544" t="s">
        <v>62</v>
      </c>
      <c r="AG544" t="str">
        <f>IF(AE544="mean", "mean", "")</f>
        <v>mean</v>
      </c>
      <c r="AH544" t="s">
        <v>213</v>
      </c>
      <c r="AS544" t="s">
        <v>849</v>
      </c>
      <c r="AT544" t="s">
        <v>849</v>
      </c>
      <c r="AV544" t="s">
        <v>1803</v>
      </c>
      <c r="AW544" t="s">
        <v>1815</v>
      </c>
      <c r="AX544" t="s">
        <v>1808</v>
      </c>
      <c r="AY544" t="s">
        <v>1814</v>
      </c>
      <c r="AZ544" t="s">
        <v>76</v>
      </c>
    </row>
    <row r="545" spans="1:52" x14ac:dyDescent="0.2">
      <c r="A545" t="s">
        <v>1233</v>
      </c>
      <c r="B545" t="s">
        <v>1234</v>
      </c>
      <c r="C545" t="s">
        <v>1235</v>
      </c>
      <c r="D545">
        <v>1998</v>
      </c>
      <c r="E545" t="s">
        <v>1324</v>
      </c>
      <c r="F545" t="s">
        <v>1397</v>
      </c>
      <c r="G545" t="s">
        <v>1480</v>
      </c>
      <c r="H545" t="s">
        <v>1713</v>
      </c>
      <c r="I545" s="7" t="s">
        <v>1236</v>
      </c>
      <c r="J545" s="7" t="s">
        <v>29</v>
      </c>
      <c r="K545" t="s">
        <v>34</v>
      </c>
      <c r="O545" s="18" t="s">
        <v>20</v>
      </c>
      <c r="P545" s="18" t="s">
        <v>26</v>
      </c>
      <c r="Q545" t="s">
        <v>38</v>
      </c>
      <c r="R545" t="s">
        <v>43</v>
      </c>
      <c r="S545" t="s">
        <v>47</v>
      </c>
      <c r="T545" t="s">
        <v>51</v>
      </c>
      <c r="U545">
        <v>276</v>
      </c>
      <c r="W545">
        <v>5</v>
      </c>
      <c r="X545">
        <v>8</v>
      </c>
      <c r="AA545">
        <v>4.1000000000000002E-2</v>
      </c>
      <c r="AB545">
        <v>1.2E-2</v>
      </c>
      <c r="AC545">
        <v>2.3E-2</v>
      </c>
      <c r="AD545">
        <v>1.2E-2</v>
      </c>
      <c r="AE545" t="s">
        <v>71</v>
      </c>
      <c r="AF545" t="s">
        <v>62</v>
      </c>
      <c r="AG545" t="str">
        <f>IF(AE545="mean", "mean", "")</f>
        <v>mean</v>
      </c>
      <c r="AH545" t="s">
        <v>213</v>
      </c>
      <c r="AS545" t="s">
        <v>849</v>
      </c>
      <c r="AT545" t="s">
        <v>849</v>
      </c>
      <c r="AV545" t="s">
        <v>1803</v>
      </c>
      <c r="AW545" t="s">
        <v>1815</v>
      </c>
      <c r="AX545" t="s">
        <v>1808</v>
      </c>
      <c r="AY545" t="s">
        <v>1814</v>
      </c>
      <c r="AZ545" t="s">
        <v>76</v>
      </c>
    </row>
    <row r="546" spans="1:52" x14ac:dyDescent="0.2">
      <c r="A546" t="s">
        <v>1237</v>
      </c>
      <c r="B546" t="s">
        <v>1238</v>
      </c>
      <c r="C546" t="s">
        <v>1239</v>
      </c>
      <c r="D546">
        <v>2012</v>
      </c>
      <c r="E546" t="s">
        <v>1325</v>
      </c>
      <c r="F546" t="s">
        <v>1398</v>
      </c>
      <c r="G546" t="s">
        <v>1481</v>
      </c>
      <c r="H546" t="s">
        <v>1714</v>
      </c>
      <c r="I546" t="s">
        <v>1240</v>
      </c>
      <c r="J546" s="7" t="s">
        <v>31</v>
      </c>
      <c r="K546" t="s">
        <v>34</v>
      </c>
      <c r="O546" s="18" t="s">
        <v>20</v>
      </c>
      <c r="P546" s="18" t="s">
        <v>24</v>
      </c>
      <c r="Q546" t="s">
        <v>38</v>
      </c>
      <c r="R546" t="s">
        <v>43</v>
      </c>
      <c r="S546" t="s">
        <v>47</v>
      </c>
      <c r="T546" t="s">
        <v>50</v>
      </c>
      <c r="U546">
        <v>313</v>
      </c>
      <c r="V546">
        <v>1</v>
      </c>
      <c r="AG546" t="s">
        <v>4</v>
      </c>
      <c r="AH546" t="s">
        <v>214</v>
      </c>
      <c r="AN546">
        <v>20</v>
      </c>
      <c r="AO546">
        <v>0.46400000000000002</v>
      </c>
      <c r="AS546" t="s">
        <v>849</v>
      </c>
      <c r="AT546" t="s">
        <v>849</v>
      </c>
      <c r="AV546" t="s">
        <v>1810</v>
      </c>
      <c r="AW546" t="s">
        <v>1804</v>
      </c>
      <c r="AX546" t="s">
        <v>1805</v>
      </c>
      <c r="AY546" t="s">
        <v>1806</v>
      </c>
      <c r="AZ546" t="s">
        <v>76</v>
      </c>
    </row>
    <row r="547" spans="1:52" x14ac:dyDescent="0.2">
      <c r="A547" t="s">
        <v>1237</v>
      </c>
      <c r="B547" t="s">
        <v>1238</v>
      </c>
      <c r="C547" t="s">
        <v>1239</v>
      </c>
      <c r="D547">
        <v>2012</v>
      </c>
      <c r="E547" t="s">
        <v>1325</v>
      </c>
      <c r="F547" t="s">
        <v>1398</v>
      </c>
      <c r="G547" t="s">
        <v>1481</v>
      </c>
      <c r="H547" t="s">
        <v>1715</v>
      </c>
      <c r="I547" t="s">
        <v>1240</v>
      </c>
      <c r="J547" s="7" t="s">
        <v>31</v>
      </c>
      <c r="K547" t="s">
        <v>34</v>
      </c>
      <c r="O547" s="18" t="s">
        <v>20</v>
      </c>
      <c r="P547" s="18" t="s">
        <v>24</v>
      </c>
      <c r="Q547" t="s">
        <v>38</v>
      </c>
      <c r="R547" t="s">
        <v>43</v>
      </c>
      <c r="S547" t="s">
        <v>47</v>
      </c>
      <c r="T547" t="s">
        <v>50</v>
      </c>
      <c r="U547">
        <v>313</v>
      </c>
      <c r="V547">
        <v>1</v>
      </c>
      <c r="AG547" t="s">
        <v>4</v>
      </c>
      <c r="AH547" t="s">
        <v>214</v>
      </c>
      <c r="AN547">
        <v>20</v>
      </c>
      <c r="AO547">
        <v>-0.67700000000000005</v>
      </c>
      <c r="AS547" t="s">
        <v>849</v>
      </c>
      <c r="AT547" t="s">
        <v>849</v>
      </c>
      <c r="AV547" t="s">
        <v>1810</v>
      </c>
      <c r="AW547" t="s">
        <v>1804</v>
      </c>
      <c r="AX547" t="s">
        <v>1805</v>
      </c>
      <c r="AY547" t="s">
        <v>1806</v>
      </c>
      <c r="AZ547" t="s">
        <v>76</v>
      </c>
    </row>
    <row r="548" spans="1:52" x14ac:dyDescent="0.2">
      <c r="A548" t="s">
        <v>1237</v>
      </c>
      <c r="B548" t="s">
        <v>1238</v>
      </c>
      <c r="C548" t="s">
        <v>1239</v>
      </c>
      <c r="D548">
        <v>2012</v>
      </c>
      <c r="E548" t="s">
        <v>1325</v>
      </c>
      <c r="F548" t="s">
        <v>1398</v>
      </c>
      <c r="G548" t="s">
        <v>1481</v>
      </c>
      <c r="H548" t="s">
        <v>1716</v>
      </c>
      <c r="I548" t="s">
        <v>1240</v>
      </c>
      <c r="J548" s="7" t="s">
        <v>31</v>
      </c>
      <c r="K548" t="s">
        <v>34</v>
      </c>
      <c r="O548" s="18" t="s">
        <v>20</v>
      </c>
      <c r="P548" s="18" t="s">
        <v>24</v>
      </c>
      <c r="Q548" t="s">
        <v>38</v>
      </c>
      <c r="R548" t="s">
        <v>43</v>
      </c>
      <c r="S548" t="s">
        <v>47</v>
      </c>
      <c r="T548" t="s">
        <v>50</v>
      </c>
      <c r="U548">
        <v>313</v>
      </c>
      <c r="V548">
        <v>1</v>
      </c>
      <c r="AG548" t="s">
        <v>4</v>
      </c>
      <c r="AH548" t="s">
        <v>214</v>
      </c>
      <c r="AN548">
        <v>20</v>
      </c>
      <c r="AO548">
        <v>0.38</v>
      </c>
      <c r="AS548" t="s">
        <v>849</v>
      </c>
      <c r="AT548" t="s">
        <v>849</v>
      </c>
      <c r="AV548" t="s">
        <v>1810</v>
      </c>
      <c r="AW548" t="s">
        <v>1804</v>
      </c>
      <c r="AX548" t="s">
        <v>1805</v>
      </c>
      <c r="AY548" t="s">
        <v>1806</v>
      </c>
      <c r="AZ548" t="s">
        <v>76</v>
      </c>
    </row>
    <row r="549" spans="1:52" x14ac:dyDescent="0.2">
      <c r="A549" t="s">
        <v>1237</v>
      </c>
      <c r="B549" t="s">
        <v>1238</v>
      </c>
      <c r="C549" t="s">
        <v>1239</v>
      </c>
      <c r="D549">
        <v>2012</v>
      </c>
      <c r="E549" t="s">
        <v>1325</v>
      </c>
      <c r="F549" t="s">
        <v>1398</v>
      </c>
      <c r="G549" t="s">
        <v>1481</v>
      </c>
      <c r="H549" t="s">
        <v>1717</v>
      </c>
      <c r="I549" t="s">
        <v>1240</v>
      </c>
      <c r="J549" s="7" t="s">
        <v>31</v>
      </c>
      <c r="K549" t="s">
        <v>34</v>
      </c>
      <c r="O549" s="18" t="s">
        <v>20</v>
      </c>
      <c r="P549" s="18" t="s">
        <v>24</v>
      </c>
      <c r="Q549" t="s">
        <v>38</v>
      </c>
      <c r="R549" t="s">
        <v>43</v>
      </c>
      <c r="S549" t="s">
        <v>47</v>
      </c>
      <c r="T549" t="s">
        <v>50</v>
      </c>
      <c r="U549">
        <v>313</v>
      </c>
      <c r="V549">
        <v>1</v>
      </c>
      <c r="AG549" t="s">
        <v>4</v>
      </c>
      <c r="AH549" t="s">
        <v>214</v>
      </c>
      <c r="AN549">
        <v>20</v>
      </c>
      <c r="AO549">
        <v>0.45800000000000002</v>
      </c>
      <c r="AS549" t="s">
        <v>849</v>
      </c>
      <c r="AT549" t="s">
        <v>222</v>
      </c>
      <c r="AV549" t="s">
        <v>1810</v>
      </c>
      <c r="AW549" t="s">
        <v>1804</v>
      </c>
      <c r="AX549" t="s">
        <v>1805</v>
      </c>
      <c r="AY549" t="s">
        <v>1806</v>
      </c>
      <c r="AZ549" t="s">
        <v>76</v>
      </c>
    </row>
    <row r="550" spans="1:52" x14ac:dyDescent="0.2">
      <c r="A550" t="s">
        <v>1237</v>
      </c>
      <c r="B550" t="s">
        <v>1238</v>
      </c>
      <c r="C550" t="s">
        <v>1239</v>
      </c>
      <c r="D550">
        <v>2012</v>
      </c>
      <c r="E550" t="s">
        <v>1325</v>
      </c>
      <c r="F550" t="s">
        <v>1398</v>
      </c>
      <c r="G550" t="s">
        <v>1481</v>
      </c>
      <c r="H550" t="s">
        <v>1718</v>
      </c>
      <c r="I550" t="s">
        <v>1240</v>
      </c>
      <c r="J550" s="7" t="s">
        <v>31</v>
      </c>
      <c r="K550" t="s">
        <v>34</v>
      </c>
      <c r="O550" s="18" t="s">
        <v>20</v>
      </c>
      <c r="P550" s="18" t="s">
        <v>24</v>
      </c>
      <c r="Q550" t="s">
        <v>38</v>
      </c>
      <c r="R550" t="s">
        <v>43</v>
      </c>
      <c r="S550" t="s">
        <v>47</v>
      </c>
      <c r="T550" t="s">
        <v>50</v>
      </c>
      <c r="U550">
        <v>313</v>
      </c>
      <c r="V550">
        <v>1</v>
      </c>
      <c r="AG550" t="s">
        <v>4</v>
      </c>
      <c r="AH550" t="s">
        <v>214</v>
      </c>
      <c r="AN550">
        <v>15</v>
      </c>
      <c r="AO550">
        <v>0.57199999999999995</v>
      </c>
      <c r="AS550" t="s">
        <v>849</v>
      </c>
      <c r="AT550" t="s">
        <v>849</v>
      </c>
      <c r="AV550" t="s">
        <v>1810</v>
      </c>
      <c r="AW550" t="s">
        <v>1804</v>
      </c>
      <c r="AX550" t="s">
        <v>1805</v>
      </c>
      <c r="AY550" t="s">
        <v>1806</v>
      </c>
      <c r="AZ550" t="s">
        <v>76</v>
      </c>
    </row>
    <row r="551" spans="1:52" x14ac:dyDescent="0.2">
      <c r="A551" t="s">
        <v>1237</v>
      </c>
      <c r="B551" t="s">
        <v>1238</v>
      </c>
      <c r="C551" t="s">
        <v>1239</v>
      </c>
      <c r="D551">
        <v>2012</v>
      </c>
      <c r="E551" t="s">
        <v>1325</v>
      </c>
      <c r="F551" t="s">
        <v>1398</v>
      </c>
      <c r="G551" t="s">
        <v>1481</v>
      </c>
      <c r="H551" t="s">
        <v>1719</v>
      </c>
      <c r="I551" t="s">
        <v>1240</v>
      </c>
      <c r="J551" s="7" t="s">
        <v>31</v>
      </c>
      <c r="K551" t="s">
        <v>34</v>
      </c>
      <c r="O551" s="18" t="s">
        <v>20</v>
      </c>
      <c r="P551" s="18" t="s">
        <v>24</v>
      </c>
      <c r="Q551" t="s">
        <v>38</v>
      </c>
      <c r="R551" t="s">
        <v>43</v>
      </c>
      <c r="S551" t="s">
        <v>47</v>
      </c>
      <c r="T551" t="s">
        <v>50</v>
      </c>
      <c r="U551">
        <v>313</v>
      </c>
      <c r="V551">
        <v>1</v>
      </c>
      <c r="AG551" t="s">
        <v>4</v>
      </c>
      <c r="AH551" t="s">
        <v>214</v>
      </c>
      <c r="AN551">
        <v>15</v>
      </c>
      <c r="AO551">
        <v>-0.311</v>
      </c>
      <c r="AS551" t="s">
        <v>849</v>
      </c>
      <c r="AT551" t="s">
        <v>849</v>
      </c>
      <c r="AV551" t="s">
        <v>1810</v>
      </c>
      <c r="AW551" t="s">
        <v>1804</v>
      </c>
      <c r="AX551" t="s">
        <v>1805</v>
      </c>
      <c r="AY551" t="s">
        <v>1806</v>
      </c>
      <c r="AZ551" t="s">
        <v>76</v>
      </c>
    </row>
    <row r="552" spans="1:52" x14ac:dyDescent="0.2">
      <c r="A552" t="s">
        <v>1237</v>
      </c>
      <c r="B552" t="s">
        <v>1238</v>
      </c>
      <c r="C552" t="s">
        <v>1239</v>
      </c>
      <c r="D552">
        <v>2012</v>
      </c>
      <c r="E552" t="s">
        <v>1325</v>
      </c>
      <c r="F552" t="s">
        <v>1398</v>
      </c>
      <c r="G552" t="s">
        <v>1481</v>
      </c>
      <c r="H552" t="s">
        <v>1720</v>
      </c>
      <c r="I552" t="s">
        <v>1240</v>
      </c>
      <c r="J552" s="7" t="s">
        <v>31</v>
      </c>
      <c r="K552" t="s">
        <v>34</v>
      </c>
      <c r="O552" s="18" t="s">
        <v>20</v>
      </c>
      <c r="P552" s="18" t="s">
        <v>24</v>
      </c>
      <c r="Q552" t="s">
        <v>38</v>
      </c>
      <c r="R552" t="s">
        <v>43</v>
      </c>
      <c r="S552" t="s">
        <v>47</v>
      </c>
      <c r="T552" t="s">
        <v>50</v>
      </c>
      <c r="U552">
        <v>313</v>
      </c>
      <c r="V552">
        <v>1</v>
      </c>
      <c r="AG552" t="s">
        <v>4</v>
      </c>
      <c r="AH552" t="s">
        <v>214</v>
      </c>
      <c r="AN552">
        <v>15</v>
      </c>
      <c r="AO552">
        <v>-0.39300000000000002</v>
      </c>
      <c r="AS552" t="s">
        <v>849</v>
      </c>
      <c r="AT552" t="s">
        <v>849</v>
      </c>
      <c r="AV552" t="s">
        <v>1810</v>
      </c>
      <c r="AW552" t="s">
        <v>1804</v>
      </c>
      <c r="AX552" t="s">
        <v>1805</v>
      </c>
      <c r="AY552" t="s">
        <v>1806</v>
      </c>
      <c r="AZ552" t="s">
        <v>76</v>
      </c>
    </row>
    <row r="553" spans="1:52" x14ac:dyDescent="0.2">
      <c r="A553" t="s">
        <v>1237</v>
      </c>
      <c r="B553" t="s">
        <v>1238</v>
      </c>
      <c r="C553" t="s">
        <v>1239</v>
      </c>
      <c r="D553">
        <v>2012</v>
      </c>
      <c r="E553" t="s">
        <v>1325</v>
      </c>
      <c r="F553" t="s">
        <v>1398</v>
      </c>
      <c r="G553" t="s">
        <v>1481</v>
      </c>
      <c r="H553" t="s">
        <v>1721</v>
      </c>
      <c r="I553" t="s">
        <v>1240</v>
      </c>
      <c r="J553" s="7" t="s">
        <v>31</v>
      </c>
      <c r="K553" t="s">
        <v>34</v>
      </c>
      <c r="O553" s="18" t="s">
        <v>20</v>
      </c>
      <c r="P553" s="18" t="s">
        <v>24</v>
      </c>
      <c r="Q553" t="s">
        <v>38</v>
      </c>
      <c r="R553" t="s">
        <v>43</v>
      </c>
      <c r="S553" t="s">
        <v>47</v>
      </c>
      <c r="T553" t="s">
        <v>50</v>
      </c>
      <c r="U553">
        <v>313</v>
      </c>
      <c r="V553">
        <v>1</v>
      </c>
      <c r="AG553" t="s">
        <v>4</v>
      </c>
      <c r="AH553" t="s">
        <v>214</v>
      </c>
      <c r="AN553">
        <v>15</v>
      </c>
      <c r="AO553">
        <v>0.34799999999999998</v>
      </c>
      <c r="AS553" t="s">
        <v>849</v>
      </c>
      <c r="AT553" t="s">
        <v>222</v>
      </c>
      <c r="AV553" t="s">
        <v>1810</v>
      </c>
      <c r="AW553" t="s">
        <v>1804</v>
      </c>
      <c r="AX553" t="s">
        <v>1805</v>
      </c>
      <c r="AY553" t="s">
        <v>1806</v>
      </c>
      <c r="AZ553" t="s">
        <v>76</v>
      </c>
    </row>
    <row r="554" spans="1:52" x14ac:dyDescent="0.2">
      <c r="A554" t="s">
        <v>1241</v>
      </c>
      <c r="B554" t="s">
        <v>1242</v>
      </c>
      <c r="C554" t="s">
        <v>1243</v>
      </c>
      <c r="D554">
        <v>2014</v>
      </c>
      <c r="E554" t="s">
        <v>1326</v>
      </c>
      <c r="F554" t="s">
        <v>1399</v>
      </c>
      <c r="G554" t="s">
        <v>1482</v>
      </c>
      <c r="H554" t="s">
        <v>1722</v>
      </c>
      <c r="I554" t="s">
        <v>1244</v>
      </c>
      <c r="J554" s="7" t="s">
        <v>81</v>
      </c>
      <c r="K554" t="s">
        <v>35</v>
      </c>
      <c r="L554" t="s">
        <v>11</v>
      </c>
      <c r="M554" t="s">
        <v>14</v>
      </c>
      <c r="N554">
        <v>1</v>
      </c>
      <c r="O554" s="18" t="s">
        <v>21</v>
      </c>
      <c r="P554" s="18" t="s">
        <v>78</v>
      </c>
      <c r="S554" t="s">
        <v>47</v>
      </c>
      <c r="T554" t="s">
        <v>49</v>
      </c>
      <c r="U554">
        <v>952</v>
      </c>
      <c r="V554">
        <v>2</v>
      </c>
      <c r="W554">
        <v>6.58</v>
      </c>
      <c r="X554">
        <v>6.58</v>
      </c>
      <c r="AA554">
        <v>0.96985645933014297</v>
      </c>
      <c r="AB554">
        <v>2.2153420068723E-2</v>
      </c>
      <c r="AC554">
        <v>0.82081339712918699</v>
      </c>
      <c r="AD554">
        <v>0.36774677314079601</v>
      </c>
      <c r="AE554" t="s">
        <v>71</v>
      </c>
      <c r="AF554" t="s">
        <v>61</v>
      </c>
      <c r="AG554" t="str">
        <f t="shared" ref="AG554:AG567" si="17">IF(AE554="mean", "mean", "")</f>
        <v>mean</v>
      </c>
      <c r="AH554" t="s">
        <v>213</v>
      </c>
      <c r="AS554" t="s">
        <v>849</v>
      </c>
      <c r="AT554" t="s">
        <v>849</v>
      </c>
      <c r="AV554" t="s">
        <v>1803</v>
      </c>
      <c r="AW554" t="s">
        <v>1807</v>
      </c>
      <c r="AX554" t="s">
        <v>1808</v>
      </c>
      <c r="AY554" t="s">
        <v>1806</v>
      </c>
      <c r="AZ554" t="s">
        <v>1809</v>
      </c>
    </row>
    <row r="555" spans="1:52" x14ac:dyDescent="0.2">
      <c r="A555" t="s">
        <v>1241</v>
      </c>
      <c r="B555" t="s">
        <v>1242</v>
      </c>
      <c r="C555" t="s">
        <v>1243</v>
      </c>
      <c r="D555">
        <v>2014</v>
      </c>
      <c r="E555" t="s">
        <v>1326</v>
      </c>
      <c r="F555" t="s">
        <v>1399</v>
      </c>
      <c r="G555" t="s">
        <v>1482</v>
      </c>
      <c r="H555" t="s">
        <v>1723</v>
      </c>
      <c r="I555" t="s">
        <v>1244</v>
      </c>
      <c r="J555" s="7" t="s">
        <v>81</v>
      </c>
      <c r="K555" t="s">
        <v>35</v>
      </c>
      <c r="L555" t="s">
        <v>11</v>
      </c>
      <c r="M555" t="s">
        <v>14</v>
      </c>
      <c r="N555">
        <v>1</v>
      </c>
      <c r="O555" s="18" t="s">
        <v>21</v>
      </c>
      <c r="P555" s="18" t="s">
        <v>78</v>
      </c>
      <c r="S555" t="s">
        <v>47</v>
      </c>
      <c r="T555" t="s">
        <v>49</v>
      </c>
      <c r="U555">
        <v>952</v>
      </c>
      <c r="V555">
        <v>2</v>
      </c>
      <c r="W555">
        <v>6.58</v>
      </c>
      <c r="X555">
        <v>6.58</v>
      </c>
      <c r="AA555">
        <v>0.95299760191846505</v>
      </c>
      <c r="AB555">
        <v>5.7737019018436198E-2</v>
      </c>
      <c r="AC555">
        <v>0.92278177458033595</v>
      </c>
      <c r="AD555">
        <v>0.10659141972634301</v>
      </c>
      <c r="AE555" t="s">
        <v>71</v>
      </c>
      <c r="AF555" t="s">
        <v>61</v>
      </c>
      <c r="AG555" t="str">
        <f t="shared" si="17"/>
        <v>mean</v>
      </c>
      <c r="AH555" t="s">
        <v>213</v>
      </c>
      <c r="AS555" t="s">
        <v>849</v>
      </c>
      <c r="AT555" t="s">
        <v>849</v>
      </c>
      <c r="AV555" t="s">
        <v>1803</v>
      </c>
      <c r="AW555" t="s">
        <v>1807</v>
      </c>
      <c r="AX555" t="s">
        <v>1808</v>
      </c>
      <c r="AY555" t="s">
        <v>1806</v>
      </c>
      <c r="AZ555" t="s">
        <v>1809</v>
      </c>
    </row>
    <row r="556" spans="1:52" x14ac:dyDescent="0.2">
      <c r="A556" t="s">
        <v>1241</v>
      </c>
      <c r="B556" t="s">
        <v>1242</v>
      </c>
      <c r="C556" t="s">
        <v>1243</v>
      </c>
      <c r="D556">
        <v>2014</v>
      </c>
      <c r="E556" t="s">
        <v>1326</v>
      </c>
      <c r="F556" t="s">
        <v>1399</v>
      </c>
      <c r="G556" t="s">
        <v>1482</v>
      </c>
      <c r="H556" t="s">
        <v>1724</v>
      </c>
      <c r="I556" t="s">
        <v>1244</v>
      </c>
      <c r="J556" s="7" t="s">
        <v>81</v>
      </c>
      <c r="K556" t="s">
        <v>35</v>
      </c>
      <c r="L556" t="s">
        <v>11</v>
      </c>
      <c r="M556" t="s">
        <v>14</v>
      </c>
      <c r="N556">
        <v>1</v>
      </c>
      <c r="O556" s="18" t="s">
        <v>21</v>
      </c>
      <c r="P556" s="18" t="s">
        <v>78</v>
      </c>
      <c r="S556" t="s">
        <v>47</v>
      </c>
      <c r="T556" t="s">
        <v>49</v>
      </c>
      <c r="U556">
        <v>952</v>
      </c>
      <c r="V556">
        <v>2</v>
      </c>
      <c r="W556">
        <v>6.58</v>
      </c>
      <c r="X556">
        <v>6.58</v>
      </c>
      <c r="AA556">
        <v>0.96298076923076903</v>
      </c>
      <c r="AB556">
        <v>3.1163897654366599E-2</v>
      </c>
      <c r="AC556">
        <v>0.90745192307692302</v>
      </c>
      <c r="AD556">
        <v>0.106847649100685</v>
      </c>
      <c r="AE556" t="s">
        <v>71</v>
      </c>
      <c r="AF556" t="s">
        <v>61</v>
      </c>
      <c r="AG556" t="str">
        <f t="shared" si="17"/>
        <v>mean</v>
      </c>
      <c r="AH556" t="s">
        <v>213</v>
      </c>
      <c r="AS556" t="s">
        <v>849</v>
      </c>
      <c r="AT556" t="s">
        <v>849</v>
      </c>
      <c r="AV556" t="s">
        <v>1803</v>
      </c>
      <c r="AW556" t="s">
        <v>1807</v>
      </c>
      <c r="AX556" t="s">
        <v>1808</v>
      </c>
      <c r="AY556" t="s">
        <v>1806</v>
      </c>
      <c r="AZ556" t="s">
        <v>1809</v>
      </c>
    </row>
    <row r="557" spans="1:52" x14ac:dyDescent="0.2">
      <c r="A557" t="s">
        <v>1241</v>
      </c>
      <c r="B557" t="s">
        <v>1242</v>
      </c>
      <c r="C557" t="s">
        <v>1243</v>
      </c>
      <c r="D557">
        <v>2014</v>
      </c>
      <c r="E557" t="s">
        <v>1326</v>
      </c>
      <c r="F557" t="s">
        <v>1399</v>
      </c>
      <c r="G557" t="s">
        <v>1482</v>
      </c>
      <c r="H557" t="s">
        <v>1725</v>
      </c>
      <c r="I557" t="s">
        <v>1244</v>
      </c>
      <c r="J557" s="7" t="s">
        <v>81</v>
      </c>
      <c r="K557" t="s">
        <v>35</v>
      </c>
      <c r="L557" t="s">
        <v>11</v>
      </c>
      <c r="M557" t="s">
        <v>14</v>
      </c>
      <c r="N557">
        <v>1</v>
      </c>
      <c r="O557" s="18" t="s">
        <v>21</v>
      </c>
      <c r="P557" s="18" t="s">
        <v>78</v>
      </c>
      <c r="S557" t="s">
        <v>47</v>
      </c>
      <c r="T557" t="s">
        <v>49</v>
      </c>
      <c r="U557">
        <v>952</v>
      </c>
      <c r="V557">
        <v>2</v>
      </c>
      <c r="W557">
        <v>6.58</v>
      </c>
      <c r="X557">
        <v>6.58</v>
      </c>
      <c r="AA557">
        <v>0.82499999999999996</v>
      </c>
      <c r="AB557">
        <v>0.106847649100685</v>
      </c>
      <c r="AC557">
        <v>0.75600961538461497</v>
      </c>
      <c r="AD557">
        <v>0.10239566372149</v>
      </c>
      <c r="AE557" t="s">
        <v>71</v>
      </c>
      <c r="AF557" t="s">
        <v>61</v>
      </c>
      <c r="AG557" t="str">
        <f t="shared" si="17"/>
        <v>mean</v>
      </c>
      <c r="AH557" t="s">
        <v>213</v>
      </c>
      <c r="AS557" t="s">
        <v>849</v>
      </c>
      <c r="AT557" t="s">
        <v>849</v>
      </c>
      <c r="AV557" t="s">
        <v>1803</v>
      </c>
      <c r="AW557" t="s">
        <v>1807</v>
      </c>
      <c r="AX557" t="s">
        <v>1808</v>
      </c>
      <c r="AY557" t="s">
        <v>1806</v>
      </c>
      <c r="AZ557" t="s">
        <v>1809</v>
      </c>
    </row>
    <row r="558" spans="1:52" x14ac:dyDescent="0.2">
      <c r="A558" t="s">
        <v>1241</v>
      </c>
      <c r="B558" t="s">
        <v>1242</v>
      </c>
      <c r="C558" t="s">
        <v>1243</v>
      </c>
      <c r="D558">
        <v>2014</v>
      </c>
      <c r="E558" t="s">
        <v>1326</v>
      </c>
      <c r="F558" t="s">
        <v>1399</v>
      </c>
      <c r="G558" t="s">
        <v>1482</v>
      </c>
      <c r="H558" t="s">
        <v>1726</v>
      </c>
      <c r="I558" t="s">
        <v>1244</v>
      </c>
      <c r="J558" s="7" t="s">
        <v>81</v>
      </c>
      <c r="K558" t="s">
        <v>35</v>
      </c>
      <c r="L558" t="s">
        <v>11</v>
      </c>
      <c r="M558" t="s">
        <v>14</v>
      </c>
      <c r="N558">
        <v>1</v>
      </c>
      <c r="O558" s="18" t="s">
        <v>21</v>
      </c>
      <c r="P558" s="18" t="s">
        <v>78</v>
      </c>
      <c r="S558" t="s">
        <v>47</v>
      </c>
      <c r="T558" t="s">
        <v>49</v>
      </c>
      <c r="U558">
        <v>952</v>
      </c>
      <c r="V558">
        <v>2</v>
      </c>
      <c r="W558">
        <v>6.58</v>
      </c>
      <c r="X558">
        <v>6.58</v>
      </c>
      <c r="AA558">
        <v>0.820813397129186</v>
      </c>
      <c r="AB558">
        <v>0.150643256467315</v>
      </c>
      <c r="AC558">
        <v>0.66172248803827705</v>
      </c>
      <c r="AD558">
        <v>0.18165804456352599</v>
      </c>
      <c r="AE558" t="s">
        <v>71</v>
      </c>
      <c r="AF558" t="s">
        <v>61</v>
      </c>
      <c r="AG558" t="str">
        <f t="shared" si="17"/>
        <v>mean</v>
      </c>
      <c r="AH558" t="s">
        <v>213</v>
      </c>
      <c r="AS558" t="s">
        <v>849</v>
      </c>
      <c r="AT558" t="s">
        <v>849</v>
      </c>
      <c r="AV558" t="s">
        <v>1803</v>
      </c>
      <c r="AW558" t="s">
        <v>1807</v>
      </c>
      <c r="AX558" t="s">
        <v>1808</v>
      </c>
      <c r="AY558" t="s">
        <v>1806</v>
      </c>
      <c r="AZ558" t="s">
        <v>1809</v>
      </c>
    </row>
    <row r="559" spans="1:52" x14ac:dyDescent="0.2">
      <c r="A559" t="s">
        <v>1241</v>
      </c>
      <c r="B559" t="s">
        <v>1242</v>
      </c>
      <c r="C559" t="s">
        <v>1243</v>
      </c>
      <c r="D559">
        <v>2014</v>
      </c>
      <c r="E559" t="s">
        <v>1326</v>
      </c>
      <c r="F559" t="s">
        <v>1399</v>
      </c>
      <c r="G559" t="s">
        <v>1482</v>
      </c>
      <c r="H559" t="s">
        <v>1727</v>
      </c>
      <c r="I559" t="s">
        <v>1244</v>
      </c>
      <c r="J559" s="7" t="s">
        <v>81</v>
      </c>
      <c r="K559" t="s">
        <v>35</v>
      </c>
      <c r="L559" t="s">
        <v>11</v>
      </c>
      <c r="M559" t="s">
        <v>14</v>
      </c>
      <c r="N559">
        <v>1</v>
      </c>
      <c r="O559" s="18" t="s">
        <v>21</v>
      </c>
      <c r="P559" s="18" t="s">
        <v>78</v>
      </c>
      <c r="S559" t="s">
        <v>47</v>
      </c>
      <c r="T559" t="s">
        <v>49</v>
      </c>
      <c r="U559">
        <v>952</v>
      </c>
      <c r="V559">
        <v>2</v>
      </c>
      <c r="W559">
        <v>6.58</v>
      </c>
      <c r="X559">
        <v>6.58</v>
      </c>
      <c r="AA559">
        <v>0.75827338129496402</v>
      </c>
      <c r="AB559">
        <v>0.28424378593691602</v>
      </c>
      <c r="AC559">
        <v>0.71630695443645098</v>
      </c>
      <c r="AD559">
        <v>0.14656320212372201</v>
      </c>
      <c r="AE559" t="s">
        <v>71</v>
      </c>
      <c r="AF559" t="s">
        <v>61</v>
      </c>
      <c r="AG559" t="str">
        <f t="shared" si="17"/>
        <v>mean</v>
      </c>
      <c r="AH559" t="s">
        <v>213</v>
      </c>
      <c r="AS559" t="s">
        <v>849</v>
      </c>
      <c r="AT559" t="s">
        <v>849</v>
      </c>
      <c r="AV559" t="s">
        <v>1803</v>
      </c>
      <c r="AW559" t="s">
        <v>1807</v>
      </c>
      <c r="AX559" t="s">
        <v>1808</v>
      </c>
      <c r="AY559" t="s">
        <v>1806</v>
      </c>
      <c r="AZ559" t="s">
        <v>1809</v>
      </c>
    </row>
    <row r="560" spans="1:52" x14ac:dyDescent="0.2">
      <c r="A560" t="s">
        <v>1241</v>
      </c>
      <c r="B560" t="s">
        <v>1242</v>
      </c>
      <c r="C560" t="s">
        <v>1243</v>
      </c>
      <c r="D560">
        <v>2014</v>
      </c>
      <c r="E560" t="s">
        <v>1326</v>
      </c>
      <c r="F560" t="s">
        <v>1399</v>
      </c>
      <c r="G560" t="s">
        <v>1482</v>
      </c>
      <c r="H560" t="s">
        <v>1728</v>
      </c>
      <c r="I560" t="s">
        <v>1245</v>
      </c>
      <c r="J560" s="7" t="s">
        <v>81</v>
      </c>
      <c r="K560" t="s">
        <v>35</v>
      </c>
      <c r="L560" t="s">
        <v>11</v>
      </c>
      <c r="M560" t="s">
        <v>14</v>
      </c>
      <c r="N560">
        <v>1</v>
      </c>
      <c r="O560" s="18" t="s">
        <v>21</v>
      </c>
      <c r="P560" s="18" t="s">
        <v>78</v>
      </c>
      <c r="S560" t="s">
        <v>47</v>
      </c>
      <c r="T560" t="s">
        <v>49</v>
      </c>
      <c r="U560">
        <v>952</v>
      </c>
      <c r="V560">
        <v>2</v>
      </c>
      <c r="W560">
        <v>6</v>
      </c>
      <c r="X560">
        <v>6</v>
      </c>
      <c r="AA560">
        <v>0.77279236276849606</v>
      </c>
      <c r="AB560">
        <v>0.11049011011599499</v>
      </c>
      <c r="AC560">
        <v>0.62911694510739802</v>
      </c>
      <c r="AD560">
        <v>5.3198941907701497E-2</v>
      </c>
      <c r="AE560" t="s">
        <v>71</v>
      </c>
      <c r="AF560" t="s">
        <v>61</v>
      </c>
      <c r="AG560" t="str">
        <f t="shared" si="17"/>
        <v>mean</v>
      </c>
      <c r="AH560" t="s">
        <v>213</v>
      </c>
      <c r="AS560" t="s">
        <v>849</v>
      </c>
      <c r="AT560" t="s">
        <v>849</v>
      </c>
      <c r="AV560" t="s">
        <v>1803</v>
      </c>
      <c r="AW560" t="s">
        <v>1807</v>
      </c>
      <c r="AX560" t="s">
        <v>1808</v>
      </c>
      <c r="AY560" t="s">
        <v>1806</v>
      </c>
      <c r="AZ560" t="s">
        <v>1809</v>
      </c>
    </row>
    <row r="561" spans="1:52" x14ac:dyDescent="0.2">
      <c r="A561" t="s">
        <v>1241</v>
      </c>
      <c r="B561" t="s">
        <v>1242</v>
      </c>
      <c r="C561" t="s">
        <v>1243</v>
      </c>
      <c r="D561">
        <v>2014</v>
      </c>
      <c r="E561" t="s">
        <v>1326</v>
      </c>
      <c r="F561" t="s">
        <v>1399</v>
      </c>
      <c r="G561" t="s">
        <v>1482</v>
      </c>
      <c r="H561" t="s">
        <v>1729</v>
      </c>
      <c r="I561" t="s">
        <v>1245</v>
      </c>
      <c r="J561" s="7" t="s">
        <v>81</v>
      </c>
      <c r="K561" t="s">
        <v>35</v>
      </c>
      <c r="L561" t="s">
        <v>11</v>
      </c>
      <c r="M561" t="s">
        <v>14</v>
      </c>
      <c r="N561">
        <v>1</v>
      </c>
      <c r="O561" s="18" t="s">
        <v>21</v>
      </c>
      <c r="P561" s="18" t="s">
        <v>78</v>
      </c>
      <c r="S561" t="s">
        <v>47</v>
      </c>
      <c r="T561" t="s">
        <v>49</v>
      </c>
      <c r="U561">
        <v>952</v>
      </c>
      <c r="V561">
        <v>2</v>
      </c>
      <c r="W561">
        <v>6</v>
      </c>
      <c r="X561">
        <v>6</v>
      </c>
      <c r="AA561">
        <v>0.753237410071942</v>
      </c>
      <c r="AB561">
        <v>7.4013359134455906E-2</v>
      </c>
      <c r="AC561">
        <v>0.70959232613908896</v>
      </c>
      <c r="AD561">
        <v>0.106908185416436</v>
      </c>
      <c r="AE561" t="s">
        <v>71</v>
      </c>
      <c r="AF561" t="s">
        <v>61</v>
      </c>
      <c r="AG561" t="str">
        <f t="shared" si="17"/>
        <v>mean</v>
      </c>
      <c r="AH561" t="s">
        <v>213</v>
      </c>
      <c r="AS561" t="s">
        <v>849</v>
      </c>
      <c r="AT561" t="s">
        <v>849</v>
      </c>
      <c r="AV561" t="s">
        <v>1803</v>
      </c>
      <c r="AW561" t="s">
        <v>1807</v>
      </c>
      <c r="AX561" t="s">
        <v>1808</v>
      </c>
      <c r="AY561" t="s">
        <v>1806</v>
      </c>
      <c r="AZ561" t="s">
        <v>1809</v>
      </c>
    </row>
    <row r="562" spans="1:52" x14ac:dyDescent="0.2">
      <c r="A562" t="s">
        <v>1241</v>
      </c>
      <c r="B562" t="s">
        <v>1242</v>
      </c>
      <c r="C562" t="s">
        <v>1243</v>
      </c>
      <c r="D562">
        <v>2014</v>
      </c>
      <c r="E562" t="s">
        <v>1326</v>
      </c>
      <c r="F562" t="s">
        <v>1399</v>
      </c>
      <c r="G562" t="s">
        <v>1482</v>
      </c>
      <c r="H562" t="s">
        <v>1730</v>
      </c>
      <c r="I562" t="s">
        <v>1245</v>
      </c>
      <c r="J562" s="7" t="s">
        <v>81</v>
      </c>
      <c r="K562" t="s">
        <v>35</v>
      </c>
      <c r="L562" t="s">
        <v>11</v>
      </c>
      <c r="M562" t="s">
        <v>14</v>
      </c>
      <c r="N562">
        <v>1</v>
      </c>
      <c r="O562" s="18" t="s">
        <v>21</v>
      </c>
      <c r="P562" s="18" t="s">
        <v>78</v>
      </c>
      <c r="S562" t="s">
        <v>47</v>
      </c>
      <c r="T562" t="s">
        <v>49</v>
      </c>
      <c r="U562">
        <v>952</v>
      </c>
      <c r="V562">
        <v>2</v>
      </c>
      <c r="W562">
        <v>6</v>
      </c>
      <c r="X562">
        <v>6</v>
      </c>
      <c r="AA562">
        <v>0.68851674641148297</v>
      </c>
      <c r="AB562">
        <v>6.5632261050649898E-2</v>
      </c>
      <c r="AC562">
        <v>0.46411483253588498</v>
      </c>
      <c r="AD562">
        <v>0.19689678315195</v>
      </c>
      <c r="AE562" t="s">
        <v>71</v>
      </c>
      <c r="AF562" t="s">
        <v>61</v>
      </c>
      <c r="AG562" t="str">
        <f t="shared" si="17"/>
        <v>mean</v>
      </c>
      <c r="AH562" t="s">
        <v>213</v>
      </c>
      <c r="AS562" t="s">
        <v>849</v>
      </c>
      <c r="AT562" t="s">
        <v>849</v>
      </c>
      <c r="AV562" t="s">
        <v>1803</v>
      </c>
      <c r="AW562" t="s">
        <v>1807</v>
      </c>
      <c r="AX562" t="s">
        <v>1808</v>
      </c>
      <c r="AY562" t="s">
        <v>1806</v>
      </c>
      <c r="AZ562" t="s">
        <v>1809</v>
      </c>
    </row>
    <row r="563" spans="1:52" x14ac:dyDescent="0.2">
      <c r="A563" t="s">
        <v>1246</v>
      </c>
      <c r="B563" t="s">
        <v>2277</v>
      </c>
      <c r="C563" t="s">
        <v>1247</v>
      </c>
      <c r="D563">
        <v>2012</v>
      </c>
      <c r="E563" t="s">
        <v>1327</v>
      </c>
      <c r="F563" t="s">
        <v>1400</v>
      </c>
      <c r="G563" t="s">
        <v>1483</v>
      </c>
      <c r="H563" t="s">
        <v>1731</v>
      </c>
      <c r="I563" t="s">
        <v>1248</v>
      </c>
      <c r="J563" s="7" t="s">
        <v>82</v>
      </c>
      <c r="K563" t="s">
        <v>35</v>
      </c>
      <c r="L563" t="s">
        <v>12</v>
      </c>
      <c r="O563" s="18" t="s">
        <v>20</v>
      </c>
      <c r="P563" s="18" t="s">
        <v>26</v>
      </c>
      <c r="Q563" t="s">
        <v>38</v>
      </c>
      <c r="R563" t="s">
        <v>43</v>
      </c>
      <c r="S563" t="s">
        <v>47</v>
      </c>
      <c r="T563" t="s">
        <v>49</v>
      </c>
      <c r="U563">
        <v>1129</v>
      </c>
      <c r="V563">
        <v>2</v>
      </c>
      <c r="W563">
        <v>23</v>
      </c>
      <c r="X563">
        <v>24</v>
      </c>
      <c r="AA563">
        <v>75.3333333333333</v>
      </c>
      <c r="AB563">
        <v>8.3127746404086498</v>
      </c>
      <c r="AC563">
        <v>77.599999999999994</v>
      </c>
      <c r="AD563">
        <v>10.451156235874899</v>
      </c>
      <c r="AE563" t="s">
        <v>71</v>
      </c>
      <c r="AF563" t="s">
        <v>61</v>
      </c>
      <c r="AG563" t="str">
        <f t="shared" si="17"/>
        <v>mean</v>
      </c>
      <c r="AH563" t="s">
        <v>213</v>
      </c>
      <c r="AS563" t="s">
        <v>849</v>
      </c>
      <c r="AT563" t="s">
        <v>849</v>
      </c>
      <c r="AV563" t="s">
        <v>1803</v>
      </c>
      <c r="AW563" t="s">
        <v>1815</v>
      </c>
      <c r="AX563" t="s">
        <v>1822</v>
      </c>
      <c r="AY563" t="s">
        <v>1806</v>
      </c>
      <c r="AZ563" t="s">
        <v>76</v>
      </c>
    </row>
    <row r="564" spans="1:52" x14ac:dyDescent="0.2">
      <c r="A564" t="s">
        <v>1246</v>
      </c>
      <c r="B564" t="s">
        <v>2277</v>
      </c>
      <c r="C564" t="s">
        <v>1247</v>
      </c>
      <c r="D564">
        <v>2012</v>
      </c>
      <c r="E564" t="s">
        <v>1327</v>
      </c>
      <c r="F564" t="s">
        <v>1400</v>
      </c>
      <c r="G564" t="s">
        <v>1483</v>
      </c>
      <c r="H564" t="s">
        <v>1732</v>
      </c>
      <c r="I564" t="s">
        <v>1248</v>
      </c>
      <c r="J564" s="7" t="s">
        <v>82</v>
      </c>
      <c r="K564" t="s">
        <v>35</v>
      </c>
      <c r="L564" t="s">
        <v>12</v>
      </c>
      <c r="O564" s="18" t="s">
        <v>20</v>
      </c>
      <c r="P564" s="18" t="s">
        <v>26</v>
      </c>
      <c r="Q564" t="s">
        <v>38</v>
      </c>
      <c r="R564" t="s">
        <v>43</v>
      </c>
      <c r="S564" t="s">
        <v>47</v>
      </c>
      <c r="T564" t="s">
        <v>49</v>
      </c>
      <c r="U564">
        <v>1129</v>
      </c>
      <c r="V564">
        <v>2</v>
      </c>
      <c r="W564">
        <v>23</v>
      </c>
      <c r="X564">
        <v>24</v>
      </c>
      <c r="AA564">
        <v>75.284280936454905</v>
      </c>
      <c r="AB564">
        <v>8.9821593747662707</v>
      </c>
      <c r="AC564">
        <v>66.6666666666667</v>
      </c>
      <c r="AD564">
        <v>22.861904265976399</v>
      </c>
      <c r="AE564" t="s">
        <v>71</v>
      </c>
      <c r="AF564" t="s">
        <v>61</v>
      </c>
      <c r="AG564" t="str">
        <f t="shared" si="17"/>
        <v>mean</v>
      </c>
      <c r="AH564" t="s">
        <v>213</v>
      </c>
      <c r="AS564" t="s">
        <v>849</v>
      </c>
      <c r="AT564" t="s">
        <v>849</v>
      </c>
      <c r="AV564" t="s">
        <v>1803</v>
      </c>
      <c r="AW564" t="s">
        <v>1815</v>
      </c>
      <c r="AX564" t="s">
        <v>1822</v>
      </c>
      <c r="AY564" t="s">
        <v>1806</v>
      </c>
      <c r="AZ564" t="s">
        <v>76</v>
      </c>
    </row>
    <row r="565" spans="1:52" x14ac:dyDescent="0.2">
      <c r="A565" t="s">
        <v>1246</v>
      </c>
      <c r="B565" t="s">
        <v>2277</v>
      </c>
      <c r="C565" t="s">
        <v>1247</v>
      </c>
      <c r="D565">
        <v>2012</v>
      </c>
      <c r="E565" t="s">
        <v>1327</v>
      </c>
      <c r="F565" t="s">
        <v>1400</v>
      </c>
      <c r="G565" t="s">
        <v>1483</v>
      </c>
      <c r="H565" t="s">
        <v>1733</v>
      </c>
      <c r="I565" t="s">
        <v>1248</v>
      </c>
      <c r="J565" s="7" t="s">
        <v>82</v>
      </c>
      <c r="K565" t="s">
        <v>34</v>
      </c>
      <c r="O565" s="18" t="s">
        <v>20</v>
      </c>
      <c r="P565" s="18" t="s">
        <v>26</v>
      </c>
      <c r="Q565" t="s">
        <v>38</v>
      </c>
      <c r="R565" t="s">
        <v>43</v>
      </c>
      <c r="S565" t="s">
        <v>47</v>
      </c>
      <c r="T565" t="s">
        <v>49</v>
      </c>
      <c r="U565">
        <v>1129</v>
      </c>
      <c r="V565">
        <v>2</v>
      </c>
      <c r="W565">
        <v>24</v>
      </c>
      <c r="X565">
        <v>24</v>
      </c>
      <c r="AA565">
        <v>66.6666666666667</v>
      </c>
      <c r="AB565">
        <v>22.861904265976399</v>
      </c>
      <c r="AC565">
        <v>77.599999999999994</v>
      </c>
      <c r="AD565">
        <v>10.451156235874899</v>
      </c>
      <c r="AE565" t="s">
        <v>71</v>
      </c>
      <c r="AF565" t="s">
        <v>61</v>
      </c>
      <c r="AG565" t="str">
        <f t="shared" si="17"/>
        <v>mean</v>
      </c>
      <c r="AH565" t="s">
        <v>213</v>
      </c>
      <c r="AS565" t="s">
        <v>849</v>
      </c>
      <c r="AT565" t="s">
        <v>849</v>
      </c>
      <c r="AV565" t="s">
        <v>1803</v>
      </c>
      <c r="AW565" t="s">
        <v>1815</v>
      </c>
      <c r="AX565" t="s">
        <v>1822</v>
      </c>
      <c r="AY565" t="s">
        <v>1806</v>
      </c>
      <c r="AZ565" t="s">
        <v>76</v>
      </c>
    </row>
    <row r="566" spans="1:52" x14ac:dyDescent="0.2">
      <c r="A566" t="s">
        <v>1249</v>
      </c>
      <c r="B566" t="s">
        <v>1250</v>
      </c>
      <c r="C566" t="s">
        <v>1251</v>
      </c>
      <c r="D566">
        <v>2006</v>
      </c>
      <c r="E566" t="s">
        <v>1328</v>
      </c>
      <c r="F566" t="s">
        <v>1401</v>
      </c>
      <c r="G566" t="s">
        <v>1484</v>
      </c>
      <c r="H566" t="s">
        <v>1734</v>
      </c>
      <c r="I566" t="s">
        <v>230</v>
      </c>
      <c r="J566" s="7" t="s">
        <v>31</v>
      </c>
      <c r="K566" t="s">
        <v>34</v>
      </c>
      <c r="O566" s="18" t="s">
        <v>20</v>
      </c>
      <c r="P566" s="18" t="s">
        <v>26</v>
      </c>
      <c r="Q566" t="s">
        <v>38</v>
      </c>
      <c r="R566" t="s">
        <v>43</v>
      </c>
      <c r="S566" t="s">
        <v>47</v>
      </c>
      <c r="T566" s="7" t="s">
        <v>49</v>
      </c>
      <c r="U566">
        <v>706</v>
      </c>
      <c r="V566">
        <v>1</v>
      </c>
      <c r="W566">
        <v>31</v>
      </c>
      <c r="X566">
        <v>31</v>
      </c>
      <c r="AA566">
        <v>38.527397260274</v>
      </c>
      <c r="AB566">
        <v>16.5888869714456</v>
      </c>
      <c r="AC566">
        <v>48.904109589041099</v>
      </c>
      <c r="AD566">
        <v>19.449039897557</v>
      </c>
      <c r="AE566" t="s">
        <v>71</v>
      </c>
      <c r="AF566" t="s">
        <v>61</v>
      </c>
      <c r="AG566" t="str">
        <f t="shared" si="17"/>
        <v>mean</v>
      </c>
      <c r="AH566" t="s">
        <v>213</v>
      </c>
      <c r="AS566" t="s">
        <v>849</v>
      </c>
      <c r="AT566" t="s">
        <v>849</v>
      </c>
      <c r="AV566" t="s">
        <v>1803</v>
      </c>
      <c r="AW566" t="s">
        <v>1815</v>
      </c>
      <c r="AX566" t="s">
        <v>1805</v>
      </c>
      <c r="AY566" t="s">
        <v>1806</v>
      </c>
      <c r="AZ566" t="s">
        <v>76</v>
      </c>
    </row>
    <row r="567" spans="1:52" x14ac:dyDescent="0.2">
      <c r="A567" t="s">
        <v>1249</v>
      </c>
      <c r="B567" t="s">
        <v>1250</v>
      </c>
      <c r="C567" t="s">
        <v>1251</v>
      </c>
      <c r="D567">
        <v>2006</v>
      </c>
      <c r="E567" t="s">
        <v>1328</v>
      </c>
      <c r="F567" t="s">
        <v>1401</v>
      </c>
      <c r="G567" t="s">
        <v>1484</v>
      </c>
      <c r="H567" t="s">
        <v>1735</v>
      </c>
      <c r="I567" t="s">
        <v>230</v>
      </c>
      <c r="J567" s="7" t="s">
        <v>31</v>
      </c>
      <c r="K567" t="s">
        <v>34</v>
      </c>
      <c r="O567" s="18" t="s">
        <v>20</v>
      </c>
      <c r="P567" s="18" t="s">
        <v>26</v>
      </c>
      <c r="Q567" t="s">
        <v>37</v>
      </c>
      <c r="R567" t="s">
        <v>40</v>
      </c>
      <c r="S567" t="s">
        <v>47</v>
      </c>
      <c r="T567" s="7" t="s">
        <v>49</v>
      </c>
      <c r="U567">
        <v>707</v>
      </c>
      <c r="V567">
        <v>2</v>
      </c>
      <c r="W567">
        <v>31</v>
      </c>
      <c r="X567">
        <v>31</v>
      </c>
      <c r="AA567">
        <v>14.5121107266436</v>
      </c>
      <c r="AB567">
        <v>3.9494522296891201</v>
      </c>
      <c r="AC567">
        <v>12.747404844290701</v>
      </c>
      <c r="AD567">
        <v>4.9127332613206196</v>
      </c>
      <c r="AE567" t="s">
        <v>71</v>
      </c>
      <c r="AF567" t="s">
        <v>61</v>
      </c>
      <c r="AG567" t="str">
        <f t="shared" si="17"/>
        <v>mean</v>
      </c>
      <c r="AH567" t="s">
        <v>213</v>
      </c>
      <c r="AS567" t="s">
        <v>849</v>
      </c>
      <c r="AT567" t="s">
        <v>849</v>
      </c>
      <c r="AV567" t="s">
        <v>1803</v>
      </c>
      <c r="AW567" t="s">
        <v>1815</v>
      </c>
      <c r="AX567" t="s">
        <v>1805</v>
      </c>
      <c r="AY567" t="s">
        <v>1806</v>
      </c>
      <c r="AZ567" t="s">
        <v>76</v>
      </c>
    </row>
    <row r="568" spans="1:52" x14ac:dyDescent="0.2">
      <c r="A568" t="s">
        <v>1252</v>
      </c>
      <c r="B568" t="s">
        <v>1253</v>
      </c>
      <c r="C568" t="s">
        <v>1254</v>
      </c>
      <c r="D568">
        <v>2010</v>
      </c>
      <c r="E568" t="s">
        <v>1329</v>
      </c>
      <c r="F568" t="s">
        <v>1402</v>
      </c>
      <c r="G568" t="s">
        <v>1485</v>
      </c>
      <c r="H568" t="s">
        <v>1736</v>
      </c>
      <c r="I568" t="s">
        <v>1090</v>
      </c>
      <c r="J568" t="s">
        <v>82</v>
      </c>
      <c r="K568" t="s">
        <v>35</v>
      </c>
      <c r="L568" t="s">
        <v>12</v>
      </c>
      <c r="O568" s="18" t="s">
        <v>76</v>
      </c>
      <c r="P568" s="18" t="s">
        <v>27</v>
      </c>
      <c r="Q568" t="s">
        <v>38</v>
      </c>
      <c r="R568" t="s">
        <v>41</v>
      </c>
      <c r="S568" t="s">
        <v>47</v>
      </c>
      <c r="T568" s="7" t="s">
        <v>49</v>
      </c>
      <c r="U568">
        <v>2</v>
      </c>
      <c r="V568">
        <v>1</v>
      </c>
      <c r="W568">
        <v>139</v>
      </c>
      <c r="X568">
        <v>155</v>
      </c>
      <c r="Y568">
        <v>35</v>
      </c>
      <c r="Z568">
        <v>57</v>
      </c>
      <c r="AG568" t="s">
        <v>1790</v>
      </c>
      <c r="AH568" t="s">
        <v>213</v>
      </c>
      <c r="AS568" t="s">
        <v>849</v>
      </c>
      <c r="AT568" t="s">
        <v>849</v>
      </c>
      <c r="AV568" t="s">
        <v>1803</v>
      </c>
      <c r="AW568" t="s">
        <v>1807</v>
      </c>
      <c r="AX568" t="s">
        <v>1808</v>
      </c>
      <c r="AY568" t="s">
        <v>1811</v>
      </c>
      <c r="AZ568" t="s">
        <v>76</v>
      </c>
    </row>
    <row r="569" spans="1:52" x14ac:dyDescent="0.2">
      <c r="A569" t="s">
        <v>1255</v>
      </c>
      <c r="B569" t="s">
        <v>1256</v>
      </c>
      <c r="C569" t="s">
        <v>1257</v>
      </c>
      <c r="D569">
        <v>2018</v>
      </c>
      <c r="E569" t="s">
        <v>1330</v>
      </c>
      <c r="F569" t="s">
        <v>1403</v>
      </c>
      <c r="G569" t="s">
        <v>2303</v>
      </c>
      <c r="H569" t="s">
        <v>1737</v>
      </c>
      <c r="I569" t="s">
        <v>440</v>
      </c>
      <c r="J569" s="7" t="s">
        <v>31</v>
      </c>
      <c r="K569" t="s">
        <v>35</v>
      </c>
      <c r="L569" t="s">
        <v>11</v>
      </c>
      <c r="M569" t="s">
        <v>16</v>
      </c>
      <c r="N569">
        <v>0</v>
      </c>
      <c r="O569" s="18" t="s">
        <v>20</v>
      </c>
      <c r="P569" s="18" t="s">
        <v>24</v>
      </c>
      <c r="S569" t="s">
        <v>47</v>
      </c>
      <c r="T569" s="7" t="s">
        <v>53</v>
      </c>
      <c r="W569">
        <v>56</v>
      </c>
      <c r="X569">
        <v>55</v>
      </c>
      <c r="AA569">
        <v>6.9925925925925928E-3</v>
      </c>
      <c r="AB569">
        <v>1.4336216861723291E-2</v>
      </c>
      <c r="AC569">
        <v>6.1075471698113209E-3</v>
      </c>
      <c r="AD569">
        <v>1.8536988481003262E-2</v>
      </c>
      <c r="AE569" t="s">
        <v>71</v>
      </c>
      <c r="AF569" t="s">
        <v>61</v>
      </c>
      <c r="AG569" t="str">
        <f t="shared" ref="AG569:AG584" si="18">IF(AE569="mean", "mean", "")</f>
        <v>mean</v>
      </c>
      <c r="AH569" t="s">
        <v>213</v>
      </c>
      <c r="AS569" t="s">
        <v>849</v>
      </c>
      <c r="AT569" t="s">
        <v>849</v>
      </c>
      <c r="AV569" t="s">
        <v>1803</v>
      </c>
      <c r="AW569" t="s">
        <v>1815</v>
      </c>
      <c r="AX569" t="s">
        <v>1805</v>
      </c>
      <c r="AY569" t="s">
        <v>1806</v>
      </c>
      <c r="AZ569" t="s">
        <v>76</v>
      </c>
    </row>
    <row r="570" spans="1:52" x14ac:dyDescent="0.2">
      <c r="A570" t="s">
        <v>1255</v>
      </c>
      <c r="B570" t="s">
        <v>1256</v>
      </c>
      <c r="C570" t="s">
        <v>1257</v>
      </c>
      <c r="D570">
        <v>2018</v>
      </c>
      <c r="E570" t="s">
        <v>1330</v>
      </c>
      <c r="F570" t="s">
        <v>1403</v>
      </c>
      <c r="G570" t="s">
        <v>2303</v>
      </c>
      <c r="H570" t="s">
        <v>1738</v>
      </c>
      <c r="I570" t="s">
        <v>440</v>
      </c>
      <c r="J570" s="7" t="s">
        <v>31</v>
      </c>
      <c r="K570" t="s">
        <v>35</v>
      </c>
      <c r="L570" t="s">
        <v>11</v>
      </c>
      <c r="M570" t="s">
        <v>16</v>
      </c>
      <c r="N570">
        <v>0</v>
      </c>
      <c r="O570" s="18" t="s">
        <v>20</v>
      </c>
      <c r="P570" s="18" t="s">
        <v>24</v>
      </c>
      <c r="S570" t="s">
        <v>47</v>
      </c>
      <c r="T570" s="7" t="s">
        <v>53</v>
      </c>
      <c r="W570">
        <v>56</v>
      </c>
      <c r="X570">
        <v>57</v>
      </c>
      <c r="AA570">
        <v>6.9925925925925928E-3</v>
      </c>
      <c r="AB570">
        <v>1.4336216861723291E-2</v>
      </c>
      <c r="AC570">
        <v>1.403653846153846E-2</v>
      </c>
      <c r="AD570">
        <v>3.2927329544317138E-2</v>
      </c>
      <c r="AE570" t="s">
        <v>71</v>
      </c>
      <c r="AF570" t="s">
        <v>61</v>
      </c>
      <c r="AG570" t="str">
        <f t="shared" si="18"/>
        <v>mean</v>
      </c>
      <c r="AH570" t="s">
        <v>213</v>
      </c>
      <c r="AS570" t="s">
        <v>849</v>
      </c>
      <c r="AT570" t="s">
        <v>849</v>
      </c>
      <c r="AV570" t="s">
        <v>1803</v>
      </c>
      <c r="AW570" t="s">
        <v>1815</v>
      </c>
      <c r="AX570" t="s">
        <v>1805</v>
      </c>
      <c r="AY570" t="s">
        <v>1806</v>
      </c>
      <c r="AZ570" t="s">
        <v>76</v>
      </c>
    </row>
    <row r="571" spans="1:52" x14ac:dyDescent="0.2">
      <c r="A571" t="s">
        <v>1255</v>
      </c>
      <c r="B571" t="s">
        <v>1256</v>
      </c>
      <c r="C571" t="s">
        <v>1257</v>
      </c>
      <c r="D571">
        <v>2018</v>
      </c>
      <c r="E571" t="s">
        <v>1330</v>
      </c>
      <c r="F571" t="s">
        <v>1403</v>
      </c>
      <c r="G571" t="s">
        <v>2303</v>
      </c>
      <c r="H571" t="s">
        <v>1739</v>
      </c>
      <c r="I571" t="s">
        <v>440</v>
      </c>
      <c r="J571" s="7" t="s">
        <v>31</v>
      </c>
      <c r="K571" t="s">
        <v>35</v>
      </c>
      <c r="L571" t="s">
        <v>11</v>
      </c>
      <c r="M571" t="s">
        <v>16</v>
      </c>
      <c r="N571">
        <v>0</v>
      </c>
      <c r="O571" s="18" t="s">
        <v>20</v>
      </c>
      <c r="P571" s="18" t="s">
        <v>24</v>
      </c>
      <c r="S571" t="s">
        <v>47</v>
      </c>
      <c r="T571" s="7" t="s">
        <v>53</v>
      </c>
      <c r="W571">
        <v>56</v>
      </c>
      <c r="X571">
        <v>57</v>
      </c>
      <c r="AA571">
        <v>6.9925925925925928E-3</v>
      </c>
      <c r="AB571">
        <v>1.4336216861723291E-2</v>
      </c>
      <c r="AC571">
        <v>1.0474074074074073E-2</v>
      </c>
      <c r="AD571">
        <v>2.2060398952799418E-2</v>
      </c>
      <c r="AE571" t="s">
        <v>71</v>
      </c>
      <c r="AF571" t="s">
        <v>61</v>
      </c>
      <c r="AG571" t="str">
        <f t="shared" si="18"/>
        <v>mean</v>
      </c>
      <c r="AH571" t="s">
        <v>213</v>
      </c>
      <c r="AS571" t="s">
        <v>849</v>
      </c>
      <c r="AT571" t="s">
        <v>849</v>
      </c>
      <c r="AV571" t="s">
        <v>1803</v>
      </c>
      <c r="AW571" t="s">
        <v>1815</v>
      </c>
      <c r="AX571" t="s">
        <v>1805</v>
      </c>
      <c r="AY571" t="s">
        <v>1806</v>
      </c>
      <c r="AZ571" t="s">
        <v>76</v>
      </c>
    </row>
    <row r="572" spans="1:52" x14ac:dyDescent="0.2">
      <c r="A572" t="s">
        <v>1255</v>
      </c>
      <c r="B572" t="s">
        <v>1256</v>
      </c>
      <c r="C572" t="s">
        <v>1257</v>
      </c>
      <c r="D572">
        <v>2018</v>
      </c>
      <c r="E572" t="s">
        <v>1330</v>
      </c>
      <c r="F572" t="s">
        <v>1403</v>
      </c>
      <c r="G572" t="s">
        <v>2304</v>
      </c>
      <c r="H572" t="s">
        <v>1740</v>
      </c>
      <c r="I572" t="s">
        <v>440</v>
      </c>
      <c r="J572" s="7" t="s">
        <v>31</v>
      </c>
      <c r="K572" t="s">
        <v>35</v>
      </c>
      <c r="L572" t="s">
        <v>11</v>
      </c>
      <c r="M572" t="s">
        <v>16</v>
      </c>
      <c r="N572">
        <v>0</v>
      </c>
      <c r="O572" s="18" t="s">
        <v>20</v>
      </c>
      <c r="P572" s="18" t="s">
        <v>24</v>
      </c>
      <c r="S572" t="s">
        <v>47</v>
      </c>
      <c r="T572" s="7" t="s">
        <v>53</v>
      </c>
      <c r="W572">
        <v>59</v>
      </c>
      <c r="X572">
        <v>52</v>
      </c>
      <c r="AA572">
        <v>4.1999999999999997E-3</v>
      </c>
      <c r="AB572">
        <v>1.7465545597514787E-2</v>
      </c>
      <c r="AC572">
        <v>1.1200000000000002E-2</v>
      </c>
      <c r="AD572">
        <v>3.4147507154958755E-2</v>
      </c>
      <c r="AE572" t="s">
        <v>71</v>
      </c>
      <c r="AF572" t="s">
        <v>61</v>
      </c>
      <c r="AG572" t="str">
        <f t="shared" si="18"/>
        <v>mean</v>
      </c>
      <c r="AH572" t="s">
        <v>213</v>
      </c>
      <c r="AS572" t="s">
        <v>849</v>
      </c>
      <c r="AT572" t="s">
        <v>849</v>
      </c>
      <c r="AV572" t="s">
        <v>1803</v>
      </c>
      <c r="AW572" t="s">
        <v>1815</v>
      </c>
      <c r="AX572" t="s">
        <v>1805</v>
      </c>
      <c r="AY572" t="s">
        <v>1806</v>
      </c>
      <c r="AZ572" t="s">
        <v>76</v>
      </c>
    </row>
    <row r="573" spans="1:52" x14ac:dyDescent="0.2">
      <c r="A573" t="s">
        <v>1255</v>
      </c>
      <c r="B573" t="s">
        <v>1256</v>
      </c>
      <c r="C573" t="s">
        <v>1257</v>
      </c>
      <c r="D573">
        <v>2018</v>
      </c>
      <c r="E573" t="s">
        <v>1330</v>
      </c>
      <c r="F573" t="s">
        <v>1403</v>
      </c>
      <c r="G573" t="s">
        <v>2304</v>
      </c>
      <c r="H573" t="s">
        <v>1741</v>
      </c>
      <c r="I573" t="s">
        <v>440</v>
      </c>
      <c r="J573" s="7" t="s">
        <v>31</v>
      </c>
      <c r="K573" t="s">
        <v>35</v>
      </c>
      <c r="L573" t="s">
        <v>11</v>
      </c>
      <c r="M573" t="s">
        <v>16</v>
      </c>
      <c r="N573">
        <v>0</v>
      </c>
      <c r="O573" s="18" t="s">
        <v>20</v>
      </c>
      <c r="P573" s="18" t="s">
        <v>24</v>
      </c>
      <c r="S573" t="s">
        <v>47</v>
      </c>
      <c r="T573" s="7" t="s">
        <v>53</v>
      </c>
      <c r="W573">
        <v>59</v>
      </c>
      <c r="X573">
        <v>55</v>
      </c>
      <c r="AA573">
        <v>4.1999999999999997E-3</v>
      </c>
      <c r="AB573">
        <v>1.7465545597514787E-2</v>
      </c>
      <c r="AC573">
        <v>5.0618181818181821E-3</v>
      </c>
      <c r="AD573">
        <v>1.6052881256428599E-2</v>
      </c>
      <c r="AE573" t="s">
        <v>71</v>
      </c>
      <c r="AF573" t="s">
        <v>61</v>
      </c>
      <c r="AG573" t="str">
        <f t="shared" si="18"/>
        <v>mean</v>
      </c>
      <c r="AH573" t="s">
        <v>213</v>
      </c>
      <c r="AS573" t="s">
        <v>849</v>
      </c>
      <c r="AT573" t="s">
        <v>849</v>
      </c>
      <c r="AV573" t="s">
        <v>1803</v>
      </c>
      <c r="AW573" t="s">
        <v>1815</v>
      </c>
      <c r="AX573" t="s">
        <v>1805</v>
      </c>
      <c r="AY573" t="s">
        <v>1806</v>
      </c>
      <c r="AZ573" t="s">
        <v>76</v>
      </c>
    </row>
    <row r="574" spans="1:52" x14ac:dyDescent="0.2">
      <c r="A574" t="s">
        <v>1255</v>
      </c>
      <c r="B574" t="s">
        <v>1256</v>
      </c>
      <c r="C574" t="s">
        <v>1257</v>
      </c>
      <c r="D574">
        <v>2018</v>
      </c>
      <c r="E574" t="s">
        <v>1330</v>
      </c>
      <c r="F574" t="s">
        <v>1403</v>
      </c>
      <c r="G574" t="s">
        <v>2304</v>
      </c>
      <c r="H574" t="s">
        <v>1742</v>
      </c>
      <c r="I574" t="s">
        <v>440</v>
      </c>
      <c r="J574" s="7" t="s">
        <v>31</v>
      </c>
      <c r="K574" t="s">
        <v>35</v>
      </c>
      <c r="L574" t="s">
        <v>11</v>
      </c>
      <c r="M574" t="s">
        <v>16</v>
      </c>
      <c r="N574">
        <v>0</v>
      </c>
      <c r="O574" s="18" t="s">
        <v>20</v>
      </c>
      <c r="P574" s="18" t="s">
        <v>24</v>
      </c>
      <c r="S574" t="s">
        <v>47</v>
      </c>
      <c r="T574" s="7" t="s">
        <v>53</v>
      </c>
      <c r="W574">
        <v>59</v>
      </c>
      <c r="X574">
        <v>53</v>
      </c>
      <c r="AA574">
        <v>4.1999999999999997E-3</v>
      </c>
      <c r="AB574">
        <v>1.7465545597514787E-2</v>
      </c>
      <c r="AC574">
        <v>1.4479999999999999E-3</v>
      </c>
      <c r="AD574">
        <v>5.0594522571971307E-3</v>
      </c>
      <c r="AE574" t="s">
        <v>71</v>
      </c>
      <c r="AF574" t="s">
        <v>61</v>
      </c>
      <c r="AG574" t="str">
        <f t="shared" si="18"/>
        <v>mean</v>
      </c>
      <c r="AH574" t="s">
        <v>213</v>
      </c>
      <c r="AS574" t="s">
        <v>849</v>
      </c>
      <c r="AT574" t="s">
        <v>849</v>
      </c>
      <c r="AV574" t="s">
        <v>1803</v>
      </c>
      <c r="AW574" t="s">
        <v>1815</v>
      </c>
      <c r="AX574" t="s">
        <v>1805</v>
      </c>
      <c r="AY574" t="s">
        <v>1806</v>
      </c>
      <c r="AZ574" t="s">
        <v>76</v>
      </c>
    </row>
    <row r="575" spans="1:52" x14ac:dyDescent="0.2">
      <c r="A575" t="s">
        <v>1258</v>
      </c>
      <c r="B575" t="s">
        <v>1259</v>
      </c>
      <c r="C575" t="s">
        <v>1260</v>
      </c>
      <c r="D575">
        <v>2005</v>
      </c>
      <c r="E575" t="s">
        <v>1331</v>
      </c>
      <c r="F575" t="s">
        <v>1404</v>
      </c>
      <c r="G575" t="s">
        <v>1486</v>
      </c>
      <c r="H575" t="s">
        <v>1743</v>
      </c>
      <c r="I575" t="s">
        <v>524</v>
      </c>
      <c r="J575" s="7" t="s">
        <v>31</v>
      </c>
      <c r="K575" t="s">
        <v>35</v>
      </c>
      <c r="L575" t="s">
        <v>11</v>
      </c>
      <c r="M575" t="s">
        <v>18</v>
      </c>
      <c r="N575">
        <v>0</v>
      </c>
      <c r="O575" s="18" t="s">
        <v>20</v>
      </c>
      <c r="P575" s="18" t="s">
        <v>24</v>
      </c>
      <c r="S575" t="s">
        <v>48</v>
      </c>
      <c r="T575" s="7" t="s">
        <v>49</v>
      </c>
      <c r="U575">
        <v>1065</v>
      </c>
      <c r="V575">
        <v>3</v>
      </c>
      <c r="W575">
        <v>28</v>
      </c>
      <c r="X575">
        <v>28</v>
      </c>
      <c r="AA575">
        <v>16.073317307692299</v>
      </c>
      <c r="AB575">
        <v>1.24655590617468</v>
      </c>
      <c r="AC575">
        <v>15.299278846153801</v>
      </c>
      <c r="AD575">
        <v>0.93491692963100304</v>
      </c>
      <c r="AE575" t="s">
        <v>71</v>
      </c>
      <c r="AF575" t="s">
        <v>61</v>
      </c>
      <c r="AG575" t="str">
        <f t="shared" si="18"/>
        <v>mean</v>
      </c>
      <c r="AH575" t="s">
        <v>213</v>
      </c>
      <c r="AS575" t="s">
        <v>849</v>
      </c>
      <c r="AT575" t="s">
        <v>849</v>
      </c>
      <c r="AV575" t="s">
        <v>1803</v>
      </c>
      <c r="AW575" t="s">
        <v>1815</v>
      </c>
      <c r="AX575" t="s">
        <v>1805</v>
      </c>
      <c r="AY575" t="s">
        <v>1806</v>
      </c>
      <c r="AZ575" t="s">
        <v>76</v>
      </c>
    </row>
    <row r="576" spans="1:52" x14ac:dyDescent="0.2">
      <c r="A576" t="s">
        <v>1258</v>
      </c>
      <c r="B576" t="s">
        <v>1259</v>
      </c>
      <c r="C576" t="s">
        <v>1260</v>
      </c>
      <c r="D576">
        <v>2005</v>
      </c>
      <c r="E576" t="s">
        <v>1331</v>
      </c>
      <c r="F576" t="s">
        <v>1404</v>
      </c>
      <c r="G576" t="s">
        <v>1486</v>
      </c>
      <c r="H576" t="s">
        <v>1744</v>
      </c>
      <c r="I576" t="s">
        <v>524</v>
      </c>
      <c r="J576" s="7" t="s">
        <v>31</v>
      </c>
      <c r="K576" t="s">
        <v>35</v>
      </c>
      <c r="L576" t="s">
        <v>11</v>
      </c>
      <c r="M576" t="s">
        <v>18</v>
      </c>
      <c r="N576">
        <v>0</v>
      </c>
      <c r="O576" s="18" t="s">
        <v>20</v>
      </c>
      <c r="P576" s="18" t="s">
        <v>24</v>
      </c>
      <c r="S576" t="s">
        <v>48</v>
      </c>
      <c r="T576" s="7" t="s">
        <v>49</v>
      </c>
      <c r="U576">
        <v>1066</v>
      </c>
      <c r="V576">
        <v>4</v>
      </c>
      <c r="W576">
        <v>28</v>
      </c>
      <c r="X576">
        <v>28</v>
      </c>
      <c r="AA576">
        <v>128.38961038961</v>
      </c>
      <c r="AB576">
        <v>6.5971980743427796</v>
      </c>
      <c r="AC576">
        <v>119.662337662338</v>
      </c>
      <c r="AD576">
        <v>6.1848731946964799</v>
      </c>
      <c r="AE576" t="s">
        <v>71</v>
      </c>
      <c r="AF576" t="s">
        <v>61</v>
      </c>
      <c r="AG576" t="str">
        <f t="shared" si="18"/>
        <v>mean</v>
      </c>
      <c r="AH576" t="s">
        <v>213</v>
      </c>
      <c r="AS576" t="s">
        <v>849</v>
      </c>
      <c r="AT576" t="s">
        <v>849</v>
      </c>
      <c r="AV576" t="s">
        <v>1803</v>
      </c>
      <c r="AW576" t="s">
        <v>1815</v>
      </c>
      <c r="AX576" t="s">
        <v>1805</v>
      </c>
      <c r="AY576" t="s">
        <v>1806</v>
      </c>
      <c r="AZ576" t="s">
        <v>76</v>
      </c>
    </row>
    <row r="577" spans="1:52" x14ac:dyDescent="0.2">
      <c r="A577" t="s">
        <v>1258</v>
      </c>
      <c r="B577" t="s">
        <v>1259</v>
      </c>
      <c r="C577" t="s">
        <v>1260</v>
      </c>
      <c r="D577">
        <v>2005</v>
      </c>
      <c r="E577" t="s">
        <v>1331</v>
      </c>
      <c r="F577" t="s">
        <v>1404</v>
      </c>
      <c r="G577" t="s">
        <v>1486</v>
      </c>
      <c r="H577" t="s">
        <v>1745</v>
      </c>
      <c r="I577" t="s">
        <v>524</v>
      </c>
      <c r="J577" s="7" t="s">
        <v>31</v>
      </c>
      <c r="K577" t="s">
        <v>35</v>
      </c>
      <c r="L577" t="s">
        <v>11</v>
      </c>
      <c r="M577" t="s">
        <v>18</v>
      </c>
      <c r="N577">
        <v>0</v>
      </c>
      <c r="O577" s="18" t="s">
        <v>20</v>
      </c>
      <c r="P577" s="18" t="s">
        <v>24</v>
      </c>
      <c r="S577" t="s">
        <v>48</v>
      </c>
      <c r="T577" t="s">
        <v>50</v>
      </c>
      <c r="U577">
        <v>1066</v>
      </c>
      <c r="V577">
        <v>2</v>
      </c>
      <c r="W577">
        <v>22</v>
      </c>
      <c r="X577">
        <v>21</v>
      </c>
      <c r="AA577">
        <v>20.239999999999998</v>
      </c>
      <c r="AB577">
        <v>2.74</v>
      </c>
      <c r="AC577">
        <v>18.829999999999998</v>
      </c>
      <c r="AD577">
        <v>3.1</v>
      </c>
      <c r="AE577" t="s">
        <v>71</v>
      </c>
      <c r="AF577" t="s">
        <v>62</v>
      </c>
      <c r="AG577" t="str">
        <f t="shared" si="18"/>
        <v>mean</v>
      </c>
      <c r="AH577" t="s">
        <v>213</v>
      </c>
      <c r="AS577" t="s">
        <v>849</v>
      </c>
      <c r="AT577" t="s">
        <v>849</v>
      </c>
      <c r="AV577" t="s">
        <v>1803</v>
      </c>
      <c r="AW577" t="s">
        <v>1815</v>
      </c>
      <c r="AX577" t="s">
        <v>1805</v>
      </c>
      <c r="AY577" t="s">
        <v>1806</v>
      </c>
      <c r="AZ577" t="s">
        <v>76</v>
      </c>
    </row>
    <row r="578" spans="1:52" x14ac:dyDescent="0.2">
      <c r="A578" t="s">
        <v>1258</v>
      </c>
      <c r="B578" t="s">
        <v>1259</v>
      </c>
      <c r="C578" t="s">
        <v>1260</v>
      </c>
      <c r="D578">
        <v>2005</v>
      </c>
      <c r="E578" t="s">
        <v>1331</v>
      </c>
      <c r="F578" t="s">
        <v>1404</v>
      </c>
      <c r="G578" t="s">
        <v>1486</v>
      </c>
      <c r="H578" t="s">
        <v>1746</v>
      </c>
      <c r="I578" t="s">
        <v>524</v>
      </c>
      <c r="J578" s="7" t="s">
        <v>31</v>
      </c>
      <c r="K578" t="s">
        <v>35</v>
      </c>
      <c r="L578" t="s">
        <v>11</v>
      </c>
      <c r="M578" t="s">
        <v>18</v>
      </c>
      <c r="N578">
        <v>0</v>
      </c>
      <c r="O578" s="18" t="s">
        <v>20</v>
      </c>
      <c r="P578" s="18" t="s">
        <v>24</v>
      </c>
      <c r="S578" t="s">
        <v>48</v>
      </c>
      <c r="T578" t="s">
        <v>50</v>
      </c>
      <c r="U578">
        <v>1066</v>
      </c>
      <c r="V578">
        <v>2</v>
      </c>
      <c r="W578">
        <v>22</v>
      </c>
      <c r="X578">
        <v>21</v>
      </c>
      <c r="AA578">
        <v>4.88</v>
      </c>
      <c r="AB578">
        <v>0.05</v>
      </c>
      <c r="AC578">
        <v>4.96</v>
      </c>
      <c r="AD578">
        <v>0.04</v>
      </c>
      <c r="AE578" t="s">
        <v>71</v>
      </c>
      <c r="AF578" t="s">
        <v>62</v>
      </c>
      <c r="AG578" t="str">
        <f t="shared" si="18"/>
        <v>mean</v>
      </c>
      <c r="AH578" t="s">
        <v>213</v>
      </c>
      <c r="AS578" t="s">
        <v>849</v>
      </c>
      <c r="AT578" t="s">
        <v>222</v>
      </c>
      <c r="AV578" t="s">
        <v>1803</v>
      </c>
      <c r="AW578" t="s">
        <v>1815</v>
      </c>
      <c r="AX578" t="s">
        <v>1805</v>
      </c>
      <c r="AY578" t="s">
        <v>1806</v>
      </c>
      <c r="AZ578" t="s">
        <v>76</v>
      </c>
    </row>
    <row r="579" spans="1:52" x14ac:dyDescent="0.2">
      <c r="A579" t="s">
        <v>1258</v>
      </c>
      <c r="B579" t="s">
        <v>1259</v>
      </c>
      <c r="C579" t="s">
        <v>1260</v>
      </c>
      <c r="D579">
        <v>2005</v>
      </c>
      <c r="E579" t="s">
        <v>1331</v>
      </c>
      <c r="F579" t="s">
        <v>1404</v>
      </c>
      <c r="G579" t="s">
        <v>1486</v>
      </c>
      <c r="H579" t="s">
        <v>1747</v>
      </c>
      <c r="I579" t="s">
        <v>524</v>
      </c>
      <c r="J579" s="7" t="s">
        <v>31</v>
      </c>
      <c r="K579" t="s">
        <v>35</v>
      </c>
      <c r="L579" t="s">
        <v>11</v>
      </c>
      <c r="M579" t="s">
        <v>18</v>
      </c>
      <c r="N579">
        <v>0</v>
      </c>
      <c r="O579" s="18" t="s">
        <v>20</v>
      </c>
      <c r="P579" s="18" t="s">
        <v>24</v>
      </c>
      <c r="S579" t="s">
        <v>48</v>
      </c>
      <c r="T579" t="s">
        <v>50</v>
      </c>
      <c r="U579">
        <v>1066</v>
      </c>
      <c r="V579">
        <v>2</v>
      </c>
      <c r="W579">
        <v>22</v>
      </c>
      <c r="X579">
        <v>21</v>
      </c>
      <c r="AA579">
        <v>36.5</v>
      </c>
      <c r="AB579">
        <v>1.28</v>
      </c>
      <c r="AC579">
        <v>36</v>
      </c>
      <c r="AD579">
        <v>0.92</v>
      </c>
      <c r="AE579" t="s">
        <v>71</v>
      </c>
      <c r="AF579" t="s">
        <v>62</v>
      </c>
      <c r="AG579" t="str">
        <f t="shared" si="18"/>
        <v>mean</v>
      </c>
      <c r="AH579" t="s">
        <v>213</v>
      </c>
      <c r="AS579" t="s">
        <v>849</v>
      </c>
      <c r="AT579" t="s">
        <v>849</v>
      </c>
      <c r="AV579" t="s">
        <v>1803</v>
      </c>
      <c r="AW579" t="s">
        <v>1815</v>
      </c>
      <c r="AX579" t="s">
        <v>1805</v>
      </c>
      <c r="AY579" t="s">
        <v>1806</v>
      </c>
      <c r="AZ579" t="s">
        <v>76</v>
      </c>
    </row>
    <row r="580" spans="1:52" x14ac:dyDescent="0.2">
      <c r="A580" t="s">
        <v>1258</v>
      </c>
      <c r="B580" t="s">
        <v>1259</v>
      </c>
      <c r="C580" t="s">
        <v>1260</v>
      </c>
      <c r="D580">
        <v>2005</v>
      </c>
      <c r="E580" t="s">
        <v>1331</v>
      </c>
      <c r="F580" t="s">
        <v>1404</v>
      </c>
      <c r="G580" t="s">
        <v>1486</v>
      </c>
      <c r="H580" t="s">
        <v>1748</v>
      </c>
      <c r="I580" t="s">
        <v>524</v>
      </c>
      <c r="J580" s="7" t="s">
        <v>31</v>
      </c>
      <c r="K580" t="s">
        <v>35</v>
      </c>
      <c r="L580" t="s">
        <v>11</v>
      </c>
      <c r="M580" t="s">
        <v>18</v>
      </c>
      <c r="N580">
        <v>0</v>
      </c>
      <c r="O580" s="18" t="s">
        <v>20</v>
      </c>
      <c r="P580" s="18" t="s">
        <v>24</v>
      </c>
      <c r="S580" t="s">
        <v>48</v>
      </c>
      <c r="T580" t="s">
        <v>50</v>
      </c>
      <c r="U580">
        <v>1066</v>
      </c>
      <c r="V580">
        <v>2</v>
      </c>
      <c r="W580">
        <v>22</v>
      </c>
      <c r="X580">
        <v>21</v>
      </c>
      <c r="AA580">
        <v>102.7</v>
      </c>
      <c r="AB580">
        <v>2.8</v>
      </c>
      <c r="AC580">
        <v>102.9</v>
      </c>
      <c r="AD580">
        <v>2.5</v>
      </c>
      <c r="AE580" t="s">
        <v>71</v>
      </c>
      <c r="AF580" t="s">
        <v>62</v>
      </c>
      <c r="AG580" t="str">
        <f t="shared" si="18"/>
        <v>mean</v>
      </c>
      <c r="AH580" t="s">
        <v>213</v>
      </c>
      <c r="AS580" t="s">
        <v>849</v>
      </c>
      <c r="AT580" t="s">
        <v>849</v>
      </c>
      <c r="AV580" t="s">
        <v>1803</v>
      </c>
      <c r="AW580" t="s">
        <v>1815</v>
      </c>
      <c r="AX580" t="s">
        <v>1805</v>
      </c>
      <c r="AY580" t="s">
        <v>1806</v>
      </c>
      <c r="AZ580" t="s">
        <v>76</v>
      </c>
    </row>
    <row r="581" spans="1:52" x14ac:dyDescent="0.2">
      <c r="A581" t="s">
        <v>1258</v>
      </c>
      <c r="B581" t="s">
        <v>1259</v>
      </c>
      <c r="C581" t="s">
        <v>1260</v>
      </c>
      <c r="D581">
        <v>2005</v>
      </c>
      <c r="E581" t="s">
        <v>1331</v>
      </c>
      <c r="F581" t="s">
        <v>1404</v>
      </c>
      <c r="G581" t="s">
        <v>1486</v>
      </c>
      <c r="H581" t="s">
        <v>1749</v>
      </c>
      <c r="I581" t="s">
        <v>524</v>
      </c>
      <c r="J581" s="7" t="s">
        <v>31</v>
      </c>
      <c r="K581" t="s">
        <v>35</v>
      </c>
      <c r="L581" t="s">
        <v>11</v>
      </c>
      <c r="M581" t="s">
        <v>18</v>
      </c>
      <c r="N581">
        <v>0</v>
      </c>
      <c r="O581" s="18" t="s">
        <v>20</v>
      </c>
      <c r="P581" s="18" t="s">
        <v>24</v>
      </c>
      <c r="S581" t="s">
        <v>48</v>
      </c>
      <c r="T581" t="s">
        <v>50</v>
      </c>
      <c r="U581">
        <v>1066</v>
      </c>
      <c r="V581">
        <v>2</v>
      </c>
      <c r="W581">
        <v>22</v>
      </c>
      <c r="X581">
        <v>21</v>
      </c>
      <c r="AA581">
        <v>177.5</v>
      </c>
      <c r="AB581">
        <v>11.3</v>
      </c>
      <c r="AC581">
        <v>177.3</v>
      </c>
      <c r="AD581">
        <v>7.8</v>
      </c>
      <c r="AE581" t="s">
        <v>71</v>
      </c>
      <c r="AF581" t="s">
        <v>62</v>
      </c>
      <c r="AG581" t="str">
        <f t="shared" si="18"/>
        <v>mean</v>
      </c>
      <c r="AH581" t="s">
        <v>213</v>
      </c>
      <c r="AS581" t="s">
        <v>849</v>
      </c>
      <c r="AT581" t="s">
        <v>222</v>
      </c>
      <c r="AV581" t="s">
        <v>1803</v>
      </c>
      <c r="AW581" t="s">
        <v>1815</v>
      </c>
      <c r="AX581" t="s">
        <v>1805</v>
      </c>
      <c r="AY581" t="s">
        <v>1806</v>
      </c>
      <c r="AZ581" t="s">
        <v>76</v>
      </c>
    </row>
    <row r="582" spans="1:52" x14ac:dyDescent="0.2">
      <c r="A582" t="s">
        <v>1258</v>
      </c>
      <c r="B582" t="s">
        <v>1259</v>
      </c>
      <c r="C582" t="s">
        <v>1260</v>
      </c>
      <c r="D582">
        <v>2005</v>
      </c>
      <c r="E582" t="s">
        <v>1331</v>
      </c>
      <c r="F582" t="s">
        <v>1404</v>
      </c>
      <c r="G582" t="s">
        <v>1486</v>
      </c>
      <c r="H582" t="s">
        <v>1750</v>
      </c>
      <c r="I582" t="s">
        <v>524</v>
      </c>
      <c r="J582" s="7" t="s">
        <v>31</v>
      </c>
      <c r="K582" t="s">
        <v>35</v>
      </c>
      <c r="L582" t="s">
        <v>11</v>
      </c>
      <c r="M582" t="s">
        <v>18</v>
      </c>
      <c r="N582">
        <v>0</v>
      </c>
      <c r="O582" s="18" t="s">
        <v>20</v>
      </c>
      <c r="P582" s="18" t="s">
        <v>24</v>
      </c>
      <c r="S582" t="s">
        <v>48</v>
      </c>
      <c r="T582" t="s">
        <v>50</v>
      </c>
      <c r="U582">
        <v>1066</v>
      </c>
      <c r="V582">
        <v>2</v>
      </c>
      <c r="W582">
        <v>22</v>
      </c>
      <c r="X582">
        <v>21</v>
      </c>
      <c r="AA582">
        <v>30.3</v>
      </c>
      <c r="AB582">
        <v>4</v>
      </c>
      <c r="AC582">
        <v>26.7</v>
      </c>
      <c r="AD582">
        <v>2.9</v>
      </c>
      <c r="AE582" t="s">
        <v>71</v>
      </c>
      <c r="AF582" t="s">
        <v>62</v>
      </c>
      <c r="AG582" t="str">
        <f t="shared" si="18"/>
        <v>mean</v>
      </c>
      <c r="AH582" t="s">
        <v>213</v>
      </c>
      <c r="AS582" t="s">
        <v>849</v>
      </c>
      <c r="AT582" t="s">
        <v>849</v>
      </c>
      <c r="AV582" t="s">
        <v>1803</v>
      </c>
      <c r="AW582" t="s">
        <v>1815</v>
      </c>
      <c r="AX582" t="s">
        <v>1805</v>
      </c>
      <c r="AY582" t="s">
        <v>1806</v>
      </c>
      <c r="AZ582" t="s">
        <v>76</v>
      </c>
    </row>
    <row r="583" spans="1:52" x14ac:dyDescent="0.2">
      <c r="A583" t="s">
        <v>1261</v>
      </c>
      <c r="B583" t="s">
        <v>1262</v>
      </c>
      <c r="C583" t="s">
        <v>1263</v>
      </c>
      <c r="D583">
        <v>2004</v>
      </c>
      <c r="E583" t="s">
        <v>1332</v>
      </c>
      <c r="F583" t="s">
        <v>1405</v>
      </c>
      <c r="G583" t="s">
        <v>1487</v>
      </c>
      <c r="H583" t="s">
        <v>1751</v>
      </c>
      <c r="I583" t="s">
        <v>1264</v>
      </c>
      <c r="J583" s="7" t="s">
        <v>29</v>
      </c>
      <c r="K583" t="s">
        <v>34</v>
      </c>
      <c r="O583" s="18" t="s">
        <v>20</v>
      </c>
      <c r="P583" s="18" t="s">
        <v>26</v>
      </c>
      <c r="Q583" t="s">
        <v>37</v>
      </c>
      <c r="R583" t="s">
        <v>42</v>
      </c>
      <c r="S583" t="s">
        <v>47</v>
      </c>
      <c r="T583" s="7" t="s">
        <v>50</v>
      </c>
      <c r="U583">
        <v>171</v>
      </c>
      <c r="V583">
        <v>1</v>
      </c>
      <c r="W583">
        <v>21</v>
      </c>
      <c r="X583">
        <v>21</v>
      </c>
      <c r="AA583">
        <v>3888</v>
      </c>
      <c r="AB583">
        <v>3327</v>
      </c>
      <c r="AC583">
        <v>2464</v>
      </c>
      <c r="AD583">
        <v>1356</v>
      </c>
      <c r="AE583" t="s">
        <v>71</v>
      </c>
      <c r="AF583" t="s">
        <v>61</v>
      </c>
      <c r="AG583" t="str">
        <f t="shared" si="18"/>
        <v>mean</v>
      </c>
      <c r="AH583" t="s">
        <v>213</v>
      </c>
      <c r="AS583" t="s">
        <v>849</v>
      </c>
      <c r="AT583" t="s">
        <v>849</v>
      </c>
      <c r="AV583" t="s">
        <v>1803</v>
      </c>
      <c r="AW583" t="s">
        <v>1804</v>
      </c>
      <c r="AX583" t="s">
        <v>1808</v>
      </c>
      <c r="AY583" t="s">
        <v>1814</v>
      </c>
      <c r="AZ583" t="s">
        <v>76</v>
      </c>
    </row>
    <row r="584" spans="1:52" x14ac:dyDescent="0.2">
      <c r="A584" t="s">
        <v>1261</v>
      </c>
      <c r="B584" t="s">
        <v>1262</v>
      </c>
      <c r="C584" t="s">
        <v>1263</v>
      </c>
      <c r="D584">
        <v>2004</v>
      </c>
      <c r="E584" t="s">
        <v>1332</v>
      </c>
      <c r="F584" t="s">
        <v>1405</v>
      </c>
      <c r="G584" t="s">
        <v>1487</v>
      </c>
      <c r="H584" t="s">
        <v>1752</v>
      </c>
      <c r="I584" t="s">
        <v>1264</v>
      </c>
      <c r="J584" s="7" t="s">
        <v>29</v>
      </c>
      <c r="K584" t="s">
        <v>34</v>
      </c>
      <c r="O584" s="18" t="s">
        <v>20</v>
      </c>
      <c r="P584" s="18" t="s">
        <v>26</v>
      </c>
      <c r="Q584" t="s">
        <v>38</v>
      </c>
      <c r="R584" t="s">
        <v>43</v>
      </c>
      <c r="S584" t="s">
        <v>47</v>
      </c>
      <c r="T584" s="7" t="s">
        <v>50</v>
      </c>
      <c r="U584">
        <v>171</v>
      </c>
      <c r="V584">
        <v>1</v>
      </c>
      <c r="W584">
        <v>22</v>
      </c>
      <c r="X584">
        <v>22</v>
      </c>
      <c r="AA584">
        <v>0.92</v>
      </c>
      <c r="AB584">
        <v>0.38</v>
      </c>
      <c r="AC584">
        <v>1.33</v>
      </c>
      <c r="AD584">
        <v>0.44</v>
      </c>
      <c r="AE584" t="s">
        <v>71</v>
      </c>
      <c r="AF584" t="s">
        <v>61</v>
      </c>
      <c r="AG584" t="str">
        <f t="shared" si="18"/>
        <v>mean</v>
      </c>
      <c r="AH584" t="s">
        <v>213</v>
      </c>
      <c r="AS584" t="s">
        <v>849</v>
      </c>
      <c r="AT584" t="s">
        <v>849</v>
      </c>
      <c r="AV584" t="s">
        <v>1803</v>
      </c>
      <c r="AW584" t="s">
        <v>1804</v>
      </c>
      <c r="AX584" t="s">
        <v>1808</v>
      </c>
      <c r="AY584" t="s">
        <v>1814</v>
      </c>
      <c r="AZ584" t="s">
        <v>76</v>
      </c>
    </row>
    <row r="585" spans="1:52" x14ac:dyDescent="0.2">
      <c r="A585" t="s">
        <v>1265</v>
      </c>
      <c r="B585" t="s">
        <v>1184</v>
      </c>
      <c r="C585" t="s">
        <v>1266</v>
      </c>
      <c r="D585">
        <v>2011</v>
      </c>
      <c r="E585" t="s">
        <v>1333</v>
      </c>
      <c r="F585" t="s">
        <v>1406</v>
      </c>
      <c r="G585" t="s">
        <v>1488</v>
      </c>
      <c r="H585" t="s">
        <v>1753</v>
      </c>
      <c r="I585" t="s">
        <v>1090</v>
      </c>
      <c r="J585" s="7" t="s">
        <v>82</v>
      </c>
      <c r="K585" t="s">
        <v>35</v>
      </c>
      <c r="L585" t="s">
        <v>11</v>
      </c>
      <c r="M585" t="s">
        <v>19</v>
      </c>
      <c r="N585">
        <v>0</v>
      </c>
      <c r="O585" s="19" t="s">
        <v>20</v>
      </c>
      <c r="P585" s="18" t="s">
        <v>27</v>
      </c>
      <c r="S585" t="s">
        <v>47</v>
      </c>
      <c r="T585" t="s">
        <v>51</v>
      </c>
      <c r="U585">
        <v>7</v>
      </c>
      <c r="W585">
        <v>114</v>
      </c>
      <c r="X585">
        <v>114</v>
      </c>
      <c r="Y585">
        <v>91</v>
      </c>
      <c r="Z585">
        <v>23</v>
      </c>
      <c r="AG585" t="s">
        <v>1790</v>
      </c>
      <c r="AH585" t="s">
        <v>213</v>
      </c>
      <c r="AS585" t="s">
        <v>849</v>
      </c>
      <c r="AT585" t="s">
        <v>849</v>
      </c>
      <c r="AV585" t="s">
        <v>1803</v>
      </c>
      <c r="AW585" t="s">
        <v>1807</v>
      </c>
      <c r="AX585" t="s">
        <v>1808</v>
      </c>
      <c r="AY585" t="s">
        <v>1811</v>
      </c>
      <c r="AZ585" t="s">
        <v>76</v>
      </c>
    </row>
    <row r="586" spans="1:52" x14ac:dyDescent="0.2">
      <c r="A586" t="s">
        <v>1265</v>
      </c>
      <c r="B586" t="s">
        <v>1184</v>
      </c>
      <c r="C586" t="s">
        <v>1266</v>
      </c>
      <c r="D586">
        <v>2011</v>
      </c>
      <c r="E586" t="s">
        <v>1333</v>
      </c>
      <c r="F586" t="s">
        <v>1406</v>
      </c>
      <c r="G586" t="s">
        <v>1488</v>
      </c>
      <c r="H586" t="s">
        <v>1754</v>
      </c>
      <c r="I586" t="s">
        <v>1090</v>
      </c>
      <c r="J586" s="7" t="s">
        <v>82</v>
      </c>
      <c r="K586" t="s">
        <v>35</v>
      </c>
      <c r="L586" t="s">
        <v>11</v>
      </c>
      <c r="M586" t="s">
        <v>19</v>
      </c>
      <c r="N586">
        <v>0</v>
      </c>
      <c r="O586" s="19" t="s">
        <v>20</v>
      </c>
      <c r="P586" s="18" t="s">
        <v>27</v>
      </c>
      <c r="S586" t="s">
        <v>47</v>
      </c>
      <c r="T586" t="s">
        <v>51</v>
      </c>
      <c r="U586">
        <v>7</v>
      </c>
      <c r="W586">
        <v>114</v>
      </c>
      <c r="X586">
        <v>114</v>
      </c>
      <c r="Y586">
        <v>71</v>
      </c>
      <c r="Z586">
        <v>43</v>
      </c>
      <c r="AG586" t="s">
        <v>1790</v>
      </c>
      <c r="AH586" t="s">
        <v>213</v>
      </c>
      <c r="AS586" t="s">
        <v>849</v>
      </c>
      <c r="AT586" t="s">
        <v>849</v>
      </c>
      <c r="AV586" t="s">
        <v>1803</v>
      </c>
      <c r="AW586" t="s">
        <v>1807</v>
      </c>
      <c r="AX586" t="s">
        <v>1808</v>
      </c>
      <c r="AY586" t="s">
        <v>1811</v>
      </c>
      <c r="AZ586" t="s">
        <v>76</v>
      </c>
    </row>
    <row r="587" spans="1:52" x14ac:dyDescent="0.2">
      <c r="A587" t="s">
        <v>1791</v>
      </c>
      <c r="B587" t="s">
        <v>1792</v>
      </c>
      <c r="C587" t="s">
        <v>1793</v>
      </c>
      <c r="D587">
        <v>2017</v>
      </c>
      <c r="E587" t="s">
        <v>1794</v>
      </c>
      <c r="F587" t="s">
        <v>1795</v>
      </c>
      <c r="G587" t="s">
        <v>1796</v>
      </c>
      <c r="H587" t="s">
        <v>1797</v>
      </c>
      <c r="I587" t="s">
        <v>1772</v>
      </c>
      <c r="J587" t="s">
        <v>31</v>
      </c>
      <c r="K587" t="s">
        <v>35</v>
      </c>
      <c r="L587" t="s">
        <v>12</v>
      </c>
      <c r="O587" s="19" t="s">
        <v>20</v>
      </c>
      <c r="P587" s="18" t="s">
        <v>27</v>
      </c>
      <c r="Q587" t="s">
        <v>38</v>
      </c>
      <c r="R587" t="s">
        <v>43</v>
      </c>
      <c r="S587" t="s">
        <v>47</v>
      </c>
      <c r="T587" s="7" t="s">
        <v>53</v>
      </c>
      <c r="W587">
        <v>65</v>
      </c>
      <c r="X587">
        <v>61</v>
      </c>
      <c r="AA587">
        <v>41.252876923076911</v>
      </c>
      <c r="AB587">
        <v>14.278743261409302</v>
      </c>
      <c r="AC587">
        <v>42.044139344262298</v>
      </c>
      <c r="AD587">
        <v>15.102133308225907</v>
      </c>
      <c r="AE587" t="s">
        <v>71</v>
      </c>
      <c r="AF587" t="s">
        <v>61</v>
      </c>
      <c r="AG587" t="str">
        <f t="shared" ref="AG587" si="19">IF(AE587="mean", "mean", "")</f>
        <v>mean</v>
      </c>
      <c r="AH587" t="s">
        <v>213</v>
      </c>
      <c r="AS587" t="s">
        <v>849</v>
      </c>
      <c r="AT587" t="s">
        <v>849</v>
      </c>
      <c r="AV587" t="s">
        <v>1803</v>
      </c>
      <c r="AW587" t="s">
        <v>1815</v>
      </c>
      <c r="AX587" t="s">
        <v>1817</v>
      </c>
      <c r="AY587" t="s">
        <v>1806</v>
      </c>
      <c r="AZ587" t="s">
        <v>76</v>
      </c>
    </row>
    <row r="588" spans="1:52" x14ac:dyDescent="0.2">
      <c r="A588" t="s">
        <v>1830</v>
      </c>
      <c r="B588" t="s">
        <v>1831</v>
      </c>
      <c r="C588" t="s">
        <v>1832</v>
      </c>
      <c r="D588">
        <v>2020</v>
      </c>
      <c r="E588" t="s">
        <v>1833</v>
      </c>
      <c r="F588" t="s">
        <v>1834</v>
      </c>
      <c r="G588" t="s">
        <v>1835</v>
      </c>
      <c r="H588" t="s">
        <v>1836</v>
      </c>
      <c r="I588" t="s">
        <v>2262</v>
      </c>
      <c r="J588" t="s">
        <v>33</v>
      </c>
      <c r="K588" t="s">
        <v>35</v>
      </c>
      <c r="L588" t="s">
        <v>12</v>
      </c>
      <c r="O588" s="18" t="s">
        <v>20</v>
      </c>
      <c r="P588" s="18" t="s">
        <v>1042</v>
      </c>
      <c r="Q588" t="s">
        <v>37</v>
      </c>
      <c r="R588" t="s">
        <v>40</v>
      </c>
      <c r="S588" t="s">
        <v>47</v>
      </c>
      <c r="T588" t="s">
        <v>51</v>
      </c>
      <c r="U588">
        <v>44</v>
      </c>
      <c r="W588">
        <v>16</v>
      </c>
      <c r="X588">
        <v>21</v>
      </c>
      <c r="AA588">
        <v>0.34</v>
      </c>
      <c r="AB588">
        <v>0.03</v>
      </c>
      <c r="AC588">
        <v>0.28000000000000003</v>
      </c>
      <c r="AD588">
        <v>0.02</v>
      </c>
      <c r="AE588" t="s">
        <v>71</v>
      </c>
      <c r="AF588" t="s">
        <v>62</v>
      </c>
      <c r="AG588" t="s">
        <v>71</v>
      </c>
      <c r="AH588" t="s">
        <v>213</v>
      </c>
      <c r="AS588" t="s">
        <v>222</v>
      </c>
      <c r="AT588" t="s">
        <v>849</v>
      </c>
      <c r="AV588" t="s">
        <v>1803</v>
      </c>
      <c r="AX588" t="s">
        <v>2263</v>
      </c>
      <c r="AY588" t="s">
        <v>1806</v>
      </c>
      <c r="AZ588" t="s">
        <v>1809</v>
      </c>
    </row>
    <row r="589" spans="1:52" x14ac:dyDescent="0.2">
      <c r="A589" t="s">
        <v>1837</v>
      </c>
      <c r="B589" t="s">
        <v>1838</v>
      </c>
      <c r="C589" t="s">
        <v>1839</v>
      </c>
      <c r="D589">
        <v>2023</v>
      </c>
      <c r="E589" t="s">
        <v>1840</v>
      </c>
      <c r="F589" t="s">
        <v>1841</v>
      </c>
      <c r="G589" t="s">
        <v>1842</v>
      </c>
      <c r="H589" t="s">
        <v>1843</v>
      </c>
      <c r="I589" t="s">
        <v>512</v>
      </c>
      <c r="J589" t="s">
        <v>83</v>
      </c>
      <c r="K589" t="s">
        <v>35</v>
      </c>
      <c r="L589" t="s">
        <v>12</v>
      </c>
      <c r="O589" s="18" t="s">
        <v>76</v>
      </c>
      <c r="P589" s="18" t="s">
        <v>1042</v>
      </c>
      <c r="Q589" t="s">
        <v>38</v>
      </c>
      <c r="R589" t="s">
        <v>41</v>
      </c>
      <c r="S589" t="s">
        <v>47</v>
      </c>
      <c r="T589" t="s">
        <v>421</v>
      </c>
      <c r="W589">
        <v>84</v>
      </c>
      <c r="X589">
        <v>83</v>
      </c>
      <c r="AA589">
        <v>17.535714285714285</v>
      </c>
      <c r="AB589">
        <v>3.5582804449077301</v>
      </c>
      <c r="AC589">
        <v>17.831325301204821</v>
      </c>
      <c r="AD589">
        <v>3.2826940048493709</v>
      </c>
      <c r="AE589" t="s">
        <v>71</v>
      </c>
      <c r="AF589" t="s">
        <v>61</v>
      </c>
      <c r="AG589" t="s">
        <v>71</v>
      </c>
      <c r="AH589" t="s">
        <v>213</v>
      </c>
      <c r="AS589" t="s">
        <v>849</v>
      </c>
      <c r="AT589" t="s">
        <v>849</v>
      </c>
      <c r="AV589" t="s">
        <v>1803</v>
      </c>
      <c r="AW589" t="s">
        <v>1815</v>
      </c>
      <c r="AX589" t="s">
        <v>1816</v>
      </c>
      <c r="AY589" t="s">
        <v>1814</v>
      </c>
      <c r="AZ589" t="s">
        <v>76</v>
      </c>
    </row>
    <row r="590" spans="1:52" x14ac:dyDescent="0.2">
      <c r="A590" t="s">
        <v>1837</v>
      </c>
      <c r="B590" t="s">
        <v>1838</v>
      </c>
      <c r="C590" t="s">
        <v>1839</v>
      </c>
      <c r="D590">
        <v>2023</v>
      </c>
      <c r="E590" t="s">
        <v>1840</v>
      </c>
      <c r="F590" t="s">
        <v>1841</v>
      </c>
      <c r="G590" t="s">
        <v>1842</v>
      </c>
      <c r="H590" t="s">
        <v>1844</v>
      </c>
      <c r="I590" t="s">
        <v>512</v>
      </c>
      <c r="J590" t="s">
        <v>83</v>
      </c>
      <c r="K590" t="s">
        <v>35</v>
      </c>
      <c r="L590" t="s">
        <v>12</v>
      </c>
      <c r="O590" s="18" t="s">
        <v>76</v>
      </c>
      <c r="P590" s="18" t="s">
        <v>1042</v>
      </c>
      <c r="Q590" t="s">
        <v>38</v>
      </c>
      <c r="R590" t="s">
        <v>41</v>
      </c>
      <c r="S590" t="s">
        <v>47</v>
      </c>
      <c r="T590" t="s">
        <v>421</v>
      </c>
      <c r="W590">
        <v>85</v>
      </c>
      <c r="X590">
        <v>75</v>
      </c>
      <c r="AA590">
        <v>14.235294117647058</v>
      </c>
      <c r="AB590">
        <v>3.1534072986273789</v>
      </c>
      <c r="AC590">
        <v>14.613333333333333</v>
      </c>
      <c r="AD590">
        <v>2.3817625391278607</v>
      </c>
      <c r="AE590" t="s">
        <v>71</v>
      </c>
      <c r="AF590" t="s">
        <v>61</v>
      </c>
      <c r="AG590" t="s">
        <v>71</v>
      </c>
      <c r="AH590" t="s">
        <v>213</v>
      </c>
      <c r="AS590" t="s">
        <v>849</v>
      </c>
      <c r="AT590" t="s">
        <v>849</v>
      </c>
      <c r="AV590" t="s">
        <v>1803</v>
      </c>
      <c r="AW590" t="s">
        <v>1815</v>
      </c>
      <c r="AX590" t="s">
        <v>1816</v>
      </c>
      <c r="AY590" t="s">
        <v>1814</v>
      </c>
      <c r="AZ590" t="s">
        <v>76</v>
      </c>
    </row>
    <row r="591" spans="1:52" x14ac:dyDescent="0.2">
      <c r="A591" t="s">
        <v>1837</v>
      </c>
      <c r="B591" t="s">
        <v>1838</v>
      </c>
      <c r="C591" t="s">
        <v>1839</v>
      </c>
      <c r="D591">
        <v>2023</v>
      </c>
      <c r="E591" t="s">
        <v>1840</v>
      </c>
      <c r="F591" t="s">
        <v>1841</v>
      </c>
      <c r="G591" t="s">
        <v>1842</v>
      </c>
      <c r="H591" t="s">
        <v>1845</v>
      </c>
      <c r="I591" t="s">
        <v>512</v>
      </c>
      <c r="J591" t="s">
        <v>83</v>
      </c>
      <c r="K591" t="s">
        <v>35</v>
      </c>
      <c r="L591" t="s">
        <v>12</v>
      </c>
      <c r="O591" s="18" t="s">
        <v>76</v>
      </c>
      <c r="P591" s="18" t="s">
        <v>1042</v>
      </c>
      <c r="Q591" t="s">
        <v>38</v>
      </c>
      <c r="R591" t="s">
        <v>41</v>
      </c>
      <c r="S591" t="s">
        <v>47</v>
      </c>
      <c r="T591" t="s">
        <v>421</v>
      </c>
      <c r="W591">
        <v>78</v>
      </c>
      <c r="X591">
        <v>77</v>
      </c>
      <c r="AA591">
        <v>12.358974358974359</v>
      </c>
      <c r="AB591">
        <v>2.0063170301096571</v>
      </c>
      <c r="AC591">
        <v>12.896103896103897</v>
      </c>
      <c r="AD591">
        <v>2.1000276663867723</v>
      </c>
      <c r="AE591" t="s">
        <v>71</v>
      </c>
      <c r="AF591" t="s">
        <v>61</v>
      </c>
      <c r="AG591" t="s">
        <v>71</v>
      </c>
      <c r="AH591" t="s">
        <v>213</v>
      </c>
      <c r="AS591" t="s">
        <v>849</v>
      </c>
      <c r="AT591" t="s">
        <v>849</v>
      </c>
      <c r="AV591" t="s">
        <v>1803</v>
      </c>
      <c r="AW591" t="s">
        <v>1815</v>
      </c>
      <c r="AX591" t="s">
        <v>1816</v>
      </c>
      <c r="AY591" t="s">
        <v>1814</v>
      </c>
      <c r="AZ591" t="s">
        <v>76</v>
      </c>
    </row>
    <row r="592" spans="1:52" x14ac:dyDescent="0.2">
      <c r="A592" t="s">
        <v>1837</v>
      </c>
      <c r="B592" t="s">
        <v>1838</v>
      </c>
      <c r="C592" t="s">
        <v>1839</v>
      </c>
      <c r="D592">
        <v>2023</v>
      </c>
      <c r="E592" t="s">
        <v>1840</v>
      </c>
      <c r="F592" t="s">
        <v>1841</v>
      </c>
      <c r="G592" t="s">
        <v>1842</v>
      </c>
      <c r="H592" t="s">
        <v>1846</v>
      </c>
      <c r="I592" t="s">
        <v>512</v>
      </c>
      <c r="J592" t="s">
        <v>83</v>
      </c>
      <c r="K592" t="s">
        <v>35</v>
      </c>
      <c r="L592" t="s">
        <v>12</v>
      </c>
      <c r="O592" s="18" t="s">
        <v>76</v>
      </c>
      <c r="P592" s="18" t="s">
        <v>1042</v>
      </c>
      <c r="Q592" t="s">
        <v>38</v>
      </c>
      <c r="R592" t="s">
        <v>41</v>
      </c>
      <c r="S592" t="s">
        <v>47</v>
      </c>
      <c r="T592" t="s">
        <v>421</v>
      </c>
      <c r="W592">
        <v>78</v>
      </c>
      <c r="X592">
        <v>83</v>
      </c>
      <c r="AA592">
        <v>10.512820512820513</v>
      </c>
      <c r="AB592">
        <v>1.7487924571758253</v>
      </c>
      <c r="AC592">
        <v>11.19277108433735</v>
      </c>
      <c r="AD592">
        <v>1.7140583088048553</v>
      </c>
      <c r="AE592" t="s">
        <v>71</v>
      </c>
      <c r="AF592" t="s">
        <v>61</v>
      </c>
      <c r="AG592" t="s">
        <v>71</v>
      </c>
      <c r="AH592" t="s">
        <v>213</v>
      </c>
      <c r="AS592" t="s">
        <v>849</v>
      </c>
      <c r="AT592" t="s">
        <v>849</v>
      </c>
      <c r="AV592" t="s">
        <v>1803</v>
      </c>
      <c r="AW592" t="s">
        <v>1815</v>
      </c>
      <c r="AX592" t="s">
        <v>1816</v>
      </c>
      <c r="AY592" t="s">
        <v>1814</v>
      </c>
      <c r="AZ592" t="s">
        <v>76</v>
      </c>
    </row>
    <row r="593" spans="1:52" x14ac:dyDescent="0.2">
      <c r="A593" t="s">
        <v>1837</v>
      </c>
      <c r="B593" t="s">
        <v>1838</v>
      </c>
      <c r="C593" t="s">
        <v>1852</v>
      </c>
      <c r="D593">
        <v>2023</v>
      </c>
      <c r="E593" t="s">
        <v>1840</v>
      </c>
      <c r="F593" t="s">
        <v>1841</v>
      </c>
      <c r="G593" t="s">
        <v>1842</v>
      </c>
      <c r="H593" t="s">
        <v>1847</v>
      </c>
      <c r="I593" t="s">
        <v>512</v>
      </c>
      <c r="J593" t="s">
        <v>83</v>
      </c>
      <c r="K593" t="s">
        <v>35</v>
      </c>
      <c r="L593" t="s">
        <v>12</v>
      </c>
      <c r="O593" s="18" t="s">
        <v>76</v>
      </c>
      <c r="P593" s="18" t="s">
        <v>1042</v>
      </c>
      <c r="Q593" t="s">
        <v>38</v>
      </c>
      <c r="R593" t="s">
        <v>41</v>
      </c>
      <c r="S593" t="s">
        <v>47</v>
      </c>
      <c r="T593" t="s">
        <v>421</v>
      </c>
      <c r="W593">
        <v>84</v>
      </c>
      <c r="X593">
        <v>80</v>
      </c>
      <c r="AA593">
        <v>17.535714285714285</v>
      </c>
      <c r="AB593">
        <v>3.5582804449077301</v>
      </c>
      <c r="AC593">
        <v>17.2</v>
      </c>
      <c r="AD593">
        <v>3.7699679345914987</v>
      </c>
      <c r="AE593" t="s">
        <v>71</v>
      </c>
      <c r="AF593" t="s">
        <v>61</v>
      </c>
      <c r="AG593" t="s">
        <v>71</v>
      </c>
      <c r="AH593" t="s">
        <v>213</v>
      </c>
      <c r="AS593" t="s">
        <v>849</v>
      </c>
      <c r="AT593" t="s">
        <v>849</v>
      </c>
      <c r="AV593" t="s">
        <v>1803</v>
      </c>
      <c r="AW593" t="s">
        <v>1815</v>
      </c>
      <c r="AX593" t="s">
        <v>1816</v>
      </c>
      <c r="AY593" t="s">
        <v>1814</v>
      </c>
      <c r="AZ593" t="s">
        <v>76</v>
      </c>
    </row>
    <row r="594" spans="1:52" x14ac:dyDescent="0.2">
      <c r="A594" t="s">
        <v>1837</v>
      </c>
      <c r="B594" t="s">
        <v>1838</v>
      </c>
      <c r="C594" t="s">
        <v>1853</v>
      </c>
      <c r="D594">
        <v>2023</v>
      </c>
      <c r="E594" t="s">
        <v>1840</v>
      </c>
      <c r="F594" t="s">
        <v>1841</v>
      </c>
      <c r="G594" t="s">
        <v>1842</v>
      </c>
      <c r="H594" t="s">
        <v>1848</v>
      </c>
      <c r="I594" t="s">
        <v>512</v>
      </c>
      <c r="J594" t="s">
        <v>83</v>
      </c>
      <c r="K594" t="s">
        <v>35</v>
      </c>
      <c r="L594" t="s">
        <v>12</v>
      </c>
      <c r="O594" s="18" t="s">
        <v>76</v>
      </c>
      <c r="P594" s="18" t="s">
        <v>1042</v>
      </c>
      <c r="Q594" t="s">
        <v>38</v>
      </c>
      <c r="R594" t="s">
        <v>41</v>
      </c>
      <c r="S594" t="s">
        <v>47</v>
      </c>
      <c r="T594" t="s">
        <v>421</v>
      </c>
      <c r="W594">
        <v>85</v>
      </c>
      <c r="X594">
        <v>68</v>
      </c>
      <c r="AA594">
        <v>14.235294117647058</v>
      </c>
      <c r="AB594">
        <v>3.1534072986273789</v>
      </c>
      <c r="AC594">
        <v>14.75</v>
      </c>
      <c r="AD594">
        <v>2.9844122399411321</v>
      </c>
      <c r="AE594" t="s">
        <v>71</v>
      </c>
      <c r="AF594" t="s">
        <v>61</v>
      </c>
      <c r="AG594" t="s">
        <v>71</v>
      </c>
      <c r="AH594" t="s">
        <v>213</v>
      </c>
      <c r="AS594" t="s">
        <v>849</v>
      </c>
      <c r="AT594" t="s">
        <v>849</v>
      </c>
      <c r="AV594" t="s">
        <v>1803</v>
      </c>
      <c r="AW594" t="s">
        <v>1815</v>
      </c>
      <c r="AX594" t="s">
        <v>1816</v>
      </c>
      <c r="AY594" t="s">
        <v>1814</v>
      </c>
      <c r="AZ594" t="s">
        <v>76</v>
      </c>
    </row>
    <row r="595" spans="1:52" x14ac:dyDescent="0.2">
      <c r="A595" t="s">
        <v>1837</v>
      </c>
      <c r="B595" t="s">
        <v>1838</v>
      </c>
      <c r="C595" t="s">
        <v>1854</v>
      </c>
      <c r="D595">
        <v>2023</v>
      </c>
      <c r="E595" t="s">
        <v>1840</v>
      </c>
      <c r="F595" t="s">
        <v>1841</v>
      </c>
      <c r="G595" t="s">
        <v>1842</v>
      </c>
      <c r="H595" t="s">
        <v>1849</v>
      </c>
      <c r="I595" t="s">
        <v>512</v>
      </c>
      <c r="J595" t="s">
        <v>83</v>
      </c>
      <c r="K595" t="s">
        <v>35</v>
      </c>
      <c r="L595" t="s">
        <v>12</v>
      </c>
      <c r="O595" s="18" t="s">
        <v>76</v>
      </c>
      <c r="P595" s="18" t="s">
        <v>1042</v>
      </c>
      <c r="Q595" t="s">
        <v>38</v>
      </c>
      <c r="R595" t="s">
        <v>41</v>
      </c>
      <c r="S595" t="s">
        <v>47</v>
      </c>
      <c r="T595" t="s">
        <v>421</v>
      </c>
      <c r="W595">
        <v>78</v>
      </c>
      <c r="X595">
        <v>83</v>
      </c>
      <c r="AA595">
        <v>12.358974358974359</v>
      </c>
      <c r="AB595">
        <v>2.0063170301096571</v>
      </c>
      <c r="AC595">
        <v>12.253012048192771</v>
      </c>
      <c r="AD595">
        <v>2.2406628673718263</v>
      </c>
      <c r="AE595" t="s">
        <v>71</v>
      </c>
      <c r="AF595" t="s">
        <v>61</v>
      </c>
      <c r="AG595" t="s">
        <v>71</v>
      </c>
      <c r="AH595" t="s">
        <v>213</v>
      </c>
      <c r="AS595" t="s">
        <v>849</v>
      </c>
      <c r="AT595" t="s">
        <v>849</v>
      </c>
      <c r="AV595" t="s">
        <v>1803</v>
      </c>
      <c r="AW595" t="s">
        <v>1815</v>
      </c>
      <c r="AX595" t="s">
        <v>1816</v>
      </c>
      <c r="AY595" t="s">
        <v>1814</v>
      </c>
      <c r="AZ595" t="s">
        <v>76</v>
      </c>
    </row>
    <row r="596" spans="1:52" x14ac:dyDescent="0.2">
      <c r="A596" t="s">
        <v>1837</v>
      </c>
      <c r="B596" t="s">
        <v>1838</v>
      </c>
      <c r="C596" t="s">
        <v>1855</v>
      </c>
      <c r="D596">
        <v>2023</v>
      </c>
      <c r="E596" t="s">
        <v>1840</v>
      </c>
      <c r="F596" t="s">
        <v>1841</v>
      </c>
      <c r="G596" t="s">
        <v>1842</v>
      </c>
      <c r="H596" t="s">
        <v>1850</v>
      </c>
      <c r="I596" t="s">
        <v>512</v>
      </c>
      <c r="J596" t="s">
        <v>83</v>
      </c>
      <c r="K596" t="s">
        <v>35</v>
      </c>
      <c r="L596" t="s">
        <v>12</v>
      </c>
      <c r="O596" s="18" t="s">
        <v>76</v>
      </c>
      <c r="P596" s="18" t="s">
        <v>1042</v>
      </c>
      <c r="Q596" t="s">
        <v>38</v>
      </c>
      <c r="R596" t="s">
        <v>41</v>
      </c>
      <c r="S596" t="s">
        <v>47</v>
      </c>
      <c r="T596" t="s">
        <v>421</v>
      </c>
      <c r="W596">
        <v>78</v>
      </c>
      <c r="X596">
        <v>81</v>
      </c>
      <c r="AA596">
        <v>10.512820512820513</v>
      </c>
      <c r="AB596">
        <v>1.7487924571758253</v>
      </c>
      <c r="AC596">
        <v>9.8271604938271597</v>
      </c>
      <c r="AD596">
        <v>2.468755371927271</v>
      </c>
      <c r="AE596" t="s">
        <v>71</v>
      </c>
      <c r="AF596" t="s">
        <v>61</v>
      </c>
      <c r="AG596" t="s">
        <v>71</v>
      </c>
      <c r="AH596" t="s">
        <v>213</v>
      </c>
      <c r="AS596" t="s">
        <v>849</v>
      </c>
      <c r="AT596" t="s">
        <v>849</v>
      </c>
      <c r="AV596" t="s">
        <v>1803</v>
      </c>
      <c r="AW596" t="s">
        <v>1815</v>
      </c>
      <c r="AX596" t="s">
        <v>1816</v>
      </c>
      <c r="AY596" t="s">
        <v>1814</v>
      </c>
      <c r="AZ596" t="s">
        <v>76</v>
      </c>
    </row>
    <row r="597" spans="1:52" x14ac:dyDescent="0.2">
      <c r="A597" t="s">
        <v>1837</v>
      </c>
      <c r="B597" t="s">
        <v>1838</v>
      </c>
      <c r="C597" t="s">
        <v>1854</v>
      </c>
      <c r="D597">
        <v>2023</v>
      </c>
      <c r="E597" t="s">
        <v>1840</v>
      </c>
      <c r="F597" t="s">
        <v>1841</v>
      </c>
      <c r="G597" t="s">
        <v>1864</v>
      </c>
      <c r="H597" t="s">
        <v>1851</v>
      </c>
      <c r="I597" t="s">
        <v>512</v>
      </c>
      <c r="J597" t="s">
        <v>83</v>
      </c>
      <c r="K597" t="s">
        <v>35</v>
      </c>
      <c r="L597" t="s">
        <v>12</v>
      </c>
      <c r="O597" s="18" t="s">
        <v>76</v>
      </c>
      <c r="P597" s="18" t="s">
        <v>1042</v>
      </c>
      <c r="Q597" t="s">
        <v>38</v>
      </c>
      <c r="R597" t="s">
        <v>626</v>
      </c>
      <c r="S597" t="s">
        <v>47</v>
      </c>
      <c r="T597" t="s">
        <v>421</v>
      </c>
      <c r="W597">
        <v>50</v>
      </c>
      <c r="X597">
        <v>39</v>
      </c>
      <c r="AA597">
        <v>1340897.9591836734</v>
      </c>
      <c r="AB597">
        <v>1867680.6053331001</v>
      </c>
      <c r="AC597">
        <v>1606210.5263157894</v>
      </c>
      <c r="AD597">
        <v>1968476.0350145851</v>
      </c>
      <c r="AE597" t="s">
        <v>71</v>
      </c>
      <c r="AF597" t="s">
        <v>61</v>
      </c>
      <c r="AG597" t="s">
        <v>71</v>
      </c>
      <c r="AH597" t="s">
        <v>213</v>
      </c>
      <c r="AS597" t="s">
        <v>222</v>
      </c>
      <c r="AT597" t="s">
        <v>849</v>
      </c>
      <c r="AV597" t="s">
        <v>1803</v>
      </c>
      <c r="AW597" t="s">
        <v>1815</v>
      </c>
      <c r="AX597" t="s">
        <v>1816</v>
      </c>
      <c r="AY597" t="s">
        <v>1814</v>
      </c>
      <c r="AZ597" t="s">
        <v>76</v>
      </c>
    </row>
    <row r="598" spans="1:52" x14ac:dyDescent="0.2">
      <c r="A598" t="s">
        <v>1837</v>
      </c>
      <c r="B598" t="s">
        <v>1838</v>
      </c>
      <c r="C598" t="s">
        <v>1854</v>
      </c>
      <c r="D598">
        <v>2023</v>
      </c>
      <c r="E598" t="s">
        <v>1840</v>
      </c>
      <c r="F598" t="s">
        <v>1841</v>
      </c>
      <c r="G598" t="s">
        <v>1864</v>
      </c>
      <c r="H598" t="s">
        <v>1856</v>
      </c>
      <c r="I598" t="s">
        <v>512</v>
      </c>
      <c r="J598" t="s">
        <v>83</v>
      </c>
      <c r="K598" t="s">
        <v>35</v>
      </c>
      <c r="L598" t="s">
        <v>12</v>
      </c>
      <c r="O598" s="18" t="s">
        <v>76</v>
      </c>
      <c r="P598" s="18" t="s">
        <v>1042</v>
      </c>
      <c r="Q598" t="s">
        <v>38</v>
      </c>
      <c r="R598" t="s">
        <v>626</v>
      </c>
      <c r="S598" t="s">
        <v>47</v>
      </c>
      <c r="T598" t="s">
        <v>421</v>
      </c>
      <c r="W598">
        <v>71</v>
      </c>
      <c r="X598">
        <v>59</v>
      </c>
      <c r="AA598">
        <v>952897.14285714284</v>
      </c>
      <c r="AB598">
        <v>1511862.9374817179</v>
      </c>
      <c r="AC598">
        <v>1211457.6271186441</v>
      </c>
      <c r="AD598">
        <v>1216694.5515593765</v>
      </c>
      <c r="AE598" t="s">
        <v>71</v>
      </c>
      <c r="AF598" t="s">
        <v>61</v>
      </c>
      <c r="AG598" t="s">
        <v>71</v>
      </c>
      <c r="AH598" t="s">
        <v>213</v>
      </c>
      <c r="AS598" t="s">
        <v>222</v>
      </c>
      <c r="AT598" t="s">
        <v>849</v>
      </c>
      <c r="AV598" t="s">
        <v>1803</v>
      </c>
      <c r="AW598" t="s">
        <v>1815</v>
      </c>
      <c r="AX598" t="s">
        <v>1816</v>
      </c>
      <c r="AY598" t="s">
        <v>1814</v>
      </c>
      <c r="AZ598" t="s">
        <v>76</v>
      </c>
    </row>
    <row r="599" spans="1:52" x14ac:dyDescent="0.2">
      <c r="A599" t="s">
        <v>1837</v>
      </c>
      <c r="B599" t="s">
        <v>1838</v>
      </c>
      <c r="C599" t="s">
        <v>1854</v>
      </c>
      <c r="D599">
        <v>2023</v>
      </c>
      <c r="E599" t="s">
        <v>1840</v>
      </c>
      <c r="F599" t="s">
        <v>1841</v>
      </c>
      <c r="G599" t="s">
        <v>1864</v>
      </c>
      <c r="H599" t="s">
        <v>1857</v>
      </c>
      <c r="I599" t="s">
        <v>512</v>
      </c>
      <c r="J599" t="s">
        <v>83</v>
      </c>
      <c r="K599" t="s">
        <v>35</v>
      </c>
      <c r="L599" t="s">
        <v>12</v>
      </c>
      <c r="O599" s="18" t="s">
        <v>76</v>
      </c>
      <c r="P599" s="18" t="s">
        <v>1042</v>
      </c>
      <c r="Q599" t="s">
        <v>38</v>
      </c>
      <c r="R599" t="s">
        <v>626</v>
      </c>
      <c r="S599" t="s">
        <v>47</v>
      </c>
      <c r="T599" t="s">
        <v>421</v>
      </c>
      <c r="W599">
        <v>73</v>
      </c>
      <c r="X599">
        <v>69</v>
      </c>
      <c r="AA599">
        <v>2815657.1428571427</v>
      </c>
      <c r="AB599">
        <v>2503254.2986368551</v>
      </c>
      <c r="AC599">
        <v>1955387.5</v>
      </c>
      <c r="AD599">
        <v>2175914.0120367296</v>
      </c>
      <c r="AE599" t="s">
        <v>71</v>
      </c>
      <c r="AF599" t="s">
        <v>61</v>
      </c>
      <c r="AG599" t="s">
        <v>71</v>
      </c>
      <c r="AH599" t="s">
        <v>213</v>
      </c>
      <c r="AS599" t="s">
        <v>222</v>
      </c>
      <c r="AT599" t="s">
        <v>849</v>
      </c>
      <c r="AV599" t="s">
        <v>1803</v>
      </c>
      <c r="AW599" t="s">
        <v>1815</v>
      </c>
      <c r="AX599" t="s">
        <v>1816</v>
      </c>
      <c r="AY599" t="s">
        <v>1814</v>
      </c>
      <c r="AZ599" t="s">
        <v>76</v>
      </c>
    </row>
    <row r="600" spans="1:52" x14ac:dyDescent="0.2">
      <c r="A600" t="s">
        <v>1837</v>
      </c>
      <c r="B600" t="s">
        <v>1838</v>
      </c>
      <c r="C600" t="s">
        <v>1854</v>
      </c>
      <c r="D600">
        <v>2023</v>
      </c>
      <c r="E600" t="s">
        <v>1840</v>
      </c>
      <c r="F600" t="s">
        <v>1841</v>
      </c>
      <c r="G600" t="s">
        <v>1864</v>
      </c>
      <c r="H600" t="s">
        <v>1858</v>
      </c>
      <c r="I600" t="s">
        <v>512</v>
      </c>
      <c r="J600" t="s">
        <v>83</v>
      </c>
      <c r="K600" t="s">
        <v>35</v>
      </c>
      <c r="L600" t="s">
        <v>12</v>
      </c>
      <c r="O600" s="18" t="s">
        <v>76</v>
      </c>
      <c r="P600" s="18" t="s">
        <v>1042</v>
      </c>
      <c r="Q600" t="s">
        <v>38</v>
      </c>
      <c r="R600" t="s">
        <v>626</v>
      </c>
      <c r="S600" t="s">
        <v>47</v>
      </c>
      <c r="T600" t="s">
        <v>421</v>
      </c>
      <c r="W600">
        <v>72</v>
      </c>
      <c r="X600">
        <v>87</v>
      </c>
      <c r="AA600">
        <v>3118688.524590164</v>
      </c>
      <c r="AB600">
        <v>4210336.2792892745</v>
      </c>
      <c r="AC600">
        <v>6478150.5882352944</v>
      </c>
      <c r="AD600">
        <v>5894738.2141401069</v>
      </c>
      <c r="AE600" t="s">
        <v>71</v>
      </c>
      <c r="AF600" t="s">
        <v>61</v>
      </c>
      <c r="AG600" t="s">
        <v>71</v>
      </c>
      <c r="AH600" t="s">
        <v>213</v>
      </c>
      <c r="AS600" t="s">
        <v>222</v>
      </c>
      <c r="AT600" t="s">
        <v>849</v>
      </c>
      <c r="AV600" t="s">
        <v>1803</v>
      </c>
      <c r="AW600" t="s">
        <v>1815</v>
      </c>
      <c r="AX600" t="s">
        <v>1816</v>
      </c>
      <c r="AY600" t="s">
        <v>1814</v>
      </c>
      <c r="AZ600" t="s">
        <v>76</v>
      </c>
    </row>
    <row r="601" spans="1:52" x14ac:dyDescent="0.2">
      <c r="A601" t="s">
        <v>1837</v>
      </c>
      <c r="B601" t="s">
        <v>1838</v>
      </c>
      <c r="C601" t="s">
        <v>1854</v>
      </c>
      <c r="D601">
        <v>2023</v>
      </c>
      <c r="E601" t="s">
        <v>1840</v>
      </c>
      <c r="F601" t="s">
        <v>1841</v>
      </c>
      <c r="G601" t="s">
        <v>1864</v>
      </c>
      <c r="H601" t="s">
        <v>1859</v>
      </c>
      <c r="I601" t="s">
        <v>512</v>
      </c>
      <c r="J601" t="s">
        <v>83</v>
      </c>
      <c r="K601" t="s">
        <v>35</v>
      </c>
      <c r="L601" t="s">
        <v>12</v>
      </c>
      <c r="O601" s="18" t="s">
        <v>76</v>
      </c>
      <c r="P601" s="18" t="s">
        <v>1042</v>
      </c>
      <c r="Q601" t="s">
        <v>38</v>
      </c>
      <c r="R601" t="s">
        <v>626</v>
      </c>
      <c r="S601" t="s">
        <v>47</v>
      </c>
      <c r="T601" t="s">
        <v>421</v>
      </c>
      <c r="W601">
        <v>50</v>
      </c>
      <c r="X601">
        <v>49</v>
      </c>
      <c r="AA601">
        <v>1340897.9591836734</v>
      </c>
      <c r="AB601">
        <v>1867680.6053331001</v>
      </c>
      <c r="AC601">
        <v>1673108.3333333333</v>
      </c>
      <c r="AD601">
        <v>2335800.4814818366</v>
      </c>
      <c r="AE601" t="s">
        <v>71</v>
      </c>
      <c r="AF601" t="s">
        <v>61</v>
      </c>
      <c r="AG601" t="s">
        <v>71</v>
      </c>
      <c r="AH601" t="s">
        <v>213</v>
      </c>
      <c r="AS601" t="s">
        <v>222</v>
      </c>
      <c r="AT601" t="s">
        <v>849</v>
      </c>
      <c r="AV601" t="s">
        <v>1803</v>
      </c>
      <c r="AW601" t="s">
        <v>1815</v>
      </c>
      <c r="AX601" t="s">
        <v>1816</v>
      </c>
      <c r="AY601" t="s">
        <v>1814</v>
      </c>
      <c r="AZ601" t="s">
        <v>76</v>
      </c>
    </row>
    <row r="602" spans="1:52" x14ac:dyDescent="0.2">
      <c r="A602" t="s">
        <v>1837</v>
      </c>
      <c r="B602" t="s">
        <v>1838</v>
      </c>
      <c r="C602" t="s">
        <v>1854</v>
      </c>
      <c r="D602">
        <v>2023</v>
      </c>
      <c r="E602" t="s">
        <v>1840</v>
      </c>
      <c r="F602" t="s">
        <v>1841</v>
      </c>
      <c r="G602" t="s">
        <v>1864</v>
      </c>
      <c r="H602" t="s">
        <v>1860</v>
      </c>
      <c r="I602" t="s">
        <v>512</v>
      </c>
      <c r="J602" t="s">
        <v>83</v>
      </c>
      <c r="K602" t="s">
        <v>35</v>
      </c>
      <c r="L602" t="s">
        <v>12</v>
      </c>
      <c r="O602" s="18" t="s">
        <v>76</v>
      </c>
      <c r="P602" s="18" t="s">
        <v>1042</v>
      </c>
      <c r="Q602" t="s">
        <v>38</v>
      </c>
      <c r="R602" t="s">
        <v>626</v>
      </c>
      <c r="S602" t="s">
        <v>47</v>
      </c>
      <c r="T602" t="s">
        <v>421</v>
      </c>
      <c r="W602">
        <v>71</v>
      </c>
      <c r="X602">
        <v>53</v>
      </c>
      <c r="AA602">
        <v>952897.14285714284</v>
      </c>
      <c r="AB602">
        <v>1511862.9374817179</v>
      </c>
      <c r="AC602">
        <v>1434831.3725490195</v>
      </c>
      <c r="AD602">
        <v>2529263.9812791543</v>
      </c>
      <c r="AE602" t="s">
        <v>71</v>
      </c>
      <c r="AF602" t="s">
        <v>61</v>
      </c>
      <c r="AG602" t="s">
        <v>71</v>
      </c>
      <c r="AH602" t="s">
        <v>213</v>
      </c>
      <c r="AS602" t="s">
        <v>222</v>
      </c>
      <c r="AT602" t="s">
        <v>849</v>
      </c>
      <c r="AV602" t="s">
        <v>1803</v>
      </c>
      <c r="AW602" t="s">
        <v>1815</v>
      </c>
      <c r="AX602" t="s">
        <v>1816</v>
      </c>
      <c r="AY602" t="s">
        <v>1814</v>
      </c>
      <c r="AZ602" t="s">
        <v>76</v>
      </c>
    </row>
    <row r="603" spans="1:52" x14ac:dyDescent="0.2">
      <c r="A603" t="s">
        <v>1837</v>
      </c>
      <c r="B603" t="s">
        <v>1838</v>
      </c>
      <c r="C603" t="s">
        <v>1854</v>
      </c>
      <c r="D603">
        <v>2023</v>
      </c>
      <c r="E603" t="s">
        <v>1840</v>
      </c>
      <c r="F603" t="s">
        <v>1841</v>
      </c>
      <c r="G603" t="s">
        <v>1864</v>
      </c>
      <c r="H603" t="s">
        <v>1861</v>
      </c>
      <c r="I603" t="s">
        <v>512</v>
      </c>
      <c r="J603" t="s">
        <v>83</v>
      </c>
      <c r="K603" t="s">
        <v>35</v>
      </c>
      <c r="L603" t="s">
        <v>12</v>
      </c>
      <c r="O603" s="18" t="s">
        <v>76</v>
      </c>
      <c r="P603" s="18" t="s">
        <v>1042</v>
      </c>
      <c r="Q603" t="s">
        <v>38</v>
      </c>
      <c r="R603" t="s">
        <v>626</v>
      </c>
      <c r="S603" t="s">
        <v>47</v>
      </c>
      <c r="T603" t="s">
        <v>421</v>
      </c>
      <c r="W603">
        <v>73</v>
      </c>
      <c r="X603">
        <v>72</v>
      </c>
      <c r="AA603">
        <v>2815657.1428571427</v>
      </c>
      <c r="AB603">
        <v>2503254.2986368551</v>
      </c>
      <c r="AC603">
        <v>1344358.2089552239</v>
      </c>
      <c r="AD603">
        <v>1671723.8761909953</v>
      </c>
      <c r="AE603" t="s">
        <v>71</v>
      </c>
      <c r="AF603" t="s">
        <v>61</v>
      </c>
      <c r="AG603" t="s">
        <v>71</v>
      </c>
      <c r="AH603" t="s">
        <v>213</v>
      </c>
      <c r="AS603" t="s">
        <v>222</v>
      </c>
      <c r="AT603" t="s">
        <v>849</v>
      </c>
      <c r="AV603" t="s">
        <v>1803</v>
      </c>
      <c r="AW603" t="s">
        <v>1815</v>
      </c>
      <c r="AX603" t="s">
        <v>1816</v>
      </c>
      <c r="AY603" t="s">
        <v>1814</v>
      </c>
      <c r="AZ603" t="s">
        <v>76</v>
      </c>
    </row>
    <row r="604" spans="1:52" x14ac:dyDescent="0.2">
      <c r="A604" t="s">
        <v>1837</v>
      </c>
      <c r="B604" t="s">
        <v>1838</v>
      </c>
      <c r="C604" t="s">
        <v>1855</v>
      </c>
      <c r="D604">
        <v>2023</v>
      </c>
      <c r="E604" t="s">
        <v>1840</v>
      </c>
      <c r="F604" t="s">
        <v>1841</v>
      </c>
      <c r="G604" t="s">
        <v>1864</v>
      </c>
      <c r="H604" t="s">
        <v>1862</v>
      </c>
      <c r="I604" t="s">
        <v>512</v>
      </c>
      <c r="J604" t="s">
        <v>83</v>
      </c>
      <c r="K604" t="s">
        <v>35</v>
      </c>
      <c r="L604" t="s">
        <v>12</v>
      </c>
      <c r="O604" s="18" t="s">
        <v>76</v>
      </c>
      <c r="P604" s="18" t="s">
        <v>1042</v>
      </c>
      <c r="Q604" t="s">
        <v>38</v>
      </c>
      <c r="R604" t="s">
        <v>626</v>
      </c>
      <c r="S604" t="s">
        <v>47</v>
      </c>
      <c r="T604" t="s">
        <v>421</v>
      </c>
      <c r="W604">
        <v>72</v>
      </c>
      <c r="X604">
        <v>72</v>
      </c>
      <c r="AA604">
        <v>3118688.524590164</v>
      </c>
      <c r="AB604">
        <v>4210336.2792892745</v>
      </c>
      <c r="AC604">
        <v>2378707.6923076925</v>
      </c>
      <c r="AD604">
        <v>3162783.3555028955</v>
      </c>
      <c r="AE604" t="s">
        <v>71</v>
      </c>
      <c r="AF604" t="s">
        <v>61</v>
      </c>
      <c r="AG604" t="s">
        <v>71</v>
      </c>
      <c r="AH604" t="s">
        <v>213</v>
      </c>
      <c r="AS604" t="s">
        <v>222</v>
      </c>
      <c r="AT604" t="s">
        <v>849</v>
      </c>
      <c r="AV604" t="s">
        <v>1803</v>
      </c>
      <c r="AW604" t="s">
        <v>1815</v>
      </c>
      <c r="AX604" t="s">
        <v>1816</v>
      </c>
      <c r="AY604" t="s">
        <v>1814</v>
      </c>
      <c r="AZ604" t="s">
        <v>76</v>
      </c>
    </row>
    <row r="605" spans="1:52" x14ac:dyDescent="0.2">
      <c r="A605" t="s">
        <v>1867</v>
      </c>
      <c r="B605" t="s">
        <v>1868</v>
      </c>
      <c r="C605" t="s">
        <v>1869</v>
      </c>
      <c r="D605">
        <v>2022</v>
      </c>
      <c r="E605" t="s">
        <v>1870</v>
      </c>
      <c r="F605" t="s">
        <v>1871</v>
      </c>
      <c r="G605" t="s">
        <v>1865</v>
      </c>
      <c r="H605" t="s">
        <v>1863</v>
      </c>
      <c r="I605" t="s">
        <v>1872</v>
      </c>
      <c r="J605" t="s">
        <v>536</v>
      </c>
      <c r="K605" t="s">
        <v>35</v>
      </c>
      <c r="L605" t="s">
        <v>11</v>
      </c>
      <c r="M605" t="s">
        <v>13</v>
      </c>
      <c r="N605">
        <v>1</v>
      </c>
      <c r="O605" s="18" t="s">
        <v>20</v>
      </c>
      <c r="P605" s="18" t="s">
        <v>27</v>
      </c>
      <c r="S605" t="s">
        <v>48</v>
      </c>
      <c r="T605" t="s">
        <v>51</v>
      </c>
      <c r="W605">
        <v>12</v>
      </c>
      <c r="X605">
        <v>12</v>
      </c>
      <c r="AA605">
        <v>1.92</v>
      </c>
      <c r="AB605">
        <v>0.53</v>
      </c>
      <c r="AC605">
        <v>0.25</v>
      </c>
      <c r="AD605">
        <v>0.13</v>
      </c>
      <c r="AE605" t="s">
        <v>71</v>
      </c>
      <c r="AF605" t="s">
        <v>62</v>
      </c>
      <c r="AG605" t="s">
        <v>71</v>
      </c>
      <c r="AH605" t="s">
        <v>213</v>
      </c>
      <c r="AS605" t="s">
        <v>849</v>
      </c>
      <c r="AT605" t="s">
        <v>849</v>
      </c>
      <c r="AV605" t="s">
        <v>1803</v>
      </c>
      <c r="AW605" t="s">
        <v>1807</v>
      </c>
      <c r="AX605" t="s">
        <v>1808</v>
      </c>
      <c r="AY605" t="s">
        <v>1811</v>
      </c>
      <c r="AZ605" t="s">
        <v>76</v>
      </c>
    </row>
    <row r="606" spans="1:52" x14ac:dyDescent="0.2">
      <c r="A606" t="s">
        <v>1867</v>
      </c>
      <c r="B606" t="s">
        <v>1868</v>
      </c>
      <c r="C606" t="s">
        <v>1869</v>
      </c>
      <c r="D606">
        <v>2022</v>
      </c>
      <c r="E606" t="s">
        <v>1870</v>
      </c>
      <c r="F606" t="s">
        <v>1871</v>
      </c>
      <c r="G606" t="s">
        <v>1865</v>
      </c>
      <c r="H606" t="s">
        <v>1873</v>
      </c>
      <c r="I606" t="s">
        <v>1872</v>
      </c>
      <c r="J606" t="s">
        <v>536</v>
      </c>
      <c r="K606" t="s">
        <v>35</v>
      </c>
      <c r="L606" t="s">
        <v>11</v>
      </c>
      <c r="M606" t="s">
        <v>13</v>
      </c>
      <c r="N606">
        <v>1</v>
      </c>
      <c r="O606" s="18" t="s">
        <v>20</v>
      </c>
      <c r="P606" s="18" t="s">
        <v>27</v>
      </c>
      <c r="S606" t="s">
        <v>48</v>
      </c>
      <c r="T606" t="s">
        <v>51</v>
      </c>
      <c r="W606">
        <v>10</v>
      </c>
      <c r="X606">
        <v>10</v>
      </c>
      <c r="AA606">
        <v>10.33</v>
      </c>
      <c r="AB606">
        <v>3.44</v>
      </c>
      <c r="AC606">
        <v>7.33</v>
      </c>
      <c r="AD606">
        <v>2.04</v>
      </c>
      <c r="AE606" t="s">
        <v>71</v>
      </c>
      <c r="AF606" t="s">
        <v>62</v>
      </c>
      <c r="AG606" t="s">
        <v>71</v>
      </c>
      <c r="AH606" t="s">
        <v>213</v>
      </c>
      <c r="AS606" t="s">
        <v>849</v>
      </c>
      <c r="AT606" t="s">
        <v>849</v>
      </c>
      <c r="AV606" t="s">
        <v>1803</v>
      </c>
      <c r="AW606" t="s">
        <v>1807</v>
      </c>
      <c r="AX606" t="s">
        <v>1808</v>
      </c>
      <c r="AY606" t="s">
        <v>1811</v>
      </c>
      <c r="AZ606" t="s">
        <v>76</v>
      </c>
    </row>
    <row r="607" spans="1:52" x14ac:dyDescent="0.2">
      <c r="A607" t="s">
        <v>1874</v>
      </c>
      <c r="B607" t="s">
        <v>1875</v>
      </c>
      <c r="C607" t="s">
        <v>1876</v>
      </c>
      <c r="D607">
        <v>2023</v>
      </c>
      <c r="E607" t="s">
        <v>1877</v>
      </c>
      <c r="F607" t="s">
        <v>1878</v>
      </c>
      <c r="G607" t="s">
        <v>1866</v>
      </c>
      <c r="H607" t="s">
        <v>1879</v>
      </c>
      <c r="I607" t="s">
        <v>1161</v>
      </c>
      <c r="J607" t="s">
        <v>33</v>
      </c>
      <c r="K607" t="s">
        <v>35</v>
      </c>
      <c r="L607" t="s">
        <v>11</v>
      </c>
      <c r="M607" t="s">
        <v>15</v>
      </c>
      <c r="N607">
        <v>1</v>
      </c>
      <c r="O607" s="18" t="s">
        <v>20</v>
      </c>
      <c r="P607" s="18" t="s">
        <v>27</v>
      </c>
      <c r="S607" t="s">
        <v>47</v>
      </c>
      <c r="T607" t="s">
        <v>421</v>
      </c>
      <c r="W607">
        <v>39</v>
      </c>
      <c r="X607">
        <v>40</v>
      </c>
      <c r="Y607">
        <v>25</v>
      </c>
      <c r="Z607">
        <v>27</v>
      </c>
      <c r="AG607" t="s">
        <v>1790</v>
      </c>
      <c r="AH607" t="s">
        <v>213</v>
      </c>
      <c r="AS607" t="s">
        <v>849</v>
      </c>
      <c r="AT607" t="s">
        <v>849</v>
      </c>
      <c r="AV607" t="s">
        <v>1812</v>
      </c>
      <c r="AW607" t="s">
        <v>1807</v>
      </c>
      <c r="AX607" t="s">
        <v>1808</v>
      </c>
      <c r="AZ607" t="s">
        <v>1813</v>
      </c>
    </row>
    <row r="608" spans="1:52" x14ac:dyDescent="0.2">
      <c r="A608" t="s">
        <v>1874</v>
      </c>
      <c r="B608" t="s">
        <v>1875</v>
      </c>
      <c r="C608" t="s">
        <v>1880</v>
      </c>
      <c r="D608">
        <v>2023</v>
      </c>
      <c r="E608" t="s">
        <v>1877</v>
      </c>
      <c r="F608" t="s">
        <v>1878</v>
      </c>
      <c r="G608" t="s">
        <v>1866</v>
      </c>
      <c r="H608" t="s">
        <v>1886</v>
      </c>
      <c r="I608" t="s">
        <v>1161</v>
      </c>
      <c r="J608" t="s">
        <v>33</v>
      </c>
      <c r="K608" t="s">
        <v>35</v>
      </c>
      <c r="L608" t="s">
        <v>11</v>
      </c>
      <c r="M608" t="s">
        <v>15</v>
      </c>
      <c r="N608">
        <v>1</v>
      </c>
      <c r="O608" s="18" t="s">
        <v>20</v>
      </c>
      <c r="P608" s="18" t="s">
        <v>27</v>
      </c>
      <c r="S608" t="s">
        <v>47</v>
      </c>
      <c r="T608" t="s">
        <v>421</v>
      </c>
      <c r="W608">
        <v>47</v>
      </c>
      <c r="X608">
        <v>41</v>
      </c>
      <c r="Y608">
        <v>26</v>
      </c>
      <c r="Z608">
        <v>20</v>
      </c>
      <c r="AG608" t="s">
        <v>1790</v>
      </c>
      <c r="AH608" t="s">
        <v>213</v>
      </c>
      <c r="AS608" t="s">
        <v>849</v>
      </c>
      <c r="AT608" t="s">
        <v>849</v>
      </c>
      <c r="AV608" t="s">
        <v>1812</v>
      </c>
      <c r="AW608" t="s">
        <v>1807</v>
      </c>
      <c r="AX608" t="s">
        <v>1808</v>
      </c>
      <c r="AZ608" t="s">
        <v>1813</v>
      </c>
    </row>
    <row r="609" spans="1:52" x14ac:dyDescent="0.2">
      <c r="A609" t="s">
        <v>1874</v>
      </c>
      <c r="B609" t="s">
        <v>1875</v>
      </c>
      <c r="C609" t="s">
        <v>1881</v>
      </c>
      <c r="D609">
        <v>2023</v>
      </c>
      <c r="E609" t="s">
        <v>1877</v>
      </c>
      <c r="F609" t="s">
        <v>1878</v>
      </c>
      <c r="G609" t="s">
        <v>1866</v>
      </c>
      <c r="H609" t="s">
        <v>1887</v>
      </c>
      <c r="I609" t="s">
        <v>1161</v>
      </c>
      <c r="J609" t="s">
        <v>33</v>
      </c>
      <c r="K609" t="s">
        <v>35</v>
      </c>
      <c r="L609" t="s">
        <v>11</v>
      </c>
      <c r="M609" t="s">
        <v>15</v>
      </c>
      <c r="N609">
        <v>1</v>
      </c>
      <c r="O609" s="18" t="s">
        <v>20</v>
      </c>
      <c r="P609" s="18" t="s">
        <v>24</v>
      </c>
      <c r="S609" t="s">
        <v>47</v>
      </c>
      <c r="T609" t="s">
        <v>421</v>
      </c>
      <c r="W609">
        <v>25</v>
      </c>
      <c r="X609">
        <v>27</v>
      </c>
      <c r="AA609">
        <v>8.7870050346399999</v>
      </c>
      <c r="AB609">
        <v>7.9472577469037358</v>
      </c>
      <c r="AC609">
        <v>7.2636119321481489</v>
      </c>
      <c r="AD609">
        <v>4.4307327415043218</v>
      </c>
      <c r="AE609" t="s">
        <v>71</v>
      </c>
      <c r="AF609" t="s">
        <v>61</v>
      </c>
      <c r="AG609" t="s">
        <v>71</v>
      </c>
      <c r="AH609" t="s">
        <v>213</v>
      </c>
      <c r="AS609" t="s">
        <v>849</v>
      </c>
      <c r="AT609" t="s">
        <v>849</v>
      </c>
      <c r="AV609" t="s">
        <v>1812</v>
      </c>
      <c r="AW609" t="s">
        <v>1807</v>
      </c>
      <c r="AX609" t="s">
        <v>1808</v>
      </c>
      <c r="AZ609" t="s">
        <v>1813</v>
      </c>
    </row>
    <row r="610" spans="1:52" x14ac:dyDescent="0.2">
      <c r="A610" t="s">
        <v>1874</v>
      </c>
      <c r="B610" t="s">
        <v>1875</v>
      </c>
      <c r="C610" t="s">
        <v>1882</v>
      </c>
      <c r="D610">
        <v>2023</v>
      </c>
      <c r="E610" t="s">
        <v>1877</v>
      </c>
      <c r="F610" t="s">
        <v>1878</v>
      </c>
      <c r="G610" t="s">
        <v>1866</v>
      </c>
      <c r="H610" t="s">
        <v>1888</v>
      </c>
      <c r="I610" t="s">
        <v>1161</v>
      </c>
      <c r="J610" t="s">
        <v>33</v>
      </c>
      <c r="K610" t="s">
        <v>35</v>
      </c>
      <c r="L610" t="s">
        <v>11</v>
      </c>
      <c r="M610" t="s">
        <v>15</v>
      </c>
      <c r="N610">
        <v>1</v>
      </c>
      <c r="O610" s="18" t="s">
        <v>20</v>
      </c>
      <c r="P610" s="18" t="s">
        <v>24</v>
      </c>
      <c r="S610" t="s">
        <v>47</v>
      </c>
      <c r="T610" t="s">
        <v>421</v>
      </c>
      <c r="W610">
        <v>26</v>
      </c>
      <c r="X610">
        <v>20</v>
      </c>
      <c r="AA610">
        <v>8.4055103112307687</v>
      </c>
      <c r="AB610">
        <v>4.3962064183913183</v>
      </c>
      <c r="AC610">
        <v>10.833883663399998</v>
      </c>
      <c r="AD610">
        <v>8.6290137996525313</v>
      </c>
      <c r="AE610" t="s">
        <v>71</v>
      </c>
      <c r="AF610" t="s">
        <v>61</v>
      </c>
      <c r="AG610" t="s">
        <v>71</v>
      </c>
      <c r="AH610" t="s">
        <v>213</v>
      </c>
      <c r="AS610" t="s">
        <v>849</v>
      </c>
      <c r="AT610" t="s">
        <v>849</v>
      </c>
      <c r="AV610" t="s">
        <v>1812</v>
      </c>
      <c r="AW610" t="s">
        <v>1807</v>
      </c>
      <c r="AX610" t="s">
        <v>1808</v>
      </c>
      <c r="AZ610" t="s">
        <v>1813</v>
      </c>
    </row>
    <row r="611" spans="1:52" x14ac:dyDescent="0.2">
      <c r="A611" t="s">
        <v>1874</v>
      </c>
      <c r="B611" t="s">
        <v>1875</v>
      </c>
      <c r="C611" t="s">
        <v>1883</v>
      </c>
      <c r="D611">
        <v>2023</v>
      </c>
      <c r="E611" t="s">
        <v>1877</v>
      </c>
      <c r="F611" t="s">
        <v>1878</v>
      </c>
      <c r="G611" t="s">
        <v>1866</v>
      </c>
      <c r="H611" t="s">
        <v>1889</v>
      </c>
      <c r="I611" t="s">
        <v>1161</v>
      </c>
      <c r="J611" t="s">
        <v>33</v>
      </c>
      <c r="K611" t="s">
        <v>35</v>
      </c>
      <c r="L611" t="s">
        <v>11</v>
      </c>
      <c r="M611" t="s">
        <v>15</v>
      </c>
      <c r="N611">
        <v>1</v>
      </c>
      <c r="O611" s="18" t="s">
        <v>20</v>
      </c>
      <c r="P611" s="18" t="s">
        <v>24</v>
      </c>
      <c r="S611" t="s">
        <v>47</v>
      </c>
      <c r="T611" t="s">
        <v>421</v>
      </c>
      <c r="W611">
        <v>14</v>
      </c>
      <c r="X611">
        <v>13</v>
      </c>
      <c r="AA611">
        <v>2.6928571429285713</v>
      </c>
      <c r="AB611">
        <v>0.85151233700805717</v>
      </c>
      <c r="AC611">
        <v>3.0588916460000002</v>
      </c>
      <c r="AD611">
        <v>2.0020647994609653</v>
      </c>
      <c r="AE611" t="s">
        <v>71</v>
      </c>
      <c r="AF611" t="s">
        <v>61</v>
      </c>
      <c r="AG611" t="s">
        <v>71</v>
      </c>
      <c r="AH611" t="s">
        <v>213</v>
      </c>
      <c r="AS611" t="s">
        <v>849</v>
      </c>
      <c r="AT611" t="s">
        <v>849</v>
      </c>
      <c r="AV611" t="s">
        <v>1812</v>
      </c>
      <c r="AW611" t="s">
        <v>1807</v>
      </c>
      <c r="AX611" t="s">
        <v>1808</v>
      </c>
      <c r="AZ611" t="s">
        <v>1813</v>
      </c>
    </row>
    <row r="612" spans="1:52" x14ac:dyDescent="0.2">
      <c r="A612" t="s">
        <v>1874</v>
      </c>
      <c r="B612" t="s">
        <v>1875</v>
      </c>
      <c r="C612" t="s">
        <v>1884</v>
      </c>
      <c r="D612">
        <v>2023</v>
      </c>
      <c r="E612" t="s">
        <v>1877</v>
      </c>
      <c r="F612" t="s">
        <v>1878</v>
      </c>
      <c r="G612" t="s">
        <v>1866</v>
      </c>
      <c r="H612" t="s">
        <v>1890</v>
      </c>
      <c r="I612" t="s">
        <v>1161</v>
      </c>
      <c r="J612" t="s">
        <v>33</v>
      </c>
      <c r="K612" t="s">
        <v>35</v>
      </c>
      <c r="L612" t="s">
        <v>11</v>
      </c>
      <c r="M612" t="s">
        <v>15</v>
      </c>
      <c r="N612">
        <v>1</v>
      </c>
      <c r="O612" s="18" t="s">
        <v>20</v>
      </c>
      <c r="P612" s="18" t="s">
        <v>24</v>
      </c>
      <c r="S612" t="s">
        <v>47</v>
      </c>
      <c r="T612" t="s">
        <v>421</v>
      </c>
      <c r="W612">
        <v>21</v>
      </c>
      <c r="X612">
        <v>21</v>
      </c>
      <c r="AA612">
        <v>2.7460317459999999</v>
      </c>
      <c r="AB612">
        <v>0.56585492757555667</v>
      </c>
      <c r="AC612">
        <v>2.6190476190476191</v>
      </c>
      <c r="AD612">
        <v>0.8355185634187795</v>
      </c>
      <c r="AE612" t="s">
        <v>71</v>
      </c>
      <c r="AF612" t="s">
        <v>61</v>
      </c>
      <c r="AG612" t="s">
        <v>71</v>
      </c>
      <c r="AH612" t="s">
        <v>213</v>
      </c>
      <c r="AS612" t="s">
        <v>849</v>
      </c>
      <c r="AT612" t="s">
        <v>849</v>
      </c>
      <c r="AV612" t="s">
        <v>1812</v>
      </c>
      <c r="AW612" t="s">
        <v>1807</v>
      </c>
      <c r="AX612" t="s">
        <v>1808</v>
      </c>
      <c r="AZ612" t="s">
        <v>1813</v>
      </c>
    </row>
    <row r="613" spans="1:52" x14ac:dyDescent="0.2">
      <c r="A613" t="s">
        <v>1874</v>
      </c>
      <c r="B613" t="s">
        <v>1875</v>
      </c>
      <c r="C613" t="s">
        <v>1885</v>
      </c>
      <c r="D613">
        <v>2023</v>
      </c>
      <c r="E613" t="s">
        <v>1877</v>
      </c>
      <c r="F613" t="s">
        <v>1878</v>
      </c>
      <c r="G613" t="s">
        <v>1866</v>
      </c>
      <c r="H613" t="s">
        <v>1891</v>
      </c>
      <c r="I613" t="s">
        <v>1161</v>
      </c>
      <c r="J613" t="s">
        <v>33</v>
      </c>
      <c r="K613" t="s">
        <v>35</v>
      </c>
      <c r="L613" t="s">
        <v>11</v>
      </c>
      <c r="M613" t="s">
        <v>15</v>
      </c>
      <c r="N613">
        <v>1</v>
      </c>
      <c r="O613" s="18" t="s">
        <v>20</v>
      </c>
      <c r="P613" s="18" t="s">
        <v>1824</v>
      </c>
      <c r="S613" t="s">
        <v>47</v>
      </c>
      <c r="T613" t="s">
        <v>421</v>
      </c>
      <c r="W613">
        <v>25</v>
      </c>
      <c r="X613">
        <v>27</v>
      </c>
      <c r="AA613">
        <v>1</v>
      </c>
      <c r="AB613">
        <v>1</v>
      </c>
      <c r="AC613">
        <v>1</v>
      </c>
      <c r="AD613">
        <v>1</v>
      </c>
      <c r="AE613" t="s">
        <v>71</v>
      </c>
      <c r="AF613" t="s">
        <v>61</v>
      </c>
      <c r="AG613" t="s">
        <v>71</v>
      </c>
      <c r="AH613" t="s">
        <v>213</v>
      </c>
      <c r="AS613" t="s">
        <v>849</v>
      </c>
      <c r="AT613" t="s">
        <v>222</v>
      </c>
      <c r="AV613" t="s">
        <v>1812</v>
      </c>
      <c r="AW613" t="s">
        <v>1807</v>
      </c>
      <c r="AX613" t="s">
        <v>1808</v>
      </c>
      <c r="AZ613" t="s">
        <v>1813</v>
      </c>
    </row>
    <row r="614" spans="1:52" x14ac:dyDescent="0.2">
      <c r="A614" t="s">
        <v>1874</v>
      </c>
      <c r="B614" t="s">
        <v>1875</v>
      </c>
      <c r="C614" t="s">
        <v>1885</v>
      </c>
      <c r="D614">
        <v>2023</v>
      </c>
      <c r="E614" t="s">
        <v>1877</v>
      </c>
      <c r="F614" t="s">
        <v>1878</v>
      </c>
      <c r="G614" t="s">
        <v>1866</v>
      </c>
      <c r="H614" t="s">
        <v>1892</v>
      </c>
      <c r="I614" t="s">
        <v>1161</v>
      </c>
      <c r="J614" t="s">
        <v>33</v>
      </c>
      <c r="K614" t="s">
        <v>35</v>
      </c>
      <c r="L614" t="s">
        <v>11</v>
      </c>
      <c r="M614" t="s">
        <v>15</v>
      </c>
      <c r="N614">
        <v>1</v>
      </c>
      <c r="O614" s="18" t="s">
        <v>20</v>
      </c>
      <c r="P614" s="18" t="s">
        <v>1824</v>
      </c>
      <c r="S614" t="s">
        <v>47</v>
      </c>
      <c r="T614" t="s">
        <v>421</v>
      </c>
      <c r="W614">
        <v>26</v>
      </c>
      <c r="X614">
        <v>20</v>
      </c>
      <c r="AA614">
        <v>1</v>
      </c>
      <c r="AB614">
        <v>1</v>
      </c>
      <c r="AC614">
        <v>1</v>
      </c>
      <c r="AD614">
        <v>1</v>
      </c>
      <c r="AE614" t="s">
        <v>71</v>
      </c>
      <c r="AF614" t="s">
        <v>61</v>
      </c>
      <c r="AG614" t="s">
        <v>71</v>
      </c>
      <c r="AH614" t="s">
        <v>213</v>
      </c>
      <c r="AS614" t="s">
        <v>849</v>
      </c>
      <c r="AT614" t="s">
        <v>222</v>
      </c>
      <c r="AV614" t="s">
        <v>1812</v>
      </c>
      <c r="AW614" t="s">
        <v>1807</v>
      </c>
      <c r="AX614" t="s">
        <v>1808</v>
      </c>
      <c r="AZ614" t="s">
        <v>1813</v>
      </c>
    </row>
    <row r="615" spans="1:52" x14ac:dyDescent="0.2">
      <c r="A615" t="s">
        <v>1874</v>
      </c>
      <c r="B615" t="s">
        <v>1875</v>
      </c>
      <c r="C615" t="s">
        <v>1885</v>
      </c>
      <c r="D615">
        <v>2023</v>
      </c>
      <c r="E615" t="s">
        <v>1877</v>
      </c>
      <c r="F615" t="s">
        <v>1878</v>
      </c>
      <c r="G615" t="s">
        <v>1866</v>
      </c>
      <c r="H615" t="s">
        <v>1893</v>
      </c>
      <c r="I615" t="s">
        <v>1161</v>
      </c>
      <c r="J615" t="s">
        <v>33</v>
      </c>
      <c r="K615" t="s">
        <v>35</v>
      </c>
      <c r="L615" t="s">
        <v>11</v>
      </c>
      <c r="M615" t="s">
        <v>15</v>
      </c>
      <c r="N615">
        <v>1</v>
      </c>
      <c r="O615" s="18" t="s">
        <v>20</v>
      </c>
      <c r="P615" s="18" t="s">
        <v>1824</v>
      </c>
      <c r="S615" t="s">
        <v>47</v>
      </c>
      <c r="T615" t="s">
        <v>421</v>
      </c>
      <c r="W615">
        <v>14</v>
      </c>
      <c r="X615">
        <v>13</v>
      </c>
      <c r="AA615">
        <v>0</v>
      </c>
      <c r="AB615">
        <v>0</v>
      </c>
      <c r="AC615">
        <v>7.6923076923076927E-2</v>
      </c>
      <c r="AD615">
        <v>0.27735009811261457</v>
      </c>
      <c r="AE615" t="s">
        <v>71</v>
      </c>
      <c r="AF615" t="s">
        <v>61</v>
      </c>
      <c r="AG615" t="s">
        <v>71</v>
      </c>
      <c r="AH615" t="s">
        <v>213</v>
      </c>
      <c r="AS615" t="s">
        <v>849</v>
      </c>
      <c r="AT615" t="s">
        <v>222</v>
      </c>
      <c r="AV615" t="s">
        <v>1812</v>
      </c>
      <c r="AW615" t="s">
        <v>1807</v>
      </c>
      <c r="AX615" t="s">
        <v>1808</v>
      </c>
      <c r="AZ615" t="s">
        <v>1813</v>
      </c>
    </row>
    <row r="616" spans="1:52" x14ac:dyDescent="0.2">
      <c r="A616" t="s">
        <v>1874</v>
      </c>
      <c r="B616" t="s">
        <v>1875</v>
      </c>
      <c r="C616" t="s">
        <v>1885</v>
      </c>
      <c r="D616">
        <v>2023</v>
      </c>
      <c r="E616" t="s">
        <v>1877</v>
      </c>
      <c r="F616" t="s">
        <v>1878</v>
      </c>
      <c r="G616" t="s">
        <v>1866</v>
      </c>
      <c r="H616" t="s">
        <v>1894</v>
      </c>
      <c r="I616" t="s">
        <v>1161</v>
      </c>
      <c r="J616" t="s">
        <v>33</v>
      </c>
      <c r="K616" t="s">
        <v>35</v>
      </c>
      <c r="L616" t="s">
        <v>11</v>
      </c>
      <c r="M616" t="s">
        <v>15</v>
      </c>
      <c r="N616">
        <v>1</v>
      </c>
      <c r="O616" s="18" t="s">
        <v>20</v>
      </c>
      <c r="P616" s="18" t="s">
        <v>1824</v>
      </c>
      <c r="S616" t="s">
        <v>47</v>
      </c>
      <c r="T616" t="s">
        <v>421</v>
      </c>
      <c r="W616">
        <v>21</v>
      </c>
      <c r="X616">
        <v>21</v>
      </c>
      <c r="AA616">
        <v>0</v>
      </c>
      <c r="AB616">
        <v>0</v>
      </c>
      <c r="AC616">
        <v>4.7619047619047616E-2</v>
      </c>
      <c r="AD616">
        <v>0.21821789023599236</v>
      </c>
      <c r="AE616" t="s">
        <v>71</v>
      </c>
      <c r="AF616" t="s">
        <v>61</v>
      </c>
      <c r="AG616" t="s">
        <v>71</v>
      </c>
      <c r="AH616" t="s">
        <v>213</v>
      </c>
      <c r="AS616" t="s">
        <v>849</v>
      </c>
      <c r="AT616" t="s">
        <v>222</v>
      </c>
      <c r="AV616" t="s">
        <v>1812</v>
      </c>
      <c r="AW616" t="s">
        <v>1807</v>
      </c>
      <c r="AX616" t="s">
        <v>1808</v>
      </c>
      <c r="AZ616" t="s">
        <v>1813</v>
      </c>
    </row>
    <row r="617" spans="1:52" x14ac:dyDescent="0.2">
      <c r="A617" t="s">
        <v>1874</v>
      </c>
      <c r="B617" t="s">
        <v>1875</v>
      </c>
      <c r="C617" t="s">
        <v>1885</v>
      </c>
      <c r="D617">
        <v>2023</v>
      </c>
      <c r="E617" t="s">
        <v>1877</v>
      </c>
      <c r="F617" t="s">
        <v>1878</v>
      </c>
      <c r="G617" t="s">
        <v>1866</v>
      </c>
      <c r="H617" t="s">
        <v>1895</v>
      </c>
      <c r="I617" t="s">
        <v>1161</v>
      </c>
      <c r="J617" t="s">
        <v>33</v>
      </c>
      <c r="K617" t="s">
        <v>35</v>
      </c>
      <c r="L617" t="s">
        <v>11</v>
      </c>
      <c r="M617" t="s">
        <v>15</v>
      </c>
      <c r="N617">
        <v>1</v>
      </c>
      <c r="O617" s="18" t="s">
        <v>20</v>
      </c>
      <c r="P617" s="18" t="s">
        <v>1824</v>
      </c>
      <c r="S617" t="s">
        <v>47</v>
      </c>
      <c r="T617" t="s">
        <v>421</v>
      </c>
      <c r="W617">
        <v>25</v>
      </c>
      <c r="X617">
        <v>27</v>
      </c>
      <c r="AA617">
        <v>3</v>
      </c>
      <c r="AB617">
        <v>5</v>
      </c>
      <c r="AC617">
        <v>3</v>
      </c>
      <c r="AD617">
        <v>3</v>
      </c>
      <c r="AE617" t="s">
        <v>71</v>
      </c>
      <c r="AF617" t="s">
        <v>61</v>
      </c>
      <c r="AG617" t="s">
        <v>71</v>
      </c>
      <c r="AH617" t="s">
        <v>213</v>
      </c>
      <c r="AS617" t="s">
        <v>849</v>
      </c>
      <c r="AT617" t="s">
        <v>222</v>
      </c>
      <c r="AV617" t="s">
        <v>1812</v>
      </c>
      <c r="AW617" t="s">
        <v>1807</v>
      </c>
      <c r="AX617" t="s">
        <v>1808</v>
      </c>
      <c r="AZ617" t="s">
        <v>1813</v>
      </c>
    </row>
    <row r="618" spans="1:52" x14ac:dyDescent="0.2">
      <c r="A618" t="s">
        <v>1874</v>
      </c>
      <c r="B618" t="s">
        <v>1875</v>
      </c>
      <c r="C618" t="s">
        <v>1885</v>
      </c>
      <c r="D618">
        <v>2023</v>
      </c>
      <c r="E618" t="s">
        <v>1877</v>
      </c>
      <c r="F618" t="s">
        <v>1878</v>
      </c>
      <c r="G618" t="s">
        <v>1866</v>
      </c>
      <c r="H618" t="s">
        <v>1896</v>
      </c>
      <c r="I618" t="s">
        <v>1161</v>
      </c>
      <c r="J618" t="s">
        <v>33</v>
      </c>
      <c r="K618" t="s">
        <v>35</v>
      </c>
      <c r="L618" t="s">
        <v>11</v>
      </c>
      <c r="M618" t="s">
        <v>15</v>
      </c>
      <c r="N618">
        <v>1</v>
      </c>
      <c r="O618" s="18" t="s">
        <v>20</v>
      </c>
      <c r="P618" s="18" t="s">
        <v>1824</v>
      </c>
      <c r="S618" t="s">
        <v>47</v>
      </c>
      <c r="T618" t="s">
        <v>421</v>
      </c>
      <c r="W618">
        <v>26</v>
      </c>
      <c r="X618">
        <v>20</v>
      </c>
      <c r="AA618">
        <v>3</v>
      </c>
      <c r="AB618">
        <v>5</v>
      </c>
      <c r="AC618">
        <v>5</v>
      </c>
      <c r="AD618">
        <v>6</v>
      </c>
      <c r="AE618" t="s">
        <v>71</v>
      </c>
      <c r="AF618" t="s">
        <v>61</v>
      </c>
      <c r="AG618" t="s">
        <v>71</v>
      </c>
      <c r="AH618" t="s">
        <v>213</v>
      </c>
      <c r="AS618" t="s">
        <v>849</v>
      </c>
      <c r="AT618" t="s">
        <v>222</v>
      </c>
      <c r="AV618" t="s">
        <v>1812</v>
      </c>
      <c r="AW618" t="s">
        <v>1807</v>
      </c>
      <c r="AX618" t="s">
        <v>1808</v>
      </c>
      <c r="AZ618" t="s">
        <v>1813</v>
      </c>
    </row>
    <row r="619" spans="1:52" x14ac:dyDescent="0.2">
      <c r="A619" t="s">
        <v>1874</v>
      </c>
      <c r="B619" t="s">
        <v>1875</v>
      </c>
      <c r="C619" t="s">
        <v>1885</v>
      </c>
      <c r="D619">
        <v>2023</v>
      </c>
      <c r="E619" t="s">
        <v>1877</v>
      </c>
      <c r="F619" t="s">
        <v>1878</v>
      </c>
      <c r="G619" t="s">
        <v>1866</v>
      </c>
      <c r="H619" t="s">
        <v>1897</v>
      </c>
      <c r="I619" t="s">
        <v>1161</v>
      </c>
      <c r="J619" t="s">
        <v>33</v>
      </c>
      <c r="K619" t="s">
        <v>35</v>
      </c>
      <c r="L619" t="s">
        <v>11</v>
      </c>
      <c r="M619" t="s">
        <v>15</v>
      </c>
      <c r="N619">
        <v>1</v>
      </c>
      <c r="O619" s="18" t="s">
        <v>20</v>
      </c>
      <c r="P619" s="18" t="s">
        <v>1824</v>
      </c>
      <c r="S619" t="s">
        <v>47</v>
      </c>
      <c r="T619" t="s">
        <v>421</v>
      </c>
      <c r="W619">
        <v>14</v>
      </c>
      <c r="X619">
        <v>13</v>
      </c>
      <c r="AA619">
        <v>11</v>
      </c>
      <c r="AB619">
        <v>7.2217619840206693</v>
      </c>
      <c r="AC619">
        <v>12.615384615384615</v>
      </c>
      <c r="AD619">
        <v>6.6900231880323284</v>
      </c>
      <c r="AE619" t="s">
        <v>71</v>
      </c>
      <c r="AF619" t="s">
        <v>61</v>
      </c>
      <c r="AG619" t="s">
        <v>71</v>
      </c>
      <c r="AH619" t="s">
        <v>213</v>
      </c>
      <c r="AS619" t="s">
        <v>849</v>
      </c>
      <c r="AT619" t="s">
        <v>222</v>
      </c>
      <c r="AV619" t="s">
        <v>1812</v>
      </c>
      <c r="AW619" t="s">
        <v>1807</v>
      </c>
      <c r="AX619" t="s">
        <v>1808</v>
      </c>
      <c r="AZ619" t="s">
        <v>1813</v>
      </c>
    </row>
    <row r="620" spans="1:52" x14ac:dyDescent="0.2">
      <c r="A620" t="s">
        <v>1874</v>
      </c>
      <c r="B620" t="s">
        <v>1875</v>
      </c>
      <c r="C620" t="s">
        <v>1885</v>
      </c>
      <c r="D620">
        <v>2023</v>
      </c>
      <c r="E620" t="s">
        <v>1877</v>
      </c>
      <c r="F620" t="s">
        <v>1878</v>
      </c>
      <c r="G620" t="s">
        <v>1866</v>
      </c>
      <c r="H620" t="s">
        <v>1898</v>
      </c>
      <c r="I620" t="s">
        <v>1161</v>
      </c>
      <c r="J620" t="s">
        <v>33</v>
      </c>
      <c r="K620" t="s">
        <v>35</v>
      </c>
      <c r="L620" t="s">
        <v>11</v>
      </c>
      <c r="M620" t="s">
        <v>15</v>
      </c>
      <c r="N620">
        <v>1</v>
      </c>
      <c r="O620" s="18" t="s">
        <v>20</v>
      </c>
      <c r="P620" s="18" t="s">
        <v>1824</v>
      </c>
      <c r="S620" t="s">
        <v>47</v>
      </c>
      <c r="T620" t="s">
        <v>421</v>
      </c>
      <c r="W620">
        <v>21</v>
      </c>
      <c r="X620">
        <v>21</v>
      </c>
      <c r="AA620">
        <v>9.7142857142857135</v>
      </c>
      <c r="AB620">
        <v>4.4960299948160616</v>
      </c>
      <c r="AC620">
        <v>14.19047619047619</v>
      </c>
      <c r="AD620">
        <v>7.5869562251211633</v>
      </c>
      <c r="AE620" t="s">
        <v>71</v>
      </c>
      <c r="AF620" t="s">
        <v>61</v>
      </c>
      <c r="AG620" t="s">
        <v>71</v>
      </c>
      <c r="AH620" t="s">
        <v>213</v>
      </c>
      <c r="AS620" t="s">
        <v>849</v>
      </c>
      <c r="AT620" t="s">
        <v>222</v>
      </c>
      <c r="AV620" t="s">
        <v>1812</v>
      </c>
      <c r="AW620" t="s">
        <v>1807</v>
      </c>
      <c r="AX620" t="s">
        <v>1808</v>
      </c>
      <c r="AZ620" t="s">
        <v>1813</v>
      </c>
    </row>
    <row r="621" spans="1:52" x14ac:dyDescent="0.2">
      <c r="A621" t="s">
        <v>1905</v>
      </c>
      <c r="B621" t="s">
        <v>1906</v>
      </c>
      <c r="D621">
        <v>2020</v>
      </c>
      <c r="E621" t="s">
        <v>1899</v>
      </c>
      <c r="F621" t="s">
        <v>1900</v>
      </c>
      <c r="G621" t="s">
        <v>1901</v>
      </c>
      <c r="H621" t="s">
        <v>1902</v>
      </c>
      <c r="I621" t="s">
        <v>1759</v>
      </c>
      <c r="J621" t="s">
        <v>81</v>
      </c>
      <c r="K621" t="s">
        <v>34</v>
      </c>
      <c r="O621" s="18" t="s">
        <v>21</v>
      </c>
      <c r="P621" s="18" t="s">
        <v>78</v>
      </c>
      <c r="Q621" t="s">
        <v>38</v>
      </c>
      <c r="R621" t="s">
        <v>44</v>
      </c>
      <c r="S621" t="s">
        <v>47</v>
      </c>
      <c r="T621" t="s">
        <v>51</v>
      </c>
      <c r="W621">
        <v>74</v>
      </c>
      <c r="X621">
        <v>10</v>
      </c>
      <c r="AA621">
        <v>0.75</v>
      </c>
      <c r="AB621">
        <v>0.72</v>
      </c>
      <c r="AC621">
        <v>0.55000000000000004</v>
      </c>
      <c r="AD621">
        <v>0.03</v>
      </c>
      <c r="AE621" t="s">
        <v>71</v>
      </c>
      <c r="AF621" t="s">
        <v>61</v>
      </c>
      <c r="AG621" t="s">
        <v>71</v>
      </c>
      <c r="AH621" t="s">
        <v>213</v>
      </c>
      <c r="AS621" t="s">
        <v>222</v>
      </c>
      <c r="AT621" t="s">
        <v>849</v>
      </c>
      <c r="AV621" t="s">
        <v>1803</v>
      </c>
      <c r="AW621" t="s">
        <v>1807</v>
      </c>
      <c r="AX621" t="s">
        <v>1808</v>
      </c>
      <c r="AY621" t="s">
        <v>1806</v>
      </c>
      <c r="AZ621" t="s">
        <v>1809</v>
      </c>
    </row>
    <row r="622" spans="1:52" x14ac:dyDescent="0.2">
      <c r="A622" t="s">
        <v>1905</v>
      </c>
      <c r="B622" t="s">
        <v>1906</v>
      </c>
      <c r="D622">
        <v>2020</v>
      </c>
      <c r="E622" t="s">
        <v>1899</v>
      </c>
      <c r="F622" t="s">
        <v>1900</v>
      </c>
      <c r="G622" t="s">
        <v>1901</v>
      </c>
      <c r="H622" t="s">
        <v>1903</v>
      </c>
      <c r="I622" t="s">
        <v>1759</v>
      </c>
      <c r="J622" t="s">
        <v>81</v>
      </c>
      <c r="K622" t="s">
        <v>34</v>
      </c>
      <c r="O622" s="18" t="s">
        <v>21</v>
      </c>
      <c r="P622" s="18" t="s">
        <v>78</v>
      </c>
      <c r="Q622" t="s">
        <v>38</v>
      </c>
      <c r="R622" t="s">
        <v>44</v>
      </c>
      <c r="S622" t="s">
        <v>47</v>
      </c>
      <c r="T622" t="s">
        <v>51</v>
      </c>
      <c r="W622">
        <v>79</v>
      </c>
      <c r="X622">
        <v>13</v>
      </c>
      <c r="AA622">
        <v>39.08</v>
      </c>
      <c r="AB622">
        <v>27.9</v>
      </c>
      <c r="AC622">
        <v>40.85</v>
      </c>
      <c r="AD622">
        <v>20.94</v>
      </c>
      <c r="AE622" t="s">
        <v>71</v>
      </c>
      <c r="AF622" t="s">
        <v>61</v>
      </c>
      <c r="AG622" t="s">
        <v>71</v>
      </c>
      <c r="AH622" t="s">
        <v>213</v>
      </c>
      <c r="AS622" t="s">
        <v>222</v>
      </c>
      <c r="AT622" t="s">
        <v>849</v>
      </c>
      <c r="AV622" t="s">
        <v>1803</v>
      </c>
      <c r="AW622" t="s">
        <v>1807</v>
      </c>
      <c r="AX622" t="s">
        <v>1808</v>
      </c>
      <c r="AY622" t="s">
        <v>1806</v>
      </c>
      <c r="AZ622" t="s">
        <v>1809</v>
      </c>
    </row>
    <row r="623" spans="1:52" x14ac:dyDescent="0.2">
      <c r="A623" t="s">
        <v>1905</v>
      </c>
      <c r="B623" t="s">
        <v>1906</v>
      </c>
      <c r="D623">
        <v>2020</v>
      </c>
      <c r="E623" t="s">
        <v>1899</v>
      </c>
      <c r="F623" t="s">
        <v>1900</v>
      </c>
      <c r="G623" t="s">
        <v>1901</v>
      </c>
      <c r="H623" t="s">
        <v>1904</v>
      </c>
      <c r="I623" t="s">
        <v>1759</v>
      </c>
      <c r="J623" t="s">
        <v>81</v>
      </c>
      <c r="K623" t="s">
        <v>34</v>
      </c>
      <c r="O623" s="18" t="s">
        <v>21</v>
      </c>
      <c r="P623" s="18" t="s">
        <v>78</v>
      </c>
      <c r="Q623" t="s">
        <v>38</v>
      </c>
      <c r="R623" t="s">
        <v>44</v>
      </c>
      <c r="S623" t="s">
        <v>47</v>
      </c>
      <c r="T623" t="s">
        <v>51</v>
      </c>
      <c r="W623">
        <v>66</v>
      </c>
      <c r="X623">
        <v>8</v>
      </c>
      <c r="AA623">
        <v>0.39</v>
      </c>
      <c r="AB623">
        <v>0.44</v>
      </c>
      <c r="AC623">
        <v>0.28000000000000003</v>
      </c>
      <c r="AD623">
        <v>0.32</v>
      </c>
      <c r="AE623" t="s">
        <v>71</v>
      </c>
      <c r="AF623" t="s">
        <v>61</v>
      </c>
      <c r="AG623" t="s">
        <v>71</v>
      </c>
      <c r="AH623" t="s">
        <v>213</v>
      </c>
      <c r="AS623" t="s">
        <v>222</v>
      </c>
      <c r="AT623" t="s">
        <v>849</v>
      </c>
      <c r="AV623" t="s">
        <v>1803</v>
      </c>
      <c r="AW623" t="s">
        <v>1807</v>
      </c>
      <c r="AX623" t="s">
        <v>1808</v>
      </c>
      <c r="AY623" t="s">
        <v>1806</v>
      </c>
      <c r="AZ623" t="s">
        <v>1809</v>
      </c>
    </row>
    <row r="624" spans="1:52" x14ac:dyDescent="0.2">
      <c r="A624" t="s">
        <v>1907</v>
      </c>
      <c r="B624" t="s">
        <v>1135</v>
      </c>
      <c r="C624" t="s">
        <v>2280</v>
      </c>
      <c r="D624">
        <v>2020</v>
      </c>
      <c r="E624" t="s">
        <v>1908</v>
      </c>
      <c r="F624" t="s">
        <v>1909</v>
      </c>
      <c r="G624" t="s">
        <v>1910</v>
      </c>
      <c r="H624" t="s">
        <v>1911</v>
      </c>
      <c r="I624" t="s">
        <v>1912</v>
      </c>
      <c r="J624" t="s">
        <v>81</v>
      </c>
      <c r="K624" t="s">
        <v>34</v>
      </c>
      <c r="O624" s="18" t="s">
        <v>21</v>
      </c>
      <c r="P624" s="18" t="s">
        <v>78</v>
      </c>
      <c r="Q624" t="s">
        <v>38</v>
      </c>
      <c r="R624" t="s">
        <v>44</v>
      </c>
      <c r="S624" t="s">
        <v>47</v>
      </c>
      <c r="T624" t="s">
        <v>421</v>
      </c>
      <c r="W624">
        <v>50</v>
      </c>
      <c r="X624">
        <v>29</v>
      </c>
      <c r="AA624" s="12">
        <v>0.88206390106562527</v>
      </c>
      <c r="AB624" s="12">
        <v>7.508526419390249E-2</v>
      </c>
      <c r="AC624" s="12">
        <v>0.88032548153636214</v>
      </c>
      <c r="AD624" s="12">
        <v>5.8528705865483983E-2</v>
      </c>
      <c r="AE624" t="s">
        <v>71</v>
      </c>
      <c r="AF624" t="s">
        <v>61</v>
      </c>
      <c r="AG624" t="s">
        <v>71</v>
      </c>
      <c r="AH624" t="s">
        <v>213</v>
      </c>
      <c r="AS624" t="s">
        <v>222</v>
      </c>
      <c r="AT624" t="s">
        <v>849</v>
      </c>
      <c r="AV624" t="s">
        <v>1812</v>
      </c>
      <c r="AW624" t="s">
        <v>1804</v>
      </c>
      <c r="AX624" t="s">
        <v>1808</v>
      </c>
      <c r="AZ624" t="s">
        <v>1820</v>
      </c>
    </row>
    <row r="625" spans="1:52" x14ac:dyDescent="0.2">
      <c r="A625" t="s">
        <v>1907</v>
      </c>
      <c r="B625" t="s">
        <v>1135</v>
      </c>
      <c r="C625" t="s">
        <v>2280</v>
      </c>
      <c r="D625">
        <v>2020</v>
      </c>
      <c r="E625" t="s">
        <v>1908</v>
      </c>
      <c r="F625" t="s">
        <v>1909</v>
      </c>
      <c r="G625" t="s">
        <v>1910</v>
      </c>
      <c r="H625" t="s">
        <v>1913</v>
      </c>
      <c r="I625" t="s">
        <v>1912</v>
      </c>
      <c r="J625" t="s">
        <v>81</v>
      </c>
      <c r="K625" t="s">
        <v>34</v>
      </c>
      <c r="O625" s="18" t="s">
        <v>21</v>
      </c>
      <c r="P625" s="18" t="s">
        <v>78</v>
      </c>
      <c r="Q625" t="s">
        <v>38</v>
      </c>
      <c r="R625" t="s">
        <v>44</v>
      </c>
      <c r="S625" t="s">
        <v>47</v>
      </c>
      <c r="T625" t="s">
        <v>421</v>
      </c>
      <c r="W625">
        <v>50</v>
      </c>
      <c r="X625">
        <v>29</v>
      </c>
      <c r="AA625" s="12">
        <v>306714.28571428574</v>
      </c>
      <c r="AB625" s="12">
        <v>144749.67472617453</v>
      </c>
      <c r="AC625" s="12">
        <v>325150</v>
      </c>
      <c r="AD625" s="12">
        <v>138781.68974114492</v>
      </c>
      <c r="AE625" t="s">
        <v>71</v>
      </c>
      <c r="AF625" t="s">
        <v>61</v>
      </c>
      <c r="AG625" t="s">
        <v>71</v>
      </c>
      <c r="AH625" t="s">
        <v>213</v>
      </c>
      <c r="AS625" t="s">
        <v>222</v>
      </c>
      <c r="AT625" t="s">
        <v>849</v>
      </c>
      <c r="AV625" t="s">
        <v>1812</v>
      </c>
      <c r="AW625" t="s">
        <v>1804</v>
      </c>
      <c r="AX625" t="s">
        <v>1808</v>
      </c>
      <c r="AZ625" t="s">
        <v>1820</v>
      </c>
    </row>
    <row r="626" spans="1:52" x14ac:dyDescent="0.2">
      <c r="A626" t="s">
        <v>1907</v>
      </c>
      <c r="B626" t="s">
        <v>1135</v>
      </c>
      <c r="C626" t="s">
        <v>2280</v>
      </c>
      <c r="D626">
        <v>2020</v>
      </c>
      <c r="E626" t="s">
        <v>1908</v>
      </c>
      <c r="F626" t="s">
        <v>1909</v>
      </c>
      <c r="G626" t="s">
        <v>1910</v>
      </c>
      <c r="H626" t="s">
        <v>1914</v>
      </c>
      <c r="I626" t="s">
        <v>1912</v>
      </c>
      <c r="J626" t="s">
        <v>81</v>
      </c>
      <c r="K626" t="s">
        <v>34</v>
      </c>
      <c r="O626" s="18" t="s">
        <v>21</v>
      </c>
      <c r="P626" s="18" t="s">
        <v>1824</v>
      </c>
      <c r="Q626" t="s">
        <v>38</v>
      </c>
      <c r="R626" t="s">
        <v>44</v>
      </c>
      <c r="S626" t="s">
        <v>47</v>
      </c>
      <c r="T626" t="s">
        <v>421</v>
      </c>
      <c r="W626">
        <v>50</v>
      </c>
      <c r="X626">
        <v>29</v>
      </c>
      <c r="AA626" s="12">
        <v>1.5123449429591895</v>
      </c>
      <c r="AB626" s="12">
        <v>0.31669324896909851</v>
      </c>
      <c r="AC626" s="12">
        <v>1.4456072866510707</v>
      </c>
      <c r="AD626" s="12">
        <v>0.3800310108788012</v>
      </c>
      <c r="AE626" t="s">
        <v>71</v>
      </c>
      <c r="AF626" t="s">
        <v>61</v>
      </c>
      <c r="AG626" t="s">
        <v>71</v>
      </c>
      <c r="AH626" t="s">
        <v>213</v>
      </c>
      <c r="AS626" t="s">
        <v>222</v>
      </c>
      <c r="AT626" t="s">
        <v>222</v>
      </c>
      <c r="AV626" t="s">
        <v>1812</v>
      </c>
      <c r="AW626" t="s">
        <v>1804</v>
      </c>
      <c r="AX626" t="s">
        <v>1808</v>
      </c>
      <c r="AZ626" t="s">
        <v>1820</v>
      </c>
    </row>
    <row r="627" spans="1:52" x14ac:dyDescent="0.2">
      <c r="A627" t="s">
        <v>1915</v>
      </c>
      <c r="B627" t="s">
        <v>1256</v>
      </c>
      <c r="C627" t="s">
        <v>1916</v>
      </c>
      <c r="D627">
        <v>2020</v>
      </c>
      <c r="E627" t="s">
        <v>1918</v>
      </c>
      <c r="F627" t="s">
        <v>1919</v>
      </c>
      <c r="G627" t="s">
        <v>1920</v>
      </c>
      <c r="H627" t="s">
        <v>1917</v>
      </c>
      <c r="I627" t="s">
        <v>440</v>
      </c>
      <c r="J627" t="s">
        <v>31</v>
      </c>
      <c r="K627" t="s">
        <v>35</v>
      </c>
      <c r="L627" t="s">
        <v>11</v>
      </c>
      <c r="M627" t="s">
        <v>15</v>
      </c>
      <c r="N627">
        <v>1</v>
      </c>
      <c r="O627" s="18" t="s">
        <v>20</v>
      </c>
      <c r="P627" s="18" t="s">
        <v>24</v>
      </c>
      <c r="S627" t="s">
        <v>47</v>
      </c>
      <c r="T627" t="s">
        <v>421</v>
      </c>
      <c r="W627">
        <v>41</v>
      </c>
      <c r="X627">
        <v>47</v>
      </c>
      <c r="AA627">
        <v>1166.5121951219512</v>
      </c>
      <c r="AB627">
        <v>1304.2419277486679</v>
      </c>
      <c r="AC627">
        <v>881.04255319148933</v>
      </c>
      <c r="AD627">
        <v>1789.1349617044937</v>
      </c>
      <c r="AE627" t="s">
        <v>71</v>
      </c>
      <c r="AF627" t="s">
        <v>61</v>
      </c>
      <c r="AG627" t="s">
        <v>71</v>
      </c>
      <c r="AH627" t="s">
        <v>213</v>
      </c>
      <c r="AS627" t="s">
        <v>849</v>
      </c>
      <c r="AT627" t="s">
        <v>849</v>
      </c>
      <c r="AV627" t="s">
        <v>1803</v>
      </c>
      <c r="AW627" t="s">
        <v>1815</v>
      </c>
      <c r="AX627" t="s">
        <v>1805</v>
      </c>
      <c r="AY627" t="s">
        <v>1806</v>
      </c>
      <c r="AZ627" t="s">
        <v>76</v>
      </c>
    </row>
    <row r="628" spans="1:52" x14ac:dyDescent="0.2">
      <c r="A628" t="s">
        <v>1915</v>
      </c>
      <c r="B628" t="s">
        <v>1256</v>
      </c>
      <c r="C628" t="s">
        <v>1916</v>
      </c>
      <c r="D628">
        <v>2020</v>
      </c>
      <c r="E628" t="s">
        <v>1918</v>
      </c>
      <c r="F628" t="s">
        <v>1919</v>
      </c>
      <c r="G628" t="s">
        <v>1920</v>
      </c>
      <c r="H628" t="s">
        <v>1922</v>
      </c>
      <c r="I628" t="s">
        <v>440</v>
      </c>
      <c r="J628" t="s">
        <v>31</v>
      </c>
      <c r="K628" t="s">
        <v>35</v>
      </c>
      <c r="L628" t="s">
        <v>11</v>
      </c>
      <c r="M628" t="s">
        <v>15</v>
      </c>
      <c r="N628">
        <v>1</v>
      </c>
      <c r="O628" s="18" t="s">
        <v>20</v>
      </c>
      <c r="P628" s="18" t="s">
        <v>24</v>
      </c>
      <c r="S628" t="s">
        <v>47</v>
      </c>
      <c r="T628" t="s">
        <v>421</v>
      </c>
      <c r="W628">
        <v>41</v>
      </c>
      <c r="X628">
        <v>41</v>
      </c>
      <c r="AA628">
        <v>1166.5121951219512</v>
      </c>
      <c r="AB628">
        <v>1304.2419277486679</v>
      </c>
      <c r="AC628">
        <v>1704.6097560975609</v>
      </c>
      <c r="AD628">
        <v>2198.8134286251843</v>
      </c>
      <c r="AE628" t="s">
        <v>71</v>
      </c>
      <c r="AF628" t="s">
        <v>61</v>
      </c>
      <c r="AG628" t="s">
        <v>71</v>
      </c>
      <c r="AH628" t="s">
        <v>213</v>
      </c>
      <c r="AS628" t="s">
        <v>849</v>
      </c>
      <c r="AT628" t="s">
        <v>849</v>
      </c>
      <c r="AV628" t="s">
        <v>1803</v>
      </c>
      <c r="AW628" t="s">
        <v>1815</v>
      </c>
      <c r="AX628" t="s">
        <v>1805</v>
      </c>
      <c r="AY628" t="s">
        <v>1806</v>
      </c>
      <c r="AZ628" t="s">
        <v>76</v>
      </c>
    </row>
    <row r="629" spans="1:52" x14ac:dyDescent="0.2">
      <c r="A629" t="s">
        <v>1915</v>
      </c>
      <c r="B629" t="s">
        <v>1256</v>
      </c>
      <c r="C629" t="s">
        <v>1916</v>
      </c>
      <c r="D629">
        <v>2020</v>
      </c>
      <c r="E629" t="s">
        <v>1918</v>
      </c>
      <c r="F629" t="s">
        <v>1919</v>
      </c>
      <c r="G629" t="s">
        <v>1920</v>
      </c>
      <c r="H629" t="s">
        <v>1923</v>
      </c>
      <c r="I629" t="s">
        <v>440</v>
      </c>
      <c r="J629" t="s">
        <v>31</v>
      </c>
      <c r="K629" t="s">
        <v>35</v>
      </c>
      <c r="L629" t="s">
        <v>11</v>
      </c>
      <c r="M629" t="s">
        <v>15</v>
      </c>
      <c r="N629">
        <v>1</v>
      </c>
      <c r="O629" s="18" t="s">
        <v>20</v>
      </c>
      <c r="P629" s="18" t="s">
        <v>24</v>
      </c>
      <c r="S629" t="s">
        <v>47</v>
      </c>
      <c r="T629" t="s">
        <v>421</v>
      </c>
      <c r="W629">
        <v>41</v>
      </c>
      <c r="X629">
        <v>43</v>
      </c>
      <c r="AA629">
        <v>1166.5121951219512</v>
      </c>
      <c r="AB629">
        <v>1304.2419277486679</v>
      </c>
      <c r="AC629">
        <v>790.09302325581393</v>
      </c>
      <c r="AD629">
        <v>1327.4611789490616</v>
      </c>
      <c r="AE629" t="s">
        <v>71</v>
      </c>
      <c r="AF629" t="s">
        <v>61</v>
      </c>
      <c r="AG629" t="s">
        <v>71</v>
      </c>
      <c r="AH629" t="s">
        <v>213</v>
      </c>
      <c r="AS629" t="s">
        <v>849</v>
      </c>
      <c r="AT629" t="s">
        <v>849</v>
      </c>
      <c r="AV629" t="s">
        <v>1803</v>
      </c>
      <c r="AW629" t="s">
        <v>1815</v>
      </c>
      <c r="AX629" t="s">
        <v>1805</v>
      </c>
      <c r="AY629" t="s">
        <v>1806</v>
      </c>
      <c r="AZ629" t="s">
        <v>76</v>
      </c>
    </row>
    <row r="630" spans="1:52" x14ac:dyDescent="0.2">
      <c r="A630" t="s">
        <v>1915</v>
      </c>
      <c r="B630" t="s">
        <v>1256</v>
      </c>
      <c r="C630" t="s">
        <v>1916</v>
      </c>
      <c r="D630">
        <v>2020</v>
      </c>
      <c r="E630" t="s">
        <v>1918</v>
      </c>
      <c r="F630" t="s">
        <v>1919</v>
      </c>
      <c r="G630" t="s">
        <v>1921</v>
      </c>
      <c r="H630" t="s">
        <v>1924</v>
      </c>
      <c r="I630" t="s">
        <v>440</v>
      </c>
      <c r="J630" t="s">
        <v>31</v>
      </c>
      <c r="K630" t="s">
        <v>35</v>
      </c>
      <c r="L630" t="s">
        <v>11</v>
      </c>
      <c r="M630" t="s">
        <v>15</v>
      </c>
      <c r="N630">
        <v>1</v>
      </c>
      <c r="O630" s="18" t="s">
        <v>20</v>
      </c>
      <c r="P630" s="18" t="s">
        <v>24</v>
      </c>
      <c r="S630" t="s">
        <v>47</v>
      </c>
      <c r="T630" t="s">
        <v>421</v>
      </c>
      <c r="W630">
        <v>37</v>
      </c>
      <c r="X630">
        <v>42</v>
      </c>
      <c r="AA630">
        <v>596.11111111111109</v>
      </c>
      <c r="AB630">
        <v>1288.50049676309</v>
      </c>
      <c r="AC630">
        <v>233.65853658536585</v>
      </c>
      <c r="AD630">
        <v>550.93981566755986</v>
      </c>
      <c r="AE630" t="s">
        <v>71</v>
      </c>
      <c r="AF630" t="s">
        <v>61</v>
      </c>
      <c r="AG630" t="s">
        <v>71</v>
      </c>
      <c r="AH630" t="s">
        <v>213</v>
      </c>
      <c r="AS630" t="s">
        <v>849</v>
      </c>
      <c r="AT630" t="s">
        <v>849</v>
      </c>
      <c r="AV630" t="s">
        <v>1803</v>
      </c>
      <c r="AW630" t="s">
        <v>1815</v>
      </c>
      <c r="AX630" t="s">
        <v>1805</v>
      </c>
      <c r="AY630" t="s">
        <v>1806</v>
      </c>
      <c r="AZ630" t="s">
        <v>76</v>
      </c>
    </row>
    <row r="631" spans="1:52" x14ac:dyDescent="0.2">
      <c r="A631" t="s">
        <v>1915</v>
      </c>
      <c r="B631" t="s">
        <v>1256</v>
      </c>
      <c r="C631" t="s">
        <v>1916</v>
      </c>
      <c r="D631">
        <v>2020</v>
      </c>
      <c r="E631" t="s">
        <v>1918</v>
      </c>
      <c r="F631" t="s">
        <v>1919</v>
      </c>
      <c r="G631" t="s">
        <v>1921</v>
      </c>
      <c r="H631" t="s">
        <v>1925</v>
      </c>
      <c r="I631" t="s">
        <v>440</v>
      </c>
      <c r="J631" t="s">
        <v>31</v>
      </c>
      <c r="K631" t="s">
        <v>35</v>
      </c>
      <c r="L631" t="s">
        <v>11</v>
      </c>
      <c r="M631" t="s">
        <v>15</v>
      </c>
      <c r="N631">
        <v>1</v>
      </c>
      <c r="O631" s="18" t="s">
        <v>20</v>
      </c>
      <c r="P631" s="18" t="s">
        <v>24</v>
      </c>
      <c r="S631" t="s">
        <v>47</v>
      </c>
      <c r="T631" t="s">
        <v>421</v>
      </c>
      <c r="W631">
        <v>37</v>
      </c>
      <c r="X631">
        <v>35</v>
      </c>
      <c r="AA631">
        <v>596.11111111111109</v>
      </c>
      <c r="AB631">
        <v>1288.50049676309</v>
      </c>
      <c r="AC631">
        <v>355.77142857142854</v>
      </c>
      <c r="AD631">
        <v>963.66360025362667</v>
      </c>
      <c r="AE631" t="s">
        <v>71</v>
      </c>
      <c r="AF631" t="s">
        <v>61</v>
      </c>
      <c r="AG631" t="s">
        <v>71</v>
      </c>
      <c r="AH631" t="s">
        <v>213</v>
      </c>
      <c r="AS631" t="s">
        <v>849</v>
      </c>
      <c r="AT631" t="s">
        <v>849</v>
      </c>
      <c r="AV631" t="s">
        <v>1803</v>
      </c>
      <c r="AW631" t="s">
        <v>1815</v>
      </c>
      <c r="AX631" t="s">
        <v>1805</v>
      </c>
      <c r="AY631" t="s">
        <v>1806</v>
      </c>
      <c r="AZ631" t="s">
        <v>76</v>
      </c>
    </row>
    <row r="632" spans="1:52" x14ac:dyDescent="0.2">
      <c r="A632" t="s">
        <v>1915</v>
      </c>
      <c r="B632" t="s">
        <v>1256</v>
      </c>
      <c r="C632" t="s">
        <v>1916</v>
      </c>
      <c r="D632">
        <v>2020</v>
      </c>
      <c r="E632" t="s">
        <v>1918</v>
      </c>
      <c r="F632" t="s">
        <v>1919</v>
      </c>
      <c r="G632" t="s">
        <v>1921</v>
      </c>
      <c r="H632" t="s">
        <v>1926</v>
      </c>
      <c r="I632" t="s">
        <v>440</v>
      </c>
      <c r="J632" t="s">
        <v>31</v>
      </c>
      <c r="K632" t="s">
        <v>35</v>
      </c>
      <c r="L632" t="s">
        <v>11</v>
      </c>
      <c r="M632" t="s">
        <v>15</v>
      </c>
      <c r="N632">
        <v>1</v>
      </c>
      <c r="O632" s="18" t="s">
        <v>20</v>
      </c>
      <c r="P632" s="18" t="s">
        <v>24</v>
      </c>
      <c r="S632" t="s">
        <v>47</v>
      </c>
      <c r="T632" t="s">
        <v>421</v>
      </c>
      <c r="W632">
        <v>37</v>
      </c>
      <c r="X632">
        <v>34</v>
      </c>
      <c r="AA632">
        <v>596.11111111111109</v>
      </c>
      <c r="AB632">
        <v>1288.50049676309</v>
      </c>
      <c r="AC632">
        <v>1130.7058823529412</v>
      </c>
      <c r="AD632">
        <v>3063.2771175249927</v>
      </c>
      <c r="AE632" t="s">
        <v>71</v>
      </c>
      <c r="AF632" t="s">
        <v>61</v>
      </c>
      <c r="AG632" t="s">
        <v>71</v>
      </c>
      <c r="AH632" t="s">
        <v>213</v>
      </c>
      <c r="AS632" t="s">
        <v>849</v>
      </c>
      <c r="AT632" t="s">
        <v>849</v>
      </c>
      <c r="AV632" t="s">
        <v>1803</v>
      </c>
      <c r="AW632" t="s">
        <v>1815</v>
      </c>
      <c r="AX632" t="s">
        <v>1805</v>
      </c>
      <c r="AY632" t="s">
        <v>1806</v>
      </c>
      <c r="AZ632" t="s">
        <v>76</v>
      </c>
    </row>
    <row r="633" spans="1:52" x14ac:dyDescent="0.2">
      <c r="A633" t="s">
        <v>1915</v>
      </c>
      <c r="B633" t="s">
        <v>1256</v>
      </c>
      <c r="C633" t="s">
        <v>1916</v>
      </c>
      <c r="D633">
        <v>2020</v>
      </c>
      <c r="E633" t="s">
        <v>1918</v>
      </c>
      <c r="F633" t="s">
        <v>1919</v>
      </c>
      <c r="G633" t="s">
        <v>1920</v>
      </c>
      <c r="H633" t="s">
        <v>1927</v>
      </c>
      <c r="I633" t="s">
        <v>440</v>
      </c>
      <c r="J633" t="s">
        <v>31</v>
      </c>
      <c r="K633" t="s">
        <v>35</v>
      </c>
      <c r="L633" t="s">
        <v>11</v>
      </c>
      <c r="M633" t="s">
        <v>15</v>
      </c>
      <c r="N633">
        <v>1</v>
      </c>
      <c r="O633" s="18" t="s">
        <v>20</v>
      </c>
      <c r="P633" s="18" t="s">
        <v>24</v>
      </c>
      <c r="S633" t="s">
        <v>47</v>
      </c>
      <c r="T633" t="s">
        <v>421</v>
      </c>
      <c r="W633">
        <v>40</v>
      </c>
      <c r="X633">
        <v>36</v>
      </c>
      <c r="Y633">
        <v>39</v>
      </c>
      <c r="Z633">
        <v>33</v>
      </c>
      <c r="AG633" t="s">
        <v>1790</v>
      </c>
      <c r="AH633" t="s">
        <v>213</v>
      </c>
      <c r="AS633" t="s">
        <v>849</v>
      </c>
      <c r="AT633" t="s">
        <v>849</v>
      </c>
      <c r="AV633" t="s">
        <v>1803</v>
      </c>
      <c r="AW633" t="s">
        <v>1815</v>
      </c>
      <c r="AX633" t="s">
        <v>1805</v>
      </c>
      <c r="AY633" t="s">
        <v>1806</v>
      </c>
      <c r="AZ633" t="s">
        <v>76</v>
      </c>
    </row>
    <row r="634" spans="1:52" x14ac:dyDescent="0.2">
      <c r="A634" t="s">
        <v>1915</v>
      </c>
      <c r="B634" t="s">
        <v>1256</v>
      </c>
      <c r="C634" t="s">
        <v>1916</v>
      </c>
      <c r="D634">
        <v>2020</v>
      </c>
      <c r="E634" t="s">
        <v>1918</v>
      </c>
      <c r="F634" t="s">
        <v>1919</v>
      </c>
      <c r="G634" t="s">
        <v>1920</v>
      </c>
      <c r="H634" t="s">
        <v>1928</v>
      </c>
      <c r="I634" t="s">
        <v>440</v>
      </c>
      <c r="J634" t="s">
        <v>31</v>
      </c>
      <c r="K634" t="s">
        <v>35</v>
      </c>
      <c r="L634" t="s">
        <v>11</v>
      </c>
      <c r="M634" t="s">
        <v>15</v>
      </c>
      <c r="N634">
        <v>1</v>
      </c>
      <c r="O634" s="18" t="s">
        <v>20</v>
      </c>
      <c r="P634" s="18" t="s">
        <v>24</v>
      </c>
      <c r="S634" t="s">
        <v>47</v>
      </c>
      <c r="T634" t="s">
        <v>421</v>
      </c>
      <c r="W634">
        <v>40</v>
      </c>
      <c r="X634">
        <v>41</v>
      </c>
      <c r="Y634">
        <v>39</v>
      </c>
      <c r="Z634">
        <v>37</v>
      </c>
      <c r="AG634" t="s">
        <v>1790</v>
      </c>
      <c r="AH634" t="s">
        <v>213</v>
      </c>
      <c r="AS634" t="s">
        <v>849</v>
      </c>
      <c r="AT634" t="s">
        <v>849</v>
      </c>
      <c r="AV634" t="s">
        <v>1803</v>
      </c>
      <c r="AW634" t="s">
        <v>1815</v>
      </c>
      <c r="AX634" t="s">
        <v>1805</v>
      </c>
      <c r="AY634" t="s">
        <v>1806</v>
      </c>
      <c r="AZ634" t="s">
        <v>76</v>
      </c>
    </row>
    <row r="635" spans="1:52" x14ac:dyDescent="0.2">
      <c r="A635" t="s">
        <v>1915</v>
      </c>
      <c r="B635" t="s">
        <v>1256</v>
      </c>
      <c r="C635" t="s">
        <v>1916</v>
      </c>
      <c r="D635">
        <v>2020</v>
      </c>
      <c r="E635" t="s">
        <v>1918</v>
      </c>
      <c r="F635" t="s">
        <v>1919</v>
      </c>
      <c r="G635" t="s">
        <v>1920</v>
      </c>
      <c r="H635" t="s">
        <v>1929</v>
      </c>
      <c r="I635" t="s">
        <v>440</v>
      </c>
      <c r="J635" t="s">
        <v>31</v>
      </c>
      <c r="K635" t="s">
        <v>35</v>
      </c>
      <c r="L635" t="s">
        <v>11</v>
      </c>
      <c r="M635" t="s">
        <v>15</v>
      </c>
      <c r="N635">
        <v>1</v>
      </c>
      <c r="O635" s="18" t="s">
        <v>20</v>
      </c>
      <c r="P635" s="18" t="s">
        <v>24</v>
      </c>
      <c r="S635" t="s">
        <v>47</v>
      </c>
      <c r="T635" t="s">
        <v>421</v>
      </c>
      <c r="W635">
        <v>40</v>
      </c>
      <c r="X635">
        <v>41</v>
      </c>
      <c r="Y635">
        <v>39</v>
      </c>
      <c r="Z635">
        <v>35</v>
      </c>
      <c r="AG635" t="s">
        <v>1790</v>
      </c>
      <c r="AH635" t="s">
        <v>213</v>
      </c>
      <c r="AS635" t="s">
        <v>849</v>
      </c>
      <c r="AT635" t="s">
        <v>849</v>
      </c>
      <c r="AV635" t="s">
        <v>1803</v>
      </c>
      <c r="AW635" t="s">
        <v>1815</v>
      </c>
      <c r="AX635" t="s">
        <v>1805</v>
      </c>
      <c r="AY635" t="s">
        <v>1806</v>
      </c>
      <c r="AZ635" t="s">
        <v>76</v>
      </c>
    </row>
    <row r="636" spans="1:52" x14ac:dyDescent="0.2">
      <c r="A636" t="s">
        <v>1915</v>
      </c>
      <c r="B636" t="s">
        <v>1256</v>
      </c>
      <c r="C636" t="s">
        <v>1916</v>
      </c>
      <c r="D636">
        <v>2020</v>
      </c>
      <c r="E636" t="s">
        <v>1918</v>
      </c>
      <c r="F636" t="s">
        <v>1919</v>
      </c>
      <c r="G636" t="s">
        <v>1921</v>
      </c>
      <c r="H636" t="s">
        <v>1930</v>
      </c>
      <c r="I636" t="s">
        <v>440</v>
      </c>
      <c r="J636" t="s">
        <v>31</v>
      </c>
      <c r="K636" t="s">
        <v>35</v>
      </c>
      <c r="L636" t="s">
        <v>11</v>
      </c>
      <c r="M636" t="s">
        <v>15</v>
      </c>
      <c r="N636">
        <v>1</v>
      </c>
      <c r="O636" s="18" t="s">
        <v>20</v>
      </c>
      <c r="P636" s="18" t="s">
        <v>24</v>
      </c>
      <c r="S636" t="s">
        <v>47</v>
      </c>
      <c r="T636" t="s">
        <v>421</v>
      </c>
      <c r="W636">
        <v>32</v>
      </c>
      <c r="X636">
        <v>23</v>
      </c>
      <c r="Y636">
        <v>25</v>
      </c>
      <c r="Z636">
        <v>18</v>
      </c>
      <c r="AG636" t="s">
        <v>1790</v>
      </c>
      <c r="AH636" t="s">
        <v>213</v>
      </c>
      <c r="AS636" t="s">
        <v>849</v>
      </c>
      <c r="AT636" t="s">
        <v>849</v>
      </c>
      <c r="AV636" t="s">
        <v>1803</v>
      </c>
      <c r="AW636" t="s">
        <v>1815</v>
      </c>
      <c r="AX636" t="s">
        <v>1805</v>
      </c>
      <c r="AY636" t="s">
        <v>1806</v>
      </c>
      <c r="AZ636" t="s">
        <v>76</v>
      </c>
    </row>
    <row r="637" spans="1:52" x14ac:dyDescent="0.2">
      <c r="A637" t="s">
        <v>1915</v>
      </c>
      <c r="B637" t="s">
        <v>1256</v>
      </c>
      <c r="C637" t="s">
        <v>1916</v>
      </c>
      <c r="D637">
        <v>2020</v>
      </c>
      <c r="E637" t="s">
        <v>1918</v>
      </c>
      <c r="F637" t="s">
        <v>1919</v>
      </c>
      <c r="G637" t="s">
        <v>1921</v>
      </c>
      <c r="H637" t="s">
        <v>1931</v>
      </c>
      <c r="I637" t="s">
        <v>440</v>
      </c>
      <c r="J637" t="s">
        <v>31</v>
      </c>
      <c r="K637" t="s">
        <v>35</v>
      </c>
      <c r="L637" t="s">
        <v>11</v>
      </c>
      <c r="M637" t="s">
        <v>15</v>
      </c>
      <c r="N637">
        <v>1</v>
      </c>
      <c r="O637" s="18" t="s">
        <v>20</v>
      </c>
      <c r="P637" s="18" t="s">
        <v>24</v>
      </c>
      <c r="S637" t="s">
        <v>47</v>
      </c>
      <c r="T637" t="s">
        <v>421</v>
      </c>
      <c r="W637">
        <v>32</v>
      </c>
      <c r="X637">
        <v>33</v>
      </c>
      <c r="Y637">
        <v>25</v>
      </c>
      <c r="Z637">
        <v>27</v>
      </c>
      <c r="AG637" t="s">
        <v>1790</v>
      </c>
      <c r="AH637" t="s">
        <v>213</v>
      </c>
      <c r="AS637" t="s">
        <v>849</v>
      </c>
      <c r="AT637" t="s">
        <v>849</v>
      </c>
      <c r="AV637" t="s">
        <v>1803</v>
      </c>
      <c r="AW637" t="s">
        <v>1815</v>
      </c>
      <c r="AX637" t="s">
        <v>1805</v>
      </c>
      <c r="AY637" t="s">
        <v>1806</v>
      </c>
      <c r="AZ637" t="s">
        <v>76</v>
      </c>
    </row>
    <row r="638" spans="1:52" x14ac:dyDescent="0.2">
      <c r="A638" t="s">
        <v>1915</v>
      </c>
      <c r="B638" t="s">
        <v>1256</v>
      </c>
      <c r="C638" t="s">
        <v>1916</v>
      </c>
      <c r="D638">
        <v>2020</v>
      </c>
      <c r="E638" t="s">
        <v>1918</v>
      </c>
      <c r="F638" t="s">
        <v>1919</v>
      </c>
      <c r="G638" t="s">
        <v>1921</v>
      </c>
      <c r="H638" t="s">
        <v>1932</v>
      </c>
      <c r="I638" t="s">
        <v>440</v>
      </c>
      <c r="J638" t="s">
        <v>31</v>
      </c>
      <c r="K638" t="s">
        <v>35</v>
      </c>
      <c r="L638" t="s">
        <v>11</v>
      </c>
      <c r="M638" t="s">
        <v>15</v>
      </c>
      <c r="N638">
        <v>1</v>
      </c>
      <c r="O638" s="18" t="s">
        <v>20</v>
      </c>
      <c r="P638" s="18" t="s">
        <v>24</v>
      </c>
      <c r="S638" t="s">
        <v>47</v>
      </c>
      <c r="T638" t="s">
        <v>421</v>
      </c>
      <c r="W638">
        <v>32</v>
      </c>
      <c r="X638">
        <v>31</v>
      </c>
      <c r="Y638">
        <v>25</v>
      </c>
      <c r="Z638">
        <v>27</v>
      </c>
      <c r="AG638" t="s">
        <v>1790</v>
      </c>
      <c r="AH638" t="s">
        <v>213</v>
      </c>
      <c r="AS638" t="s">
        <v>849</v>
      </c>
      <c r="AT638" t="s">
        <v>849</v>
      </c>
      <c r="AV638" t="s">
        <v>1803</v>
      </c>
      <c r="AW638" t="s">
        <v>1815</v>
      </c>
      <c r="AX638" t="s">
        <v>1805</v>
      </c>
      <c r="AY638" t="s">
        <v>1806</v>
      </c>
      <c r="AZ638" t="s">
        <v>76</v>
      </c>
    </row>
    <row r="639" spans="1:52" x14ac:dyDescent="0.2">
      <c r="A639" t="s">
        <v>1933</v>
      </c>
      <c r="B639" t="s">
        <v>1934</v>
      </c>
      <c r="C639" t="s">
        <v>1935</v>
      </c>
      <c r="D639">
        <v>2024</v>
      </c>
      <c r="E639" t="s">
        <v>1936</v>
      </c>
      <c r="F639" t="s">
        <v>1937</v>
      </c>
      <c r="G639" t="s">
        <v>1938</v>
      </c>
      <c r="H639" t="s">
        <v>1939</v>
      </c>
      <c r="I639" t="s">
        <v>1940</v>
      </c>
      <c r="J639" t="s">
        <v>83</v>
      </c>
      <c r="K639" t="s">
        <v>35</v>
      </c>
      <c r="L639" t="s">
        <v>11</v>
      </c>
      <c r="M639" t="s">
        <v>14</v>
      </c>
      <c r="N639">
        <v>1</v>
      </c>
      <c r="O639" s="18" t="s">
        <v>20</v>
      </c>
      <c r="P639" s="18" t="s">
        <v>1824</v>
      </c>
      <c r="S639" t="s">
        <v>47</v>
      </c>
      <c r="T639" t="s">
        <v>421</v>
      </c>
      <c r="W639">
        <v>8</v>
      </c>
      <c r="X639">
        <v>2</v>
      </c>
      <c r="AA639">
        <v>13.65142917</v>
      </c>
      <c r="AB639">
        <v>4.4118917870000001</v>
      </c>
      <c r="AC639">
        <v>40.64445834</v>
      </c>
      <c r="AD639">
        <v>16.540017219999999</v>
      </c>
      <c r="AE639" t="s">
        <v>71</v>
      </c>
      <c r="AF639" t="s">
        <v>61</v>
      </c>
      <c r="AG639" t="s">
        <v>71</v>
      </c>
      <c r="AH639" t="s">
        <v>213</v>
      </c>
      <c r="AS639" t="s">
        <v>849</v>
      </c>
      <c r="AT639" t="s">
        <v>222</v>
      </c>
      <c r="AV639" t="s">
        <v>1812</v>
      </c>
      <c r="AW639" t="s">
        <v>1807</v>
      </c>
      <c r="AX639" t="s">
        <v>1808</v>
      </c>
      <c r="AZ639" t="s">
        <v>1813</v>
      </c>
    </row>
    <row r="640" spans="1:52" x14ac:dyDescent="0.2">
      <c r="A640" t="s">
        <v>1933</v>
      </c>
      <c r="B640" t="s">
        <v>1934</v>
      </c>
      <c r="C640" t="s">
        <v>1935</v>
      </c>
      <c r="D640">
        <v>2024</v>
      </c>
      <c r="E640" t="s">
        <v>1936</v>
      </c>
      <c r="F640" t="s">
        <v>1937</v>
      </c>
      <c r="G640" t="s">
        <v>1938</v>
      </c>
      <c r="H640" t="s">
        <v>1941</v>
      </c>
      <c r="I640" t="s">
        <v>1940</v>
      </c>
      <c r="J640" t="s">
        <v>83</v>
      </c>
      <c r="K640" t="s">
        <v>35</v>
      </c>
      <c r="L640" t="s">
        <v>11</v>
      </c>
      <c r="M640" t="s">
        <v>14</v>
      </c>
      <c r="N640">
        <v>1</v>
      </c>
      <c r="O640" s="18" t="s">
        <v>20</v>
      </c>
      <c r="P640" s="18" t="s">
        <v>1824</v>
      </c>
      <c r="S640" t="s">
        <v>47</v>
      </c>
      <c r="T640" t="s">
        <v>421</v>
      </c>
      <c r="W640">
        <v>26</v>
      </c>
      <c r="X640">
        <v>9</v>
      </c>
      <c r="Y640">
        <v>21</v>
      </c>
      <c r="Z640">
        <v>0</v>
      </c>
      <c r="AG640" t="s">
        <v>1790</v>
      </c>
      <c r="AH640" t="s">
        <v>213</v>
      </c>
      <c r="AS640" t="s">
        <v>849</v>
      </c>
      <c r="AT640" t="s">
        <v>849</v>
      </c>
      <c r="AV640" t="s">
        <v>1812</v>
      </c>
      <c r="AW640" t="s">
        <v>1807</v>
      </c>
      <c r="AX640" t="s">
        <v>1808</v>
      </c>
      <c r="AZ640" t="s">
        <v>1813</v>
      </c>
    </row>
    <row r="641" spans="1:52" x14ac:dyDescent="0.2">
      <c r="A641" t="s">
        <v>1933</v>
      </c>
      <c r="B641" t="s">
        <v>1934</v>
      </c>
      <c r="C641" t="s">
        <v>1935</v>
      </c>
      <c r="D641">
        <v>2024</v>
      </c>
      <c r="E641" t="s">
        <v>1936</v>
      </c>
      <c r="F641" t="s">
        <v>1937</v>
      </c>
      <c r="G641" t="s">
        <v>1938</v>
      </c>
      <c r="H641" t="s">
        <v>1942</v>
      </c>
      <c r="I641" t="s">
        <v>1940</v>
      </c>
      <c r="J641" t="s">
        <v>83</v>
      </c>
      <c r="K641" t="s">
        <v>35</v>
      </c>
      <c r="L641" t="s">
        <v>11</v>
      </c>
      <c r="M641" t="s">
        <v>14</v>
      </c>
      <c r="N641">
        <v>1</v>
      </c>
      <c r="O641" s="18" t="s">
        <v>20</v>
      </c>
      <c r="P641" s="18" t="s">
        <v>1824</v>
      </c>
      <c r="S641" t="s">
        <v>47</v>
      </c>
      <c r="T641" t="s">
        <v>421</v>
      </c>
      <c r="W641">
        <v>9</v>
      </c>
      <c r="X641">
        <v>36</v>
      </c>
      <c r="AA641">
        <v>11.66666667</v>
      </c>
      <c r="AB641">
        <v>29.064583259999999</v>
      </c>
      <c r="AC641">
        <v>4.25</v>
      </c>
      <c r="AD641">
        <v>7.537998977</v>
      </c>
      <c r="AE641" t="s">
        <v>71</v>
      </c>
      <c r="AF641" t="s">
        <v>61</v>
      </c>
      <c r="AG641" t="s">
        <v>71</v>
      </c>
      <c r="AH641" t="s">
        <v>213</v>
      </c>
      <c r="AS641" t="s">
        <v>849</v>
      </c>
      <c r="AT641" t="s">
        <v>222</v>
      </c>
      <c r="AV641" t="s">
        <v>1812</v>
      </c>
      <c r="AW641" t="s">
        <v>1807</v>
      </c>
      <c r="AX641" t="s">
        <v>1808</v>
      </c>
      <c r="AZ641" t="s">
        <v>1813</v>
      </c>
    </row>
    <row r="642" spans="1:52" x14ac:dyDescent="0.2">
      <c r="A642" t="s">
        <v>1933</v>
      </c>
      <c r="B642" t="s">
        <v>1934</v>
      </c>
      <c r="C642" t="s">
        <v>1935</v>
      </c>
      <c r="D642">
        <v>2024</v>
      </c>
      <c r="E642" t="s">
        <v>1936</v>
      </c>
      <c r="F642" t="s">
        <v>1937</v>
      </c>
      <c r="G642" t="s">
        <v>1938</v>
      </c>
      <c r="H642" t="s">
        <v>1943</v>
      </c>
      <c r="I642" t="s">
        <v>1940</v>
      </c>
      <c r="J642" t="s">
        <v>83</v>
      </c>
      <c r="K642" t="s">
        <v>35</v>
      </c>
      <c r="L642" t="s">
        <v>11</v>
      </c>
      <c r="M642" t="s">
        <v>14</v>
      </c>
      <c r="N642">
        <v>1</v>
      </c>
      <c r="O642" s="18" t="s">
        <v>20</v>
      </c>
      <c r="P642" s="18" t="s">
        <v>1824</v>
      </c>
      <c r="S642" t="s">
        <v>47</v>
      </c>
      <c r="T642" t="s">
        <v>421</v>
      </c>
      <c r="W642">
        <v>8</v>
      </c>
      <c r="X642">
        <v>11</v>
      </c>
      <c r="AA642">
        <v>1</v>
      </c>
      <c r="AB642">
        <v>2.0701966780270626</v>
      </c>
      <c r="AC642">
        <v>6.7272727272727275</v>
      </c>
      <c r="AD642">
        <v>9.6134375651055137</v>
      </c>
      <c r="AE642" t="s">
        <v>71</v>
      </c>
      <c r="AF642" t="s">
        <v>61</v>
      </c>
      <c r="AG642" t="s">
        <v>71</v>
      </c>
      <c r="AH642" t="s">
        <v>213</v>
      </c>
      <c r="AS642" t="s">
        <v>849</v>
      </c>
      <c r="AT642" t="s">
        <v>222</v>
      </c>
      <c r="AV642" t="s">
        <v>1812</v>
      </c>
      <c r="AW642" t="s">
        <v>1807</v>
      </c>
      <c r="AX642" t="s">
        <v>1808</v>
      </c>
      <c r="AZ642" t="s">
        <v>1813</v>
      </c>
    </row>
    <row r="643" spans="1:52" x14ac:dyDescent="0.2">
      <c r="A643" t="s">
        <v>1933</v>
      </c>
      <c r="B643" t="s">
        <v>1934</v>
      </c>
      <c r="C643" t="s">
        <v>1935</v>
      </c>
      <c r="D643">
        <v>2024</v>
      </c>
      <c r="E643" t="s">
        <v>1936</v>
      </c>
      <c r="F643" t="s">
        <v>1937</v>
      </c>
      <c r="G643" t="s">
        <v>1938</v>
      </c>
      <c r="H643" t="s">
        <v>1944</v>
      </c>
      <c r="I643" t="s">
        <v>1940</v>
      </c>
      <c r="J643" t="s">
        <v>83</v>
      </c>
      <c r="K643" t="s">
        <v>35</v>
      </c>
      <c r="L643" t="s">
        <v>11</v>
      </c>
      <c r="M643" t="s">
        <v>14</v>
      </c>
      <c r="N643">
        <v>1</v>
      </c>
      <c r="O643" s="18" t="s">
        <v>20</v>
      </c>
      <c r="P643" s="18" t="s">
        <v>1824</v>
      </c>
      <c r="S643" t="s">
        <v>47</v>
      </c>
      <c r="T643" t="s">
        <v>421</v>
      </c>
      <c r="W643">
        <v>8</v>
      </c>
      <c r="X643">
        <v>11</v>
      </c>
      <c r="AA643">
        <v>0.625</v>
      </c>
      <c r="AB643">
        <v>1.0606601717798212</v>
      </c>
      <c r="AC643">
        <v>7.1818181818181817</v>
      </c>
      <c r="AD643">
        <v>14.756816606695237</v>
      </c>
      <c r="AE643" t="s">
        <v>71</v>
      </c>
      <c r="AF643" t="s">
        <v>61</v>
      </c>
      <c r="AG643" t="s">
        <v>71</v>
      </c>
      <c r="AH643" t="s">
        <v>213</v>
      </c>
      <c r="AS643" t="s">
        <v>849</v>
      </c>
      <c r="AT643" t="s">
        <v>222</v>
      </c>
      <c r="AV643" t="s">
        <v>1812</v>
      </c>
      <c r="AW643" t="s">
        <v>1807</v>
      </c>
      <c r="AX643" t="s">
        <v>1808</v>
      </c>
      <c r="AZ643" t="s">
        <v>1813</v>
      </c>
    </row>
    <row r="644" spans="1:52" x14ac:dyDescent="0.2">
      <c r="A644" t="s">
        <v>1933</v>
      </c>
      <c r="B644" t="s">
        <v>1934</v>
      </c>
      <c r="C644" t="s">
        <v>1935</v>
      </c>
      <c r="D644">
        <v>2024</v>
      </c>
      <c r="E644" t="s">
        <v>1936</v>
      </c>
      <c r="F644" t="s">
        <v>1937</v>
      </c>
      <c r="G644" t="s">
        <v>1938</v>
      </c>
      <c r="H644" t="s">
        <v>1945</v>
      </c>
      <c r="I644" t="s">
        <v>1940</v>
      </c>
      <c r="J644" t="s">
        <v>83</v>
      </c>
      <c r="K644" t="s">
        <v>35</v>
      </c>
      <c r="L644" t="s">
        <v>11</v>
      </c>
      <c r="M644" t="s">
        <v>14</v>
      </c>
      <c r="N644">
        <v>1</v>
      </c>
      <c r="O644" s="18" t="s">
        <v>20</v>
      </c>
      <c r="P644" s="18" t="s">
        <v>1042</v>
      </c>
      <c r="S644" t="s">
        <v>47</v>
      </c>
      <c r="T644" t="s">
        <v>421</v>
      </c>
      <c r="W644">
        <v>8</v>
      </c>
      <c r="X644">
        <v>2</v>
      </c>
      <c r="AA644">
        <v>5780.1837500000001</v>
      </c>
      <c r="AB644">
        <v>410.48957463349171</v>
      </c>
      <c r="AC644">
        <v>4938.37</v>
      </c>
      <c r="AD644">
        <v>481.72073732402941</v>
      </c>
      <c r="AE644" t="s">
        <v>71</v>
      </c>
      <c r="AF644" t="s">
        <v>61</v>
      </c>
      <c r="AG644" t="s">
        <v>71</v>
      </c>
      <c r="AH644" t="s">
        <v>213</v>
      </c>
      <c r="AS644" t="s">
        <v>849</v>
      </c>
      <c r="AT644" t="s">
        <v>849</v>
      </c>
      <c r="AV644" t="s">
        <v>1812</v>
      </c>
      <c r="AW644" t="s">
        <v>1807</v>
      </c>
      <c r="AX644" t="s">
        <v>1808</v>
      </c>
      <c r="AZ644" t="s">
        <v>1813</v>
      </c>
    </row>
    <row r="645" spans="1:52" x14ac:dyDescent="0.2">
      <c r="A645" t="s">
        <v>1933</v>
      </c>
      <c r="B645" t="s">
        <v>1934</v>
      </c>
      <c r="C645" t="s">
        <v>1935</v>
      </c>
      <c r="D645">
        <v>2024</v>
      </c>
      <c r="E645" t="s">
        <v>1936</v>
      </c>
      <c r="F645" t="s">
        <v>1937</v>
      </c>
      <c r="G645" t="s">
        <v>1947</v>
      </c>
      <c r="H645" t="s">
        <v>1946</v>
      </c>
      <c r="I645" t="s">
        <v>1940</v>
      </c>
      <c r="J645" t="s">
        <v>83</v>
      </c>
      <c r="K645" t="s">
        <v>35</v>
      </c>
      <c r="L645" t="s">
        <v>11</v>
      </c>
      <c r="M645" t="s">
        <v>14</v>
      </c>
      <c r="N645">
        <v>1</v>
      </c>
      <c r="O645" s="18" t="s">
        <v>21</v>
      </c>
      <c r="P645" s="18" t="s">
        <v>78</v>
      </c>
      <c r="S645" t="s">
        <v>47</v>
      </c>
      <c r="T645" t="s">
        <v>421</v>
      </c>
      <c r="W645">
        <v>5</v>
      </c>
      <c r="X645">
        <v>10</v>
      </c>
      <c r="AA645">
        <v>0.37364049370409724</v>
      </c>
      <c r="AB645">
        <v>0.116599884</v>
      </c>
      <c r="AC645">
        <v>0.2450763895081951</v>
      </c>
      <c r="AD645">
        <v>9.8287558790861707E-2</v>
      </c>
      <c r="AE645" t="s">
        <v>71</v>
      </c>
      <c r="AF645" t="s">
        <v>61</v>
      </c>
      <c r="AG645" t="s">
        <v>71</v>
      </c>
      <c r="AH645" t="s">
        <v>213</v>
      </c>
      <c r="AS645" t="s">
        <v>849</v>
      </c>
      <c r="AT645" t="s">
        <v>849</v>
      </c>
      <c r="AV645" t="s">
        <v>1812</v>
      </c>
      <c r="AW645" t="s">
        <v>1807</v>
      </c>
      <c r="AX645" t="s">
        <v>1808</v>
      </c>
      <c r="AZ645" t="s">
        <v>1813</v>
      </c>
    </row>
    <row r="646" spans="1:52" x14ac:dyDescent="0.2">
      <c r="A646" t="s">
        <v>1955</v>
      </c>
      <c r="B646" t="s">
        <v>1956</v>
      </c>
      <c r="C646" t="s">
        <v>1957</v>
      </c>
      <c r="D646">
        <v>2024</v>
      </c>
      <c r="E646" t="s">
        <v>1951</v>
      </c>
      <c r="F646" t="s">
        <v>1952</v>
      </c>
      <c r="G646" t="s">
        <v>1953</v>
      </c>
      <c r="H646" t="s">
        <v>1954</v>
      </c>
      <c r="I646" t="s">
        <v>2268</v>
      </c>
      <c r="J646" t="s">
        <v>32</v>
      </c>
      <c r="K646" t="s">
        <v>35</v>
      </c>
      <c r="L646" t="s">
        <v>12</v>
      </c>
      <c r="O646" s="18" t="s">
        <v>76</v>
      </c>
      <c r="P646" s="18" t="s">
        <v>1042</v>
      </c>
      <c r="Q646" t="s">
        <v>38</v>
      </c>
      <c r="R646" t="s">
        <v>43</v>
      </c>
      <c r="S646" t="s">
        <v>47</v>
      </c>
      <c r="T646" t="s">
        <v>421</v>
      </c>
      <c r="W646">
        <v>32</v>
      </c>
      <c r="X646">
        <v>37</v>
      </c>
      <c r="AA646" s="13">
        <v>106.04015625</v>
      </c>
      <c r="AB646" s="13">
        <v>11.244903255825138</v>
      </c>
      <c r="AC646" s="13">
        <v>106.99051351351349</v>
      </c>
      <c r="AD646" s="13">
        <v>13.652910539559063</v>
      </c>
      <c r="AE646" t="s">
        <v>71</v>
      </c>
      <c r="AF646" t="s">
        <v>61</v>
      </c>
      <c r="AG646" t="s">
        <v>71</v>
      </c>
      <c r="AH646" t="s">
        <v>213</v>
      </c>
      <c r="AS646" t="s">
        <v>849</v>
      </c>
      <c r="AT646" t="s">
        <v>222</v>
      </c>
      <c r="AV646" t="s">
        <v>1812</v>
      </c>
      <c r="AW646" t="s">
        <v>1815</v>
      </c>
      <c r="AX646" t="s">
        <v>1805</v>
      </c>
    </row>
    <row r="647" spans="1:52" x14ac:dyDescent="0.2">
      <c r="A647" t="s">
        <v>1955</v>
      </c>
      <c r="B647" t="s">
        <v>1956</v>
      </c>
      <c r="C647" t="s">
        <v>1957</v>
      </c>
      <c r="D647">
        <v>2024</v>
      </c>
      <c r="E647" t="s">
        <v>1951</v>
      </c>
      <c r="F647" t="s">
        <v>1952</v>
      </c>
      <c r="G647" t="s">
        <v>1953</v>
      </c>
      <c r="H647" t="s">
        <v>1959</v>
      </c>
      <c r="I647" t="s">
        <v>2268</v>
      </c>
      <c r="J647" t="s">
        <v>32</v>
      </c>
      <c r="K647" t="s">
        <v>35</v>
      </c>
      <c r="L647" t="s">
        <v>12</v>
      </c>
      <c r="O647" s="18" t="s">
        <v>76</v>
      </c>
      <c r="P647" s="18" t="s">
        <v>1042</v>
      </c>
      <c r="Q647" t="s">
        <v>38</v>
      </c>
      <c r="R647" t="s">
        <v>43</v>
      </c>
      <c r="S647" t="s">
        <v>47</v>
      </c>
      <c r="T647" t="s">
        <v>421</v>
      </c>
      <c r="W647">
        <v>31</v>
      </c>
      <c r="X647">
        <v>39</v>
      </c>
      <c r="AA647" s="13">
        <v>0.2421903225806451</v>
      </c>
      <c r="AB647" s="13">
        <v>8.9254170228767638E-2</v>
      </c>
      <c r="AC647" s="13">
        <v>0.23751538461538471</v>
      </c>
      <c r="AD647" s="13">
        <v>7.6293855510545142E-2</v>
      </c>
      <c r="AE647" t="s">
        <v>71</v>
      </c>
      <c r="AF647" t="s">
        <v>61</v>
      </c>
      <c r="AG647" t="s">
        <v>71</v>
      </c>
      <c r="AH647" t="s">
        <v>213</v>
      </c>
      <c r="AS647" t="s">
        <v>849</v>
      </c>
      <c r="AT647" t="s">
        <v>222</v>
      </c>
      <c r="AV647" t="s">
        <v>1812</v>
      </c>
      <c r="AW647" t="s">
        <v>1815</v>
      </c>
      <c r="AX647" t="s">
        <v>1805</v>
      </c>
    </row>
    <row r="648" spans="1:52" x14ac:dyDescent="0.2">
      <c r="A648" t="s">
        <v>1955</v>
      </c>
      <c r="B648" t="s">
        <v>1956</v>
      </c>
      <c r="C648" t="s">
        <v>1957</v>
      </c>
      <c r="D648">
        <v>2024</v>
      </c>
      <c r="E648" t="s">
        <v>1951</v>
      </c>
      <c r="F648" t="s">
        <v>1958</v>
      </c>
      <c r="G648" t="s">
        <v>1962</v>
      </c>
      <c r="H648" t="s">
        <v>1960</v>
      </c>
      <c r="I648" t="s">
        <v>2267</v>
      </c>
      <c r="J648" t="s">
        <v>32</v>
      </c>
      <c r="K648" t="s">
        <v>35</v>
      </c>
      <c r="L648" t="s">
        <v>12</v>
      </c>
      <c r="O648" s="18" t="s">
        <v>76</v>
      </c>
      <c r="P648" s="18" t="s">
        <v>1042</v>
      </c>
      <c r="Q648" t="s">
        <v>38</v>
      </c>
      <c r="R648" t="s">
        <v>43</v>
      </c>
      <c r="S648" t="s">
        <v>47</v>
      </c>
      <c r="T648" t="s">
        <v>421</v>
      </c>
      <c r="W648">
        <v>41</v>
      </c>
      <c r="X648">
        <v>40</v>
      </c>
      <c r="AA648" s="13">
        <v>96.790536585365842</v>
      </c>
      <c r="AB648" s="13">
        <v>99.12715</v>
      </c>
      <c r="AC648" s="13">
        <v>24.404529374787725</v>
      </c>
      <c r="AD648" s="13">
        <v>21.564172729677978</v>
      </c>
      <c r="AE648" t="s">
        <v>71</v>
      </c>
      <c r="AF648" t="s">
        <v>61</v>
      </c>
      <c r="AG648" t="s">
        <v>71</v>
      </c>
      <c r="AH648" t="s">
        <v>213</v>
      </c>
      <c r="AS648" t="s">
        <v>849</v>
      </c>
      <c r="AT648" t="s">
        <v>222</v>
      </c>
      <c r="AV648" t="s">
        <v>1812</v>
      </c>
      <c r="AW648" t="s">
        <v>1815</v>
      </c>
      <c r="AX648" t="s">
        <v>1805</v>
      </c>
      <c r="AZ648" t="s">
        <v>1813</v>
      </c>
    </row>
    <row r="649" spans="1:52" x14ac:dyDescent="0.2">
      <c r="A649" t="s">
        <v>1955</v>
      </c>
      <c r="B649" t="s">
        <v>1956</v>
      </c>
      <c r="C649" t="s">
        <v>1957</v>
      </c>
      <c r="D649">
        <v>2024</v>
      </c>
      <c r="E649" t="s">
        <v>1951</v>
      </c>
      <c r="F649" t="s">
        <v>1958</v>
      </c>
      <c r="G649" t="s">
        <v>1962</v>
      </c>
      <c r="H649" t="s">
        <v>1961</v>
      </c>
      <c r="I649" t="s">
        <v>2267</v>
      </c>
      <c r="J649" t="s">
        <v>32</v>
      </c>
      <c r="K649" t="s">
        <v>35</v>
      </c>
      <c r="L649" t="s">
        <v>12</v>
      </c>
      <c r="O649" s="18" t="s">
        <v>76</v>
      </c>
      <c r="P649" s="18" t="s">
        <v>1042</v>
      </c>
      <c r="Q649" t="s">
        <v>38</v>
      </c>
      <c r="R649" t="s">
        <v>43</v>
      </c>
      <c r="S649" t="s">
        <v>47</v>
      </c>
      <c r="T649" t="s">
        <v>421</v>
      </c>
      <c r="W649">
        <v>40</v>
      </c>
      <c r="X649">
        <v>39</v>
      </c>
      <c r="AA649" s="13">
        <v>0.27940750000000003</v>
      </c>
      <c r="AB649" s="13">
        <v>7.4132830844197098E-2</v>
      </c>
      <c r="AC649" s="13">
        <v>0.28120256410256406</v>
      </c>
      <c r="AD649" s="13">
        <v>8.1519740867762286E-2</v>
      </c>
      <c r="AE649" t="s">
        <v>71</v>
      </c>
      <c r="AF649" t="s">
        <v>61</v>
      </c>
      <c r="AG649" t="s">
        <v>71</v>
      </c>
      <c r="AH649" t="s">
        <v>213</v>
      </c>
      <c r="AS649" t="s">
        <v>849</v>
      </c>
      <c r="AT649" t="s">
        <v>222</v>
      </c>
      <c r="AV649" t="s">
        <v>1812</v>
      </c>
      <c r="AW649" t="s">
        <v>1815</v>
      </c>
      <c r="AX649" t="s">
        <v>1805</v>
      </c>
      <c r="AZ649" t="s">
        <v>1813</v>
      </c>
    </row>
    <row r="650" spans="1:52" x14ac:dyDescent="0.2">
      <c r="A650" t="s">
        <v>1963</v>
      </c>
      <c r="B650" t="s">
        <v>1964</v>
      </c>
      <c r="C650" t="s">
        <v>1965</v>
      </c>
      <c r="D650">
        <v>2022</v>
      </c>
      <c r="E650" t="s">
        <v>1966</v>
      </c>
      <c r="F650" t="s">
        <v>1967</v>
      </c>
      <c r="G650" t="s">
        <v>1968</v>
      </c>
      <c r="H650" t="s">
        <v>1969</v>
      </c>
      <c r="I650" t="s">
        <v>512</v>
      </c>
      <c r="J650" t="s">
        <v>83</v>
      </c>
      <c r="K650" t="s">
        <v>35</v>
      </c>
      <c r="L650" t="s">
        <v>11</v>
      </c>
      <c r="M650" t="s">
        <v>15</v>
      </c>
      <c r="N650">
        <v>1</v>
      </c>
      <c r="O650" s="18" t="s">
        <v>20</v>
      </c>
      <c r="P650" s="18" t="s">
        <v>19</v>
      </c>
      <c r="S650" t="s">
        <v>47</v>
      </c>
      <c r="T650" t="s">
        <v>421</v>
      </c>
      <c r="W650">
        <v>32</v>
      </c>
      <c r="X650">
        <v>31</v>
      </c>
      <c r="AA650">
        <v>82.954435697197084</v>
      </c>
      <c r="AB650">
        <v>21.3708675947688</v>
      </c>
      <c r="AC650">
        <v>82.706344465853576</v>
      </c>
      <c r="AD650">
        <v>15.846678615461281</v>
      </c>
      <c r="AE650" t="s">
        <v>71</v>
      </c>
      <c r="AF650" t="s">
        <v>61</v>
      </c>
      <c r="AG650" t="s">
        <v>71</v>
      </c>
      <c r="AH650" t="s">
        <v>213</v>
      </c>
      <c r="AS650" t="s">
        <v>849</v>
      </c>
      <c r="AT650" t="s">
        <v>849</v>
      </c>
      <c r="AV650" t="s">
        <v>1803</v>
      </c>
      <c r="AW650" t="s">
        <v>1815</v>
      </c>
      <c r="AX650" t="s">
        <v>1816</v>
      </c>
      <c r="AY650" t="s">
        <v>1814</v>
      </c>
      <c r="AZ650" t="s">
        <v>76</v>
      </c>
    </row>
    <row r="651" spans="1:52" x14ac:dyDescent="0.2">
      <c r="A651" t="s">
        <v>1963</v>
      </c>
      <c r="B651" t="s">
        <v>1964</v>
      </c>
      <c r="C651" t="s">
        <v>1965</v>
      </c>
      <c r="D651">
        <v>2022</v>
      </c>
      <c r="E651" t="s">
        <v>1966</v>
      </c>
      <c r="F651" t="s">
        <v>1967</v>
      </c>
      <c r="G651" t="s">
        <v>1968</v>
      </c>
      <c r="H651" t="s">
        <v>1970</v>
      </c>
      <c r="I651" t="s">
        <v>512</v>
      </c>
      <c r="J651" t="s">
        <v>83</v>
      </c>
      <c r="K651" t="s">
        <v>35</v>
      </c>
      <c r="L651" t="s">
        <v>11</v>
      </c>
      <c r="M651" t="s">
        <v>15</v>
      </c>
      <c r="N651">
        <v>1</v>
      </c>
      <c r="O651" s="18" t="s">
        <v>20</v>
      </c>
      <c r="P651" s="18" t="s">
        <v>27</v>
      </c>
      <c r="S651" t="s">
        <v>47</v>
      </c>
      <c r="T651" t="s">
        <v>421</v>
      </c>
      <c r="W651">
        <v>32</v>
      </c>
      <c r="X651">
        <v>31</v>
      </c>
      <c r="Y651">
        <v>32</v>
      </c>
      <c r="Z651">
        <v>30</v>
      </c>
      <c r="AG651" t="s">
        <v>1790</v>
      </c>
      <c r="AH651" t="s">
        <v>213</v>
      </c>
      <c r="AS651" t="s">
        <v>849</v>
      </c>
      <c r="AT651" t="s">
        <v>849</v>
      </c>
      <c r="AV651" t="s">
        <v>1803</v>
      </c>
      <c r="AW651" t="s">
        <v>1815</v>
      </c>
      <c r="AX651" t="s">
        <v>1816</v>
      </c>
      <c r="AY651" t="s">
        <v>1814</v>
      </c>
      <c r="AZ651" t="s">
        <v>76</v>
      </c>
    </row>
    <row r="652" spans="1:52" x14ac:dyDescent="0.2">
      <c r="A652" t="s">
        <v>1963</v>
      </c>
      <c r="B652" t="s">
        <v>1964</v>
      </c>
      <c r="C652" t="s">
        <v>1965</v>
      </c>
      <c r="D652">
        <v>2022</v>
      </c>
      <c r="E652" t="s">
        <v>1966</v>
      </c>
      <c r="F652" t="s">
        <v>1967</v>
      </c>
      <c r="G652" t="s">
        <v>1986</v>
      </c>
      <c r="H652" t="s">
        <v>1971</v>
      </c>
      <c r="I652" t="s">
        <v>512</v>
      </c>
      <c r="J652" t="s">
        <v>83</v>
      </c>
      <c r="K652" t="s">
        <v>35</v>
      </c>
      <c r="L652" t="s">
        <v>11</v>
      </c>
      <c r="M652" t="s">
        <v>15</v>
      </c>
      <c r="N652">
        <v>1</v>
      </c>
      <c r="O652" s="18" t="s">
        <v>20</v>
      </c>
      <c r="P652" s="18" t="s">
        <v>19</v>
      </c>
      <c r="S652" t="s">
        <v>47</v>
      </c>
      <c r="T652" t="s">
        <v>421</v>
      </c>
      <c r="W652">
        <v>30</v>
      </c>
      <c r="X652">
        <v>31</v>
      </c>
      <c r="AA652">
        <v>81.840393004565769</v>
      </c>
      <c r="AB652">
        <v>13.807994071269759</v>
      </c>
      <c r="AC652">
        <v>81.418610298675674</v>
      </c>
      <c r="AD652">
        <v>14.580086679199439</v>
      </c>
      <c r="AE652" t="s">
        <v>71</v>
      </c>
      <c r="AF652" t="s">
        <v>61</v>
      </c>
      <c r="AG652" t="s">
        <v>71</v>
      </c>
      <c r="AH652" t="s">
        <v>213</v>
      </c>
      <c r="AS652" t="s">
        <v>849</v>
      </c>
      <c r="AT652" t="s">
        <v>849</v>
      </c>
      <c r="AV652" t="s">
        <v>1803</v>
      </c>
      <c r="AW652" t="s">
        <v>1815</v>
      </c>
      <c r="AX652" t="s">
        <v>1816</v>
      </c>
      <c r="AY652" t="s">
        <v>1814</v>
      </c>
      <c r="AZ652" t="s">
        <v>76</v>
      </c>
    </row>
    <row r="653" spans="1:52" x14ac:dyDescent="0.2">
      <c r="A653" t="s">
        <v>1963</v>
      </c>
      <c r="B653" t="s">
        <v>1964</v>
      </c>
      <c r="C653" t="s">
        <v>1965</v>
      </c>
      <c r="D653">
        <v>2022</v>
      </c>
      <c r="E653" t="s">
        <v>1966</v>
      </c>
      <c r="F653" t="s">
        <v>1967</v>
      </c>
      <c r="G653" t="s">
        <v>1986</v>
      </c>
      <c r="H653" t="s">
        <v>1972</v>
      </c>
      <c r="I653" t="s">
        <v>512</v>
      </c>
      <c r="J653" t="s">
        <v>83</v>
      </c>
      <c r="K653" t="s">
        <v>35</v>
      </c>
      <c r="L653" t="s">
        <v>11</v>
      </c>
      <c r="M653" t="s">
        <v>15</v>
      </c>
      <c r="N653">
        <v>1</v>
      </c>
      <c r="O653" s="18" t="s">
        <v>20</v>
      </c>
      <c r="P653" s="18" t="s">
        <v>27</v>
      </c>
      <c r="S653" t="s">
        <v>47</v>
      </c>
      <c r="T653" t="s">
        <v>421</v>
      </c>
      <c r="W653">
        <v>30</v>
      </c>
      <c r="X653">
        <v>31</v>
      </c>
      <c r="Y653">
        <v>30</v>
      </c>
      <c r="Z653">
        <v>31</v>
      </c>
      <c r="AG653" t="s">
        <v>1790</v>
      </c>
      <c r="AH653" t="s">
        <v>213</v>
      </c>
      <c r="AS653" t="s">
        <v>849</v>
      </c>
      <c r="AT653" t="s">
        <v>849</v>
      </c>
      <c r="AV653" t="s">
        <v>1803</v>
      </c>
      <c r="AW653" t="s">
        <v>1815</v>
      </c>
      <c r="AX653" t="s">
        <v>1816</v>
      </c>
      <c r="AY653" t="s">
        <v>1814</v>
      </c>
      <c r="AZ653" t="s">
        <v>76</v>
      </c>
    </row>
    <row r="654" spans="1:52" x14ac:dyDescent="0.2">
      <c r="A654" t="s">
        <v>1963</v>
      </c>
      <c r="B654" t="s">
        <v>1964</v>
      </c>
      <c r="C654" t="s">
        <v>1965</v>
      </c>
      <c r="D654">
        <v>2022</v>
      </c>
      <c r="E654" t="s">
        <v>1966</v>
      </c>
      <c r="F654" t="s">
        <v>1967</v>
      </c>
      <c r="G654" t="s">
        <v>1987</v>
      </c>
      <c r="H654" t="s">
        <v>1973</v>
      </c>
      <c r="I654" t="s">
        <v>512</v>
      </c>
      <c r="J654" t="s">
        <v>83</v>
      </c>
      <c r="K654" t="s">
        <v>35</v>
      </c>
      <c r="L654" t="s">
        <v>11</v>
      </c>
      <c r="M654" t="s">
        <v>15</v>
      </c>
      <c r="N654">
        <v>1</v>
      </c>
      <c r="O654" s="18" t="s">
        <v>20</v>
      </c>
      <c r="P654" s="18" t="s">
        <v>19</v>
      </c>
      <c r="S654" t="s">
        <v>47</v>
      </c>
      <c r="T654" t="s">
        <v>421</v>
      </c>
      <c r="W654">
        <v>21</v>
      </c>
      <c r="X654">
        <v>22</v>
      </c>
      <c r="AA654">
        <v>77.876190476190487</v>
      </c>
      <c r="AB654">
        <v>17.890162234085651</v>
      </c>
      <c r="AC654">
        <v>77.504545454545465</v>
      </c>
      <c r="AD654">
        <v>23.27640287363857</v>
      </c>
      <c r="AE654" t="s">
        <v>71</v>
      </c>
      <c r="AF654" t="s">
        <v>61</v>
      </c>
      <c r="AG654" t="s">
        <v>71</v>
      </c>
      <c r="AH654" t="s">
        <v>213</v>
      </c>
      <c r="AS654" t="s">
        <v>849</v>
      </c>
      <c r="AT654" t="s">
        <v>849</v>
      </c>
      <c r="AV654" t="s">
        <v>1803</v>
      </c>
      <c r="AW654" t="s">
        <v>1815</v>
      </c>
      <c r="AX654" t="s">
        <v>1816</v>
      </c>
      <c r="AY654" t="s">
        <v>1814</v>
      </c>
      <c r="AZ654" t="s">
        <v>76</v>
      </c>
    </row>
    <row r="655" spans="1:52" x14ac:dyDescent="0.2">
      <c r="A655" t="s">
        <v>1963</v>
      </c>
      <c r="B655" t="s">
        <v>1964</v>
      </c>
      <c r="C655" t="s">
        <v>1965</v>
      </c>
      <c r="D655">
        <v>2022</v>
      </c>
      <c r="E655" t="s">
        <v>1966</v>
      </c>
      <c r="F655" t="s">
        <v>1967</v>
      </c>
      <c r="G655" t="s">
        <v>1987</v>
      </c>
      <c r="H655" t="s">
        <v>1974</v>
      </c>
      <c r="I655" t="s">
        <v>512</v>
      </c>
      <c r="J655" t="s">
        <v>83</v>
      </c>
      <c r="K655" t="s">
        <v>35</v>
      </c>
      <c r="L655" t="s">
        <v>11</v>
      </c>
      <c r="M655" t="s">
        <v>15</v>
      </c>
      <c r="N655">
        <v>1</v>
      </c>
      <c r="O655" s="18" t="s">
        <v>20</v>
      </c>
      <c r="P655" s="18" t="s">
        <v>27</v>
      </c>
      <c r="S655" t="s">
        <v>47</v>
      </c>
      <c r="T655" t="s">
        <v>421</v>
      </c>
      <c r="W655">
        <v>21</v>
      </c>
      <c r="X655">
        <v>22</v>
      </c>
      <c r="Y655">
        <v>20</v>
      </c>
      <c r="Z655">
        <v>22</v>
      </c>
      <c r="AG655" t="s">
        <v>1790</v>
      </c>
      <c r="AH655" t="s">
        <v>213</v>
      </c>
      <c r="AS655" t="s">
        <v>849</v>
      </c>
      <c r="AT655" t="s">
        <v>849</v>
      </c>
      <c r="AV655" t="s">
        <v>1803</v>
      </c>
      <c r="AW655" t="s">
        <v>1815</v>
      </c>
      <c r="AX655" t="s">
        <v>1816</v>
      </c>
      <c r="AY655" t="s">
        <v>1814</v>
      </c>
      <c r="AZ655" t="s">
        <v>76</v>
      </c>
    </row>
    <row r="656" spans="1:52" x14ac:dyDescent="0.2">
      <c r="A656" t="s">
        <v>1963</v>
      </c>
      <c r="B656" t="s">
        <v>1964</v>
      </c>
      <c r="C656" t="s">
        <v>1965</v>
      </c>
      <c r="D656">
        <v>2022</v>
      </c>
      <c r="E656" t="s">
        <v>1966</v>
      </c>
      <c r="F656" t="s">
        <v>1967</v>
      </c>
      <c r="G656" t="s">
        <v>1988</v>
      </c>
      <c r="H656" t="s">
        <v>1975</v>
      </c>
      <c r="I656" t="s">
        <v>512</v>
      </c>
      <c r="J656" t="s">
        <v>83</v>
      </c>
      <c r="K656" t="s">
        <v>35</v>
      </c>
      <c r="L656" t="s">
        <v>11</v>
      </c>
      <c r="M656" t="s">
        <v>15</v>
      </c>
      <c r="N656">
        <v>1</v>
      </c>
      <c r="O656" s="18" t="s">
        <v>20</v>
      </c>
      <c r="P656" s="18" t="s">
        <v>19</v>
      </c>
      <c r="S656" t="s">
        <v>47</v>
      </c>
      <c r="T656" t="s">
        <v>421</v>
      </c>
      <c r="W656">
        <v>29</v>
      </c>
      <c r="X656">
        <v>30</v>
      </c>
      <c r="AA656">
        <v>92.133797947720808</v>
      </c>
      <c r="AB656">
        <v>12.157550150728124</v>
      </c>
      <c r="AC656">
        <v>88.832266985886207</v>
      </c>
      <c r="AD656">
        <v>12.224453258359127</v>
      </c>
      <c r="AE656" t="s">
        <v>71</v>
      </c>
      <c r="AF656" t="s">
        <v>61</v>
      </c>
      <c r="AG656" t="s">
        <v>71</v>
      </c>
      <c r="AH656" t="s">
        <v>213</v>
      </c>
      <c r="AS656" t="s">
        <v>849</v>
      </c>
      <c r="AT656" t="s">
        <v>849</v>
      </c>
      <c r="AV656" t="s">
        <v>1803</v>
      </c>
      <c r="AW656" t="s">
        <v>1815</v>
      </c>
      <c r="AX656" t="s">
        <v>1816</v>
      </c>
      <c r="AY656" t="s">
        <v>1814</v>
      </c>
      <c r="AZ656" t="s">
        <v>76</v>
      </c>
    </row>
    <row r="657" spans="1:52" x14ac:dyDescent="0.2">
      <c r="A657" t="s">
        <v>1963</v>
      </c>
      <c r="B657" t="s">
        <v>1964</v>
      </c>
      <c r="C657" t="s">
        <v>1965</v>
      </c>
      <c r="D657">
        <v>2022</v>
      </c>
      <c r="E657" t="s">
        <v>1966</v>
      </c>
      <c r="F657" t="s">
        <v>1967</v>
      </c>
      <c r="G657" t="s">
        <v>1988</v>
      </c>
      <c r="H657" t="s">
        <v>1976</v>
      </c>
      <c r="I657" t="s">
        <v>512</v>
      </c>
      <c r="J657" t="s">
        <v>83</v>
      </c>
      <c r="K657" t="s">
        <v>35</v>
      </c>
      <c r="L657" t="s">
        <v>11</v>
      </c>
      <c r="M657" t="s">
        <v>15</v>
      </c>
      <c r="N657">
        <v>1</v>
      </c>
      <c r="O657" s="18" t="s">
        <v>20</v>
      </c>
      <c r="P657" s="18" t="s">
        <v>27</v>
      </c>
      <c r="S657" t="s">
        <v>47</v>
      </c>
      <c r="T657" t="s">
        <v>421</v>
      </c>
      <c r="W657">
        <v>29</v>
      </c>
      <c r="X657">
        <v>30</v>
      </c>
      <c r="Y657">
        <v>29</v>
      </c>
      <c r="Z657">
        <v>26</v>
      </c>
      <c r="AG657" t="s">
        <v>1790</v>
      </c>
      <c r="AH657" t="s">
        <v>213</v>
      </c>
      <c r="AS657" t="s">
        <v>849</v>
      </c>
      <c r="AT657" t="s">
        <v>849</v>
      </c>
      <c r="AV657" t="s">
        <v>1803</v>
      </c>
      <c r="AW657" t="s">
        <v>1815</v>
      </c>
      <c r="AX657" t="s">
        <v>1816</v>
      </c>
      <c r="AY657" t="s">
        <v>1814</v>
      </c>
      <c r="AZ657" t="s">
        <v>76</v>
      </c>
    </row>
    <row r="658" spans="1:52" x14ac:dyDescent="0.2">
      <c r="A658" t="s">
        <v>1963</v>
      </c>
      <c r="B658" t="s">
        <v>1964</v>
      </c>
      <c r="C658" t="s">
        <v>1965</v>
      </c>
      <c r="D658">
        <v>2022</v>
      </c>
      <c r="E658" t="s">
        <v>1966</v>
      </c>
      <c r="F658" t="s">
        <v>1967</v>
      </c>
      <c r="G658" t="s">
        <v>1989</v>
      </c>
      <c r="H658" t="s">
        <v>1977</v>
      </c>
      <c r="I658" t="s">
        <v>512</v>
      </c>
      <c r="J658" t="s">
        <v>83</v>
      </c>
      <c r="K658" t="s">
        <v>35</v>
      </c>
      <c r="L658" t="s">
        <v>11</v>
      </c>
      <c r="M658" t="s">
        <v>15</v>
      </c>
      <c r="N658">
        <v>1</v>
      </c>
      <c r="O658" s="18" t="s">
        <v>20</v>
      </c>
      <c r="P658" s="18" t="s">
        <v>19</v>
      </c>
      <c r="S658" t="s">
        <v>47</v>
      </c>
      <c r="T658" t="s">
        <v>421</v>
      </c>
      <c r="W658">
        <v>17</v>
      </c>
      <c r="X658">
        <v>19</v>
      </c>
      <c r="AA658">
        <v>89.034668467032205</v>
      </c>
      <c r="AB658">
        <v>15.046364992073567</v>
      </c>
      <c r="AC658">
        <v>83.793335126863283</v>
      </c>
      <c r="AD658">
        <v>15.272249311845014</v>
      </c>
      <c r="AE658" t="s">
        <v>71</v>
      </c>
      <c r="AF658" t="s">
        <v>61</v>
      </c>
      <c r="AG658" t="s">
        <v>71</v>
      </c>
      <c r="AH658" t="s">
        <v>213</v>
      </c>
      <c r="AS658" t="s">
        <v>849</v>
      </c>
      <c r="AT658" t="s">
        <v>849</v>
      </c>
      <c r="AV658" t="s">
        <v>1803</v>
      </c>
      <c r="AW658" t="s">
        <v>1815</v>
      </c>
      <c r="AX658" t="s">
        <v>1816</v>
      </c>
      <c r="AY658" t="s">
        <v>1814</v>
      </c>
      <c r="AZ658" t="s">
        <v>76</v>
      </c>
    </row>
    <row r="659" spans="1:52" x14ac:dyDescent="0.2">
      <c r="A659" t="s">
        <v>1963</v>
      </c>
      <c r="B659" t="s">
        <v>1964</v>
      </c>
      <c r="C659" t="s">
        <v>1965</v>
      </c>
      <c r="D659">
        <v>2022</v>
      </c>
      <c r="E659" t="s">
        <v>1966</v>
      </c>
      <c r="F659" t="s">
        <v>1967</v>
      </c>
      <c r="G659" t="s">
        <v>1989</v>
      </c>
      <c r="H659" t="s">
        <v>1978</v>
      </c>
      <c r="I659" t="s">
        <v>512</v>
      </c>
      <c r="J659" t="s">
        <v>83</v>
      </c>
      <c r="K659" t="s">
        <v>35</v>
      </c>
      <c r="L659" t="s">
        <v>11</v>
      </c>
      <c r="M659" t="s">
        <v>15</v>
      </c>
      <c r="N659">
        <v>1</v>
      </c>
      <c r="O659" s="18" t="s">
        <v>20</v>
      </c>
      <c r="P659" s="18" t="s">
        <v>27</v>
      </c>
      <c r="S659" t="s">
        <v>47</v>
      </c>
      <c r="T659" t="s">
        <v>421</v>
      </c>
      <c r="W659">
        <v>17</v>
      </c>
      <c r="X659">
        <v>19</v>
      </c>
      <c r="Y659">
        <v>16</v>
      </c>
      <c r="Z659">
        <v>18</v>
      </c>
      <c r="AG659" t="s">
        <v>1790</v>
      </c>
      <c r="AH659" t="s">
        <v>213</v>
      </c>
      <c r="AS659" t="s">
        <v>849</v>
      </c>
      <c r="AT659" t="s">
        <v>849</v>
      </c>
      <c r="AV659" t="s">
        <v>1803</v>
      </c>
      <c r="AW659" t="s">
        <v>1815</v>
      </c>
      <c r="AX659" t="s">
        <v>1816</v>
      </c>
      <c r="AY659" t="s">
        <v>1814</v>
      </c>
      <c r="AZ659" t="s">
        <v>76</v>
      </c>
    </row>
    <row r="660" spans="1:52" x14ac:dyDescent="0.2">
      <c r="A660" t="s">
        <v>1963</v>
      </c>
      <c r="B660" t="s">
        <v>1964</v>
      </c>
      <c r="C660" t="s">
        <v>1965</v>
      </c>
      <c r="D660">
        <v>2022</v>
      </c>
      <c r="E660" t="s">
        <v>1966</v>
      </c>
      <c r="F660" t="s">
        <v>1967</v>
      </c>
      <c r="G660" t="s">
        <v>1990</v>
      </c>
      <c r="H660" t="s">
        <v>1979</v>
      </c>
      <c r="I660" t="s">
        <v>512</v>
      </c>
      <c r="J660" t="s">
        <v>83</v>
      </c>
      <c r="K660" t="s">
        <v>35</v>
      </c>
      <c r="L660" t="s">
        <v>11</v>
      </c>
      <c r="M660" t="s">
        <v>15</v>
      </c>
      <c r="N660">
        <v>1</v>
      </c>
      <c r="O660" s="18" t="s">
        <v>20</v>
      </c>
      <c r="P660" s="18" t="s">
        <v>19</v>
      </c>
      <c r="S660" t="s">
        <v>47</v>
      </c>
      <c r="T660" t="s">
        <v>421</v>
      </c>
      <c r="W660">
        <v>21</v>
      </c>
      <c r="X660">
        <v>23</v>
      </c>
      <c r="AA660">
        <v>87.722109435092591</v>
      </c>
      <c r="AB660">
        <v>18.604928778444734</v>
      </c>
      <c r="AC660">
        <v>88.808513420402164</v>
      </c>
      <c r="AD660">
        <v>17.008272303647892</v>
      </c>
      <c r="AE660" t="s">
        <v>71</v>
      </c>
      <c r="AF660" t="s">
        <v>61</v>
      </c>
      <c r="AG660" t="s">
        <v>71</v>
      </c>
      <c r="AH660" t="s">
        <v>213</v>
      </c>
      <c r="AS660" t="s">
        <v>849</v>
      </c>
      <c r="AT660" t="s">
        <v>849</v>
      </c>
      <c r="AV660" t="s">
        <v>1803</v>
      </c>
      <c r="AW660" t="s">
        <v>1815</v>
      </c>
      <c r="AX660" t="s">
        <v>1816</v>
      </c>
      <c r="AY660" t="s">
        <v>1814</v>
      </c>
      <c r="AZ660" t="s">
        <v>76</v>
      </c>
    </row>
    <row r="661" spans="1:52" x14ac:dyDescent="0.2">
      <c r="A661" t="s">
        <v>1963</v>
      </c>
      <c r="B661" t="s">
        <v>1964</v>
      </c>
      <c r="C661" t="s">
        <v>1965</v>
      </c>
      <c r="D661">
        <v>2022</v>
      </c>
      <c r="E661" t="s">
        <v>1966</v>
      </c>
      <c r="F661" t="s">
        <v>1967</v>
      </c>
      <c r="G661" t="s">
        <v>1990</v>
      </c>
      <c r="H661" t="s">
        <v>1980</v>
      </c>
      <c r="I661" t="s">
        <v>512</v>
      </c>
      <c r="J661" t="s">
        <v>83</v>
      </c>
      <c r="K661" t="s">
        <v>35</v>
      </c>
      <c r="L661" t="s">
        <v>11</v>
      </c>
      <c r="M661" t="s">
        <v>15</v>
      </c>
      <c r="N661">
        <v>1</v>
      </c>
      <c r="O661" s="18" t="s">
        <v>20</v>
      </c>
      <c r="P661" s="18" t="s">
        <v>27</v>
      </c>
      <c r="S661" t="s">
        <v>47</v>
      </c>
      <c r="T661" t="s">
        <v>421</v>
      </c>
      <c r="W661">
        <v>21</v>
      </c>
      <c r="X661">
        <v>23</v>
      </c>
      <c r="Y661">
        <v>19</v>
      </c>
      <c r="Z661">
        <v>23</v>
      </c>
      <c r="AG661" t="s">
        <v>1790</v>
      </c>
      <c r="AH661" t="s">
        <v>213</v>
      </c>
      <c r="AS661" t="s">
        <v>849</v>
      </c>
      <c r="AT661" t="s">
        <v>849</v>
      </c>
      <c r="AV661" t="s">
        <v>1803</v>
      </c>
      <c r="AW661" t="s">
        <v>1815</v>
      </c>
      <c r="AX661" t="s">
        <v>1816</v>
      </c>
      <c r="AY661" t="s">
        <v>1814</v>
      </c>
      <c r="AZ661" t="s">
        <v>76</v>
      </c>
    </row>
    <row r="662" spans="1:52" x14ac:dyDescent="0.2">
      <c r="A662" t="s">
        <v>1963</v>
      </c>
      <c r="B662" t="s">
        <v>1964</v>
      </c>
      <c r="C662" t="s">
        <v>1965</v>
      </c>
      <c r="D662">
        <v>2022</v>
      </c>
      <c r="E662" t="s">
        <v>1966</v>
      </c>
      <c r="F662" t="s">
        <v>1967</v>
      </c>
      <c r="G662" t="s">
        <v>1991</v>
      </c>
      <c r="H662" t="s">
        <v>1981</v>
      </c>
      <c r="I662" t="s">
        <v>512</v>
      </c>
      <c r="J662" t="s">
        <v>83</v>
      </c>
      <c r="K662" t="s">
        <v>35</v>
      </c>
      <c r="L662" t="s">
        <v>11</v>
      </c>
      <c r="M662" t="s">
        <v>15</v>
      </c>
      <c r="N662">
        <v>1</v>
      </c>
      <c r="O662" s="18" t="s">
        <v>20</v>
      </c>
      <c r="P662" s="18" t="s">
        <v>19</v>
      </c>
      <c r="S662" t="s">
        <v>47</v>
      </c>
      <c r="T662" t="s">
        <v>421</v>
      </c>
      <c r="W662">
        <v>57</v>
      </c>
      <c r="X662">
        <v>57</v>
      </c>
      <c r="AA662">
        <v>51.185150636579884</v>
      </c>
      <c r="AB662">
        <v>30.878792113969801</v>
      </c>
      <c r="AC662">
        <v>61.00669949966958</v>
      </c>
      <c r="AD662">
        <v>30.402287617769318</v>
      </c>
      <c r="AE662" t="s">
        <v>71</v>
      </c>
      <c r="AF662" t="s">
        <v>61</v>
      </c>
      <c r="AG662" t="s">
        <v>71</v>
      </c>
      <c r="AH662" t="s">
        <v>213</v>
      </c>
      <c r="AS662" t="s">
        <v>849</v>
      </c>
      <c r="AT662" t="s">
        <v>849</v>
      </c>
      <c r="AV662" t="s">
        <v>1803</v>
      </c>
      <c r="AW662" t="s">
        <v>1815</v>
      </c>
      <c r="AX662" t="s">
        <v>1816</v>
      </c>
      <c r="AY662" t="s">
        <v>1814</v>
      </c>
      <c r="AZ662" t="s">
        <v>76</v>
      </c>
    </row>
    <row r="663" spans="1:52" x14ac:dyDescent="0.2">
      <c r="A663" t="s">
        <v>1963</v>
      </c>
      <c r="B663" t="s">
        <v>1964</v>
      </c>
      <c r="C663" t="s">
        <v>1965</v>
      </c>
      <c r="D663">
        <v>2022</v>
      </c>
      <c r="E663" t="s">
        <v>1966</v>
      </c>
      <c r="F663" t="s">
        <v>1985</v>
      </c>
      <c r="G663" t="s">
        <v>1991</v>
      </c>
      <c r="H663" t="s">
        <v>1982</v>
      </c>
      <c r="I663" t="s">
        <v>512</v>
      </c>
      <c r="J663" t="s">
        <v>83</v>
      </c>
      <c r="K663" t="s">
        <v>35</v>
      </c>
      <c r="L663" t="s">
        <v>11</v>
      </c>
      <c r="M663" t="s">
        <v>15</v>
      </c>
      <c r="N663">
        <v>1</v>
      </c>
      <c r="O663" s="18" t="s">
        <v>20</v>
      </c>
      <c r="P663" s="18" t="s">
        <v>27</v>
      </c>
      <c r="S663" t="s">
        <v>47</v>
      </c>
      <c r="T663" t="s">
        <v>421</v>
      </c>
      <c r="W663">
        <v>52</v>
      </c>
      <c r="X663">
        <v>52</v>
      </c>
      <c r="Y663">
        <v>24</v>
      </c>
      <c r="Z663">
        <v>28</v>
      </c>
      <c r="AG663" t="s">
        <v>1790</v>
      </c>
      <c r="AH663" t="s">
        <v>213</v>
      </c>
      <c r="AS663" t="s">
        <v>849</v>
      </c>
      <c r="AT663" t="s">
        <v>849</v>
      </c>
      <c r="AV663" t="s">
        <v>1803</v>
      </c>
      <c r="AW663" t="s">
        <v>1815</v>
      </c>
      <c r="AX663" t="s">
        <v>1816</v>
      </c>
      <c r="AY663" t="s">
        <v>1814</v>
      </c>
      <c r="AZ663" t="s">
        <v>76</v>
      </c>
    </row>
    <row r="664" spans="1:52" x14ac:dyDescent="0.2">
      <c r="A664" t="s">
        <v>1963</v>
      </c>
      <c r="B664" t="s">
        <v>1964</v>
      </c>
      <c r="C664" t="s">
        <v>1965</v>
      </c>
      <c r="D664">
        <v>2022</v>
      </c>
      <c r="E664" t="s">
        <v>1966</v>
      </c>
      <c r="F664" t="s">
        <v>1985</v>
      </c>
      <c r="G664" t="s">
        <v>1992</v>
      </c>
      <c r="H664" t="s">
        <v>1983</v>
      </c>
      <c r="I664" t="s">
        <v>512</v>
      </c>
      <c r="J664" t="s">
        <v>83</v>
      </c>
      <c r="K664" t="s">
        <v>35</v>
      </c>
      <c r="L664" t="s">
        <v>11</v>
      </c>
      <c r="M664" t="s">
        <v>15</v>
      </c>
      <c r="N664">
        <v>1</v>
      </c>
      <c r="O664" s="18" t="s">
        <v>20</v>
      </c>
      <c r="P664" s="18" t="s">
        <v>19</v>
      </c>
      <c r="S664" t="s">
        <v>47</v>
      </c>
      <c r="T664" t="s">
        <v>421</v>
      </c>
      <c r="W664">
        <v>38</v>
      </c>
      <c r="X664">
        <v>38</v>
      </c>
      <c r="AA664">
        <v>68.045130098193425</v>
      </c>
      <c r="AB664">
        <v>65.46435982007803</v>
      </c>
      <c r="AC664">
        <v>23.954198074026369</v>
      </c>
      <c r="AD664">
        <v>22.092281700502799</v>
      </c>
      <c r="AE664" t="s">
        <v>71</v>
      </c>
      <c r="AF664" t="s">
        <v>61</v>
      </c>
      <c r="AG664" t="s">
        <v>71</v>
      </c>
      <c r="AH664" t="s">
        <v>213</v>
      </c>
      <c r="AS664" t="s">
        <v>849</v>
      </c>
      <c r="AT664" t="s">
        <v>849</v>
      </c>
      <c r="AV664" t="s">
        <v>1803</v>
      </c>
      <c r="AW664" t="s">
        <v>1815</v>
      </c>
      <c r="AX664" t="s">
        <v>1816</v>
      </c>
      <c r="AY664" t="s">
        <v>1814</v>
      </c>
      <c r="AZ664" t="s">
        <v>76</v>
      </c>
    </row>
    <row r="665" spans="1:52" x14ac:dyDescent="0.2">
      <c r="A665" t="s">
        <v>1963</v>
      </c>
      <c r="B665" t="s">
        <v>1964</v>
      </c>
      <c r="C665" t="s">
        <v>1965</v>
      </c>
      <c r="D665">
        <v>2022</v>
      </c>
      <c r="E665" t="s">
        <v>1966</v>
      </c>
      <c r="F665" t="s">
        <v>1985</v>
      </c>
      <c r="G665" t="s">
        <v>1992</v>
      </c>
      <c r="H665" t="s">
        <v>1984</v>
      </c>
      <c r="I665" t="s">
        <v>512</v>
      </c>
      <c r="J665" t="s">
        <v>83</v>
      </c>
      <c r="K665" t="s">
        <v>35</v>
      </c>
      <c r="L665" t="s">
        <v>11</v>
      </c>
      <c r="M665" t="s">
        <v>15</v>
      </c>
      <c r="N665">
        <v>1</v>
      </c>
      <c r="O665" s="18" t="s">
        <v>20</v>
      </c>
      <c r="P665" s="18" t="s">
        <v>27</v>
      </c>
      <c r="S665" t="s">
        <v>47</v>
      </c>
      <c r="T665" t="s">
        <v>421</v>
      </c>
      <c r="W665">
        <v>38</v>
      </c>
      <c r="X665">
        <v>38</v>
      </c>
      <c r="Y665">
        <v>22</v>
      </c>
      <c r="Z665">
        <v>16</v>
      </c>
      <c r="AG665" t="s">
        <v>1790</v>
      </c>
      <c r="AH665" t="s">
        <v>213</v>
      </c>
      <c r="AS665" t="s">
        <v>849</v>
      </c>
      <c r="AT665" t="s">
        <v>849</v>
      </c>
      <c r="AV665" t="s">
        <v>1803</v>
      </c>
      <c r="AW665" t="s">
        <v>1815</v>
      </c>
      <c r="AX665" t="s">
        <v>1816</v>
      </c>
      <c r="AY665" t="s">
        <v>1814</v>
      </c>
      <c r="AZ665" t="s">
        <v>76</v>
      </c>
    </row>
    <row r="666" spans="1:52" x14ac:dyDescent="0.2">
      <c r="A666" t="s">
        <v>2000</v>
      </c>
      <c r="B666" t="s">
        <v>2001</v>
      </c>
      <c r="C666" t="s">
        <v>1994</v>
      </c>
      <c r="D666">
        <v>2023</v>
      </c>
      <c r="E666" t="s">
        <v>1995</v>
      </c>
      <c r="F666" t="s">
        <v>1996</v>
      </c>
      <c r="G666" t="s">
        <v>1997</v>
      </c>
      <c r="H666" t="s">
        <v>1998</v>
      </c>
      <c r="I666" t="s">
        <v>2264</v>
      </c>
      <c r="J666" t="s">
        <v>1993</v>
      </c>
      <c r="K666" t="s">
        <v>34</v>
      </c>
      <c r="O666" s="18" t="s">
        <v>21</v>
      </c>
      <c r="P666" s="18" t="s">
        <v>78</v>
      </c>
      <c r="Q666" t="s">
        <v>37</v>
      </c>
      <c r="R666" t="s">
        <v>39</v>
      </c>
      <c r="S666" t="s">
        <v>47</v>
      </c>
      <c r="T666" t="s">
        <v>421</v>
      </c>
      <c r="AG666" t="s">
        <v>4</v>
      </c>
      <c r="AH666" t="s">
        <v>214</v>
      </c>
      <c r="AN666">
        <v>20</v>
      </c>
      <c r="AO666">
        <v>6.1869384210338788E-2</v>
      </c>
      <c r="AS666" t="s">
        <v>849</v>
      </c>
      <c r="AT666" t="s">
        <v>849</v>
      </c>
      <c r="AV666" t="s">
        <v>1803</v>
      </c>
      <c r="AX666" t="s">
        <v>2265</v>
      </c>
      <c r="AY666" t="s">
        <v>1806</v>
      </c>
      <c r="AZ666" t="s">
        <v>1809</v>
      </c>
    </row>
    <row r="667" spans="1:52" x14ac:dyDescent="0.2">
      <c r="A667" t="s">
        <v>2000</v>
      </c>
      <c r="B667" t="s">
        <v>2001</v>
      </c>
      <c r="C667" t="s">
        <v>1994</v>
      </c>
      <c r="D667">
        <v>2023</v>
      </c>
      <c r="E667" t="s">
        <v>1995</v>
      </c>
      <c r="F667" t="s">
        <v>1996</v>
      </c>
      <c r="G667" t="s">
        <v>1997</v>
      </c>
      <c r="H667" t="s">
        <v>1999</v>
      </c>
      <c r="I667" t="s">
        <v>2264</v>
      </c>
      <c r="J667" t="s">
        <v>1993</v>
      </c>
      <c r="K667" t="s">
        <v>34</v>
      </c>
      <c r="O667" s="18" t="s">
        <v>21</v>
      </c>
      <c r="P667" s="18" t="s">
        <v>78</v>
      </c>
      <c r="Q667" t="s">
        <v>37</v>
      </c>
      <c r="R667" t="s">
        <v>2002</v>
      </c>
      <c r="S667" t="s">
        <v>47</v>
      </c>
      <c r="T667" t="s">
        <v>421</v>
      </c>
      <c r="AG667" t="s">
        <v>4</v>
      </c>
      <c r="AH667" t="s">
        <v>214</v>
      </c>
      <c r="AN667">
        <v>20</v>
      </c>
      <c r="AO667">
        <v>-2.6875323232318844E-2</v>
      </c>
      <c r="AS667" t="s">
        <v>849</v>
      </c>
      <c r="AT667" t="s">
        <v>849</v>
      </c>
      <c r="AV667" t="s">
        <v>1803</v>
      </c>
      <c r="AX667" t="s">
        <v>2265</v>
      </c>
      <c r="AY667" t="s">
        <v>1806</v>
      </c>
      <c r="AZ667" t="s">
        <v>1809</v>
      </c>
    </row>
    <row r="668" spans="1:52" x14ac:dyDescent="0.2">
      <c r="A668" t="s">
        <v>2003</v>
      </c>
      <c r="B668" t="s">
        <v>1176</v>
      </c>
      <c r="C668" t="s">
        <v>2004</v>
      </c>
      <c r="D668">
        <v>2023</v>
      </c>
      <c r="E668" t="s">
        <v>2005</v>
      </c>
      <c r="F668" t="s">
        <v>2006</v>
      </c>
      <c r="G668" t="s">
        <v>2007</v>
      </c>
      <c r="H668" t="s">
        <v>2008</v>
      </c>
      <c r="I668" t="s">
        <v>2009</v>
      </c>
      <c r="J668" t="s">
        <v>31</v>
      </c>
      <c r="K668" t="s">
        <v>34</v>
      </c>
      <c r="O668" s="18" t="s">
        <v>21</v>
      </c>
      <c r="P668" s="18" t="s">
        <v>78</v>
      </c>
      <c r="Q668" t="s">
        <v>38</v>
      </c>
      <c r="R668" t="s">
        <v>43</v>
      </c>
      <c r="S668" t="s">
        <v>47</v>
      </c>
      <c r="T668" t="s">
        <v>144</v>
      </c>
      <c r="U668">
        <v>841</v>
      </c>
      <c r="V668">
        <v>2</v>
      </c>
      <c r="AG668" t="s">
        <v>4</v>
      </c>
      <c r="AH668" t="s">
        <v>214</v>
      </c>
      <c r="AN668">
        <v>177</v>
      </c>
      <c r="AO668">
        <v>-0.1</v>
      </c>
      <c r="AS668" t="s">
        <v>849</v>
      </c>
      <c r="AT668" t="s">
        <v>849</v>
      </c>
      <c r="AV668" t="s">
        <v>1803</v>
      </c>
      <c r="AW668" t="s">
        <v>1804</v>
      </c>
      <c r="AX668" t="s">
        <v>2266</v>
      </c>
      <c r="AY668" t="s">
        <v>1806</v>
      </c>
      <c r="AZ668" t="s">
        <v>76</v>
      </c>
    </row>
    <row r="669" spans="1:52" x14ac:dyDescent="0.2">
      <c r="A669" t="s">
        <v>2003</v>
      </c>
      <c r="B669" t="s">
        <v>1176</v>
      </c>
      <c r="C669" t="s">
        <v>2004</v>
      </c>
      <c r="D669">
        <v>2023</v>
      </c>
      <c r="E669" t="s">
        <v>2005</v>
      </c>
      <c r="F669" t="s">
        <v>2006</v>
      </c>
      <c r="G669" t="s">
        <v>2007</v>
      </c>
      <c r="H669" t="s">
        <v>2011</v>
      </c>
      <c r="I669" t="s">
        <v>2009</v>
      </c>
      <c r="J669" t="s">
        <v>31</v>
      </c>
      <c r="K669" t="s">
        <v>34</v>
      </c>
      <c r="O669" s="18" t="s">
        <v>20</v>
      </c>
      <c r="P669" s="18" t="s">
        <v>1817</v>
      </c>
      <c r="Q669" t="s">
        <v>38</v>
      </c>
      <c r="R669" t="s">
        <v>43</v>
      </c>
      <c r="S669" t="s">
        <v>47</v>
      </c>
      <c r="T669" t="s">
        <v>144</v>
      </c>
      <c r="U669">
        <v>841</v>
      </c>
      <c r="V669">
        <v>2</v>
      </c>
      <c r="AG669" t="s">
        <v>4</v>
      </c>
      <c r="AH669" t="s">
        <v>214</v>
      </c>
      <c r="AN669">
        <v>177</v>
      </c>
      <c r="AO669">
        <v>0.14000000000000001</v>
      </c>
      <c r="AS669" t="s">
        <v>849</v>
      </c>
      <c r="AT669" t="s">
        <v>849</v>
      </c>
      <c r="AV669" t="s">
        <v>1803</v>
      </c>
      <c r="AW669" t="s">
        <v>1804</v>
      </c>
      <c r="AX669" t="s">
        <v>2266</v>
      </c>
      <c r="AY669" t="s">
        <v>1806</v>
      </c>
      <c r="AZ669" t="s">
        <v>76</v>
      </c>
    </row>
    <row r="670" spans="1:52" x14ac:dyDescent="0.2">
      <c r="A670" t="s">
        <v>2003</v>
      </c>
      <c r="B670" t="s">
        <v>1176</v>
      </c>
      <c r="C670" t="s">
        <v>2004</v>
      </c>
      <c r="D670">
        <v>2023</v>
      </c>
      <c r="E670" t="s">
        <v>2005</v>
      </c>
      <c r="F670" t="s">
        <v>2006</v>
      </c>
      <c r="G670" t="s">
        <v>2007</v>
      </c>
      <c r="H670" t="s">
        <v>2012</v>
      </c>
      <c r="I670" t="s">
        <v>2009</v>
      </c>
      <c r="J670" t="s">
        <v>31</v>
      </c>
      <c r="K670" t="s">
        <v>34</v>
      </c>
      <c r="O670" s="18" t="s">
        <v>20</v>
      </c>
      <c r="P670" s="18" t="s">
        <v>2010</v>
      </c>
      <c r="Q670" t="s">
        <v>38</v>
      </c>
      <c r="R670" t="s">
        <v>43</v>
      </c>
      <c r="S670" t="s">
        <v>47</v>
      </c>
      <c r="T670" t="s">
        <v>144</v>
      </c>
      <c r="U670">
        <v>841</v>
      </c>
      <c r="V670">
        <v>2</v>
      </c>
      <c r="AG670" t="s">
        <v>4</v>
      </c>
      <c r="AH670" t="s">
        <v>214</v>
      </c>
      <c r="AN670">
        <v>177</v>
      </c>
      <c r="AO670">
        <v>0.02</v>
      </c>
      <c r="AS670" t="s">
        <v>849</v>
      </c>
      <c r="AT670" t="s">
        <v>849</v>
      </c>
      <c r="AV670" t="s">
        <v>1803</v>
      </c>
      <c r="AW670" t="s">
        <v>1804</v>
      </c>
      <c r="AX670" t="s">
        <v>2266</v>
      </c>
      <c r="AY670" t="s">
        <v>1806</v>
      </c>
      <c r="AZ670" t="s">
        <v>76</v>
      </c>
    </row>
    <row r="671" spans="1:52" x14ac:dyDescent="0.2">
      <c r="A671" t="s">
        <v>2013</v>
      </c>
      <c r="B671" t="s">
        <v>1176</v>
      </c>
      <c r="C671" t="s">
        <v>2014</v>
      </c>
      <c r="D671">
        <v>2020</v>
      </c>
      <c r="E671" t="s">
        <v>2015</v>
      </c>
      <c r="F671" t="s">
        <v>2016</v>
      </c>
      <c r="G671" t="s">
        <v>2017</v>
      </c>
      <c r="H671" t="s">
        <v>2018</v>
      </c>
      <c r="I671" t="s">
        <v>2009</v>
      </c>
      <c r="J671" t="s">
        <v>31</v>
      </c>
      <c r="K671" t="s">
        <v>34</v>
      </c>
      <c r="O671" s="18" t="s">
        <v>20</v>
      </c>
      <c r="P671" s="18" t="s">
        <v>1824</v>
      </c>
      <c r="Q671" t="s">
        <v>38</v>
      </c>
      <c r="R671" t="s">
        <v>41</v>
      </c>
      <c r="S671" t="s">
        <v>47</v>
      </c>
      <c r="T671" t="s">
        <v>421</v>
      </c>
      <c r="W671">
        <v>84</v>
      </c>
      <c r="X671">
        <v>95</v>
      </c>
      <c r="AA671">
        <v>5.9016455696202517</v>
      </c>
      <c r="AB671">
        <v>12.329780856744078</v>
      </c>
      <c r="AC671">
        <v>5.7346067415730326</v>
      </c>
      <c r="AD671">
        <v>11.925966518501074</v>
      </c>
      <c r="AE671" t="s">
        <v>71</v>
      </c>
      <c r="AF671" t="s">
        <v>61</v>
      </c>
      <c r="AG671" t="s">
        <v>71</v>
      </c>
      <c r="AH671" t="s">
        <v>213</v>
      </c>
      <c r="AS671" t="s">
        <v>222</v>
      </c>
      <c r="AT671" t="s">
        <v>222</v>
      </c>
      <c r="AV671" t="s">
        <v>1803</v>
      </c>
      <c r="AW671" t="s">
        <v>1804</v>
      </c>
      <c r="AX671" t="s">
        <v>2266</v>
      </c>
      <c r="AY671" t="s">
        <v>1806</v>
      </c>
      <c r="AZ671" t="s">
        <v>76</v>
      </c>
    </row>
    <row r="672" spans="1:52" x14ac:dyDescent="0.2">
      <c r="A672" t="s">
        <v>2013</v>
      </c>
      <c r="B672" t="s">
        <v>1176</v>
      </c>
      <c r="C672" t="s">
        <v>2014</v>
      </c>
      <c r="D672">
        <v>2020</v>
      </c>
      <c r="E672" t="s">
        <v>2015</v>
      </c>
      <c r="F672" t="s">
        <v>2016</v>
      </c>
      <c r="G672" t="s">
        <v>2022</v>
      </c>
      <c r="H672" t="s">
        <v>2021</v>
      </c>
      <c r="I672" t="s">
        <v>2009</v>
      </c>
      <c r="J672" t="s">
        <v>31</v>
      </c>
      <c r="K672" t="s">
        <v>34</v>
      </c>
      <c r="O672" s="18" t="s">
        <v>20</v>
      </c>
      <c r="P672" s="18" t="s">
        <v>1824</v>
      </c>
      <c r="Q672" t="s">
        <v>38</v>
      </c>
      <c r="R672" t="s">
        <v>2020</v>
      </c>
      <c r="S672" t="s">
        <v>47</v>
      </c>
      <c r="T672" t="s">
        <v>421</v>
      </c>
      <c r="AG672" t="s">
        <v>4</v>
      </c>
      <c r="AH672" t="s">
        <v>214</v>
      </c>
      <c r="AN672">
        <v>90</v>
      </c>
      <c r="AO672">
        <v>9.1795600000000005E-2</v>
      </c>
      <c r="AS672" t="s">
        <v>849</v>
      </c>
      <c r="AT672" t="s">
        <v>222</v>
      </c>
      <c r="AV672" t="s">
        <v>1803</v>
      </c>
      <c r="AW672" t="s">
        <v>1804</v>
      </c>
      <c r="AX672" t="s">
        <v>2266</v>
      </c>
      <c r="AY672" t="s">
        <v>1806</v>
      </c>
      <c r="AZ672" t="s">
        <v>76</v>
      </c>
    </row>
    <row r="673" spans="1:52" x14ac:dyDescent="0.2">
      <c r="A673" t="s">
        <v>2025</v>
      </c>
      <c r="B673" t="s">
        <v>2026</v>
      </c>
      <c r="C673" t="s">
        <v>2027</v>
      </c>
      <c r="D673">
        <v>2023</v>
      </c>
      <c r="E673" t="s">
        <v>2028</v>
      </c>
      <c r="F673" t="s">
        <v>2029</v>
      </c>
      <c r="G673" t="s">
        <v>2030</v>
      </c>
      <c r="H673" t="s">
        <v>2031</v>
      </c>
      <c r="I673" t="s">
        <v>2032</v>
      </c>
      <c r="J673" t="s">
        <v>2033</v>
      </c>
      <c r="K673" t="s">
        <v>34</v>
      </c>
      <c r="O673" s="18" t="s">
        <v>21</v>
      </c>
      <c r="P673" s="18" t="s">
        <v>19</v>
      </c>
      <c r="Q673" t="s">
        <v>38</v>
      </c>
      <c r="R673" t="s">
        <v>44</v>
      </c>
      <c r="S673" t="s">
        <v>47</v>
      </c>
      <c r="T673" t="s">
        <v>144</v>
      </c>
      <c r="U673">
        <v>4</v>
      </c>
      <c r="V673">
        <v>2</v>
      </c>
      <c r="W673">
        <v>10</v>
      </c>
      <c r="X673">
        <v>10</v>
      </c>
      <c r="AA673">
        <v>0.31</v>
      </c>
      <c r="AB673">
        <v>0.02</v>
      </c>
      <c r="AC673">
        <v>0.18</v>
      </c>
      <c r="AD673">
        <v>0.05</v>
      </c>
      <c r="AE673" t="s">
        <v>71</v>
      </c>
      <c r="AF673" t="s">
        <v>62</v>
      </c>
      <c r="AG673" t="s">
        <v>71</v>
      </c>
      <c r="AH673" t="s">
        <v>213</v>
      </c>
      <c r="AS673" t="s">
        <v>849</v>
      </c>
      <c r="AT673" t="s">
        <v>849</v>
      </c>
      <c r="AV673" t="s">
        <v>1810</v>
      </c>
      <c r="AW673" t="s">
        <v>1804</v>
      </c>
      <c r="AX673" t="s">
        <v>1817</v>
      </c>
      <c r="AZ673" t="s">
        <v>1813</v>
      </c>
    </row>
    <row r="674" spans="1:52" x14ac:dyDescent="0.2">
      <c r="A674" t="s">
        <v>2025</v>
      </c>
      <c r="B674" t="s">
        <v>2026</v>
      </c>
      <c r="C674" t="s">
        <v>2027</v>
      </c>
      <c r="D674">
        <v>2023</v>
      </c>
      <c r="E674" t="s">
        <v>2028</v>
      </c>
      <c r="F674" t="s">
        <v>2029</v>
      </c>
      <c r="G674" t="s">
        <v>2030</v>
      </c>
      <c r="H674" t="s">
        <v>2034</v>
      </c>
      <c r="I674" t="s">
        <v>2032</v>
      </c>
      <c r="J674" t="s">
        <v>2033</v>
      </c>
      <c r="K674" t="s">
        <v>34</v>
      </c>
      <c r="O674" s="18" t="s">
        <v>21</v>
      </c>
      <c r="P674" s="18" t="s">
        <v>19</v>
      </c>
      <c r="Q674" t="s">
        <v>38</v>
      </c>
      <c r="R674" t="s">
        <v>44</v>
      </c>
      <c r="S674" t="s">
        <v>47</v>
      </c>
      <c r="T674" t="s">
        <v>144</v>
      </c>
      <c r="U674">
        <v>4</v>
      </c>
      <c r="V674">
        <v>2</v>
      </c>
      <c r="W674">
        <v>10</v>
      </c>
      <c r="X674">
        <v>10</v>
      </c>
      <c r="AA674">
        <v>2.0499999999999998</v>
      </c>
      <c r="AB674">
        <v>7.0000000000000007E-2</v>
      </c>
      <c r="AC674">
        <v>1.58</v>
      </c>
      <c r="AD674">
        <v>0.36</v>
      </c>
      <c r="AE674" t="s">
        <v>71</v>
      </c>
      <c r="AF674" t="s">
        <v>62</v>
      </c>
      <c r="AG674" t="s">
        <v>71</v>
      </c>
      <c r="AH674" t="s">
        <v>213</v>
      </c>
      <c r="AS674" t="s">
        <v>849</v>
      </c>
      <c r="AT674" t="s">
        <v>849</v>
      </c>
      <c r="AV674" t="s">
        <v>1810</v>
      </c>
      <c r="AW674" t="s">
        <v>1804</v>
      </c>
      <c r="AX674" t="s">
        <v>1817</v>
      </c>
      <c r="AZ674" t="s">
        <v>1813</v>
      </c>
    </row>
    <row r="675" spans="1:52" x14ac:dyDescent="0.2">
      <c r="A675" t="s">
        <v>2035</v>
      </c>
      <c r="B675" t="s">
        <v>2036</v>
      </c>
      <c r="C675" t="s">
        <v>2037</v>
      </c>
      <c r="D675">
        <v>2022</v>
      </c>
      <c r="E675" t="s">
        <v>2038</v>
      </c>
      <c r="F675" t="s">
        <v>2039</v>
      </c>
      <c r="G675" t="s">
        <v>2040</v>
      </c>
      <c r="H675" t="s">
        <v>2041</v>
      </c>
      <c r="I675" t="s">
        <v>2042</v>
      </c>
      <c r="J675" t="s">
        <v>536</v>
      </c>
      <c r="K675" t="s">
        <v>35</v>
      </c>
      <c r="L675" t="s">
        <v>11</v>
      </c>
      <c r="M675" t="s">
        <v>18</v>
      </c>
      <c r="N675">
        <v>0</v>
      </c>
      <c r="O675" s="18" t="s">
        <v>20</v>
      </c>
      <c r="P675" s="18" t="s">
        <v>19</v>
      </c>
      <c r="S675" t="s">
        <v>47</v>
      </c>
      <c r="T675" t="s">
        <v>144</v>
      </c>
      <c r="U675">
        <v>5</v>
      </c>
      <c r="V675">
        <v>2</v>
      </c>
      <c r="W675">
        <v>26</v>
      </c>
      <c r="X675">
        <v>27</v>
      </c>
      <c r="AA675">
        <v>5.27</v>
      </c>
      <c r="AB675">
        <v>0.04</v>
      </c>
      <c r="AC675">
        <v>5.23</v>
      </c>
      <c r="AD675">
        <v>0.04</v>
      </c>
      <c r="AE675" t="s">
        <v>71</v>
      </c>
      <c r="AF675" t="s">
        <v>62</v>
      </c>
      <c r="AG675" t="s">
        <v>71</v>
      </c>
      <c r="AH675" t="s">
        <v>213</v>
      </c>
      <c r="AS675" t="s">
        <v>849</v>
      </c>
      <c r="AT675" t="s">
        <v>849</v>
      </c>
      <c r="AV675" t="s">
        <v>1810</v>
      </c>
      <c r="AW675" t="s">
        <v>1807</v>
      </c>
      <c r="AX675" t="s">
        <v>1822</v>
      </c>
      <c r="AY675" t="s">
        <v>1806</v>
      </c>
      <c r="AZ675" t="s">
        <v>76</v>
      </c>
    </row>
    <row r="676" spans="1:52" x14ac:dyDescent="0.2">
      <c r="A676" t="s">
        <v>2035</v>
      </c>
      <c r="B676" t="s">
        <v>2036</v>
      </c>
      <c r="C676" t="s">
        <v>2037</v>
      </c>
      <c r="D676">
        <v>2022</v>
      </c>
      <c r="E676" t="s">
        <v>2038</v>
      </c>
      <c r="F676" t="s">
        <v>2039</v>
      </c>
      <c r="G676" t="s">
        <v>2040</v>
      </c>
      <c r="H676" t="s">
        <v>2043</v>
      </c>
      <c r="I676" t="s">
        <v>2042</v>
      </c>
      <c r="J676" t="s">
        <v>536</v>
      </c>
      <c r="K676" t="s">
        <v>35</v>
      </c>
      <c r="L676" t="s">
        <v>11</v>
      </c>
      <c r="M676" t="s">
        <v>18</v>
      </c>
      <c r="N676">
        <v>0</v>
      </c>
      <c r="O676" s="18" t="s">
        <v>20</v>
      </c>
      <c r="P676" s="18" t="s">
        <v>19</v>
      </c>
      <c r="S676" t="s">
        <v>47</v>
      </c>
      <c r="T676" t="s">
        <v>144</v>
      </c>
      <c r="U676">
        <v>5</v>
      </c>
      <c r="V676">
        <v>2</v>
      </c>
      <c r="W676">
        <v>26</v>
      </c>
      <c r="X676">
        <v>23</v>
      </c>
      <c r="AA676">
        <v>5.27</v>
      </c>
      <c r="AB676">
        <v>0.04</v>
      </c>
      <c r="AC676">
        <v>5.33</v>
      </c>
      <c r="AD676">
        <v>0.05</v>
      </c>
      <c r="AE676" t="s">
        <v>71</v>
      </c>
      <c r="AF676" t="s">
        <v>62</v>
      </c>
      <c r="AG676" t="s">
        <v>71</v>
      </c>
      <c r="AH676" t="s">
        <v>213</v>
      </c>
      <c r="AS676" t="s">
        <v>849</v>
      </c>
      <c r="AT676" t="s">
        <v>849</v>
      </c>
      <c r="AV676" t="s">
        <v>1810</v>
      </c>
      <c r="AW676" t="s">
        <v>1807</v>
      </c>
      <c r="AX676" t="s">
        <v>1822</v>
      </c>
      <c r="AY676" t="s">
        <v>1806</v>
      </c>
      <c r="AZ676" t="s">
        <v>76</v>
      </c>
    </row>
    <row r="677" spans="1:52" x14ac:dyDescent="0.2">
      <c r="A677" t="s">
        <v>2035</v>
      </c>
      <c r="B677" t="s">
        <v>2036</v>
      </c>
      <c r="C677" t="s">
        <v>2037</v>
      </c>
      <c r="D677">
        <v>2022</v>
      </c>
      <c r="E677" t="s">
        <v>2038</v>
      </c>
      <c r="F677" t="s">
        <v>2039</v>
      </c>
      <c r="G677" t="s">
        <v>2040</v>
      </c>
      <c r="H677" t="s">
        <v>2044</v>
      </c>
      <c r="I677" t="s">
        <v>2042</v>
      </c>
      <c r="J677" t="s">
        <v>536</v>
      </c>
      <c r="K677" t="s">
        <v>35</v>
      </c>
      <c r="L677" t="s">
        <v>11</v>
      </c>
      <c r="M677" t="s">
        <v>18</v>
      </c>
      <c r="N677">
        <v>0</v>
      </c>
      <c r="O677" s="18" t="s">
        <v>20</v>
      </c>
      <c r="P677" s="18" t="s">
        <v>19</v>
      </c>
      <c r="S677" t="s">
        <v>47</v>
      </c>
      <c r="T677" t="s">
        <v>144</v>
      </c>
      <c r="U677">
        <v>5</v>
      </c>
      <c r="V677">
        <v>2</v>
      </c>
      <c r="W677">
        <v>26</v>
      </c>
      <c r="X677">
        <v>27</v>
      </c>
      <c r="AA677">
        <v>49.61</v>
      </c>
      <c r="AB677">
        <v>0.5</v>
      </c>
      <c r="AC677">
        <v>49.11</v>
      </c>
      <c r="AD677">
        <v>0.28999999999999998</v>
      </c>
      <c r="AE677" t="s">
        <v>71</v>
      </c>
      <c r="AF677" t="s">
        <v>62</v>
      </c>
      <c r="AG677" t="s">
        <v>71</v>
      </c>
      <c r="AH677" t="s">
        <v>213</v>
      </c>
      <c r="AS677" t="s">
        <v>849</v>
      </c>
      <c r="AT677" t="s">
        <v>849</v>
      </c>
      <c r="AV677" t="s">
        <v>1810</v>
      </c>
      <c r="AW677" t="s">
        <v>1807</v>
      </c>
      <c r="AX677" t="s">
        <v>1822</v>
      </c>
      <c r="AY677" t="s">
        <v>1806</v>
      </c>
      <c r="AZ677" t="s">
        <v>76</v>
      </c>
    </row>
    <row r="678" spans="1:52" x14ac:dyDescent="0.2">
      <c r="A678" t="s">
        <v>2035</v>
      </c>
      <c r="B678" t="s">
        <v>2036</v>
      </c>
      <c r="C678" t="s">
        <v>2037</v>
      </c>
      <c r="D678">
        <v>2022</v>
      </c>
      <c r="E678" t="s">
        <v>2038</v>
      </c>
      <c r="F678" t="s">
        <v>2039</v>
      </c>
      <c r="G678" t="s">
        <v>2040</v>
      </c>
      <c r="H678" t="s">
        <v>2045</v>
      </c>
      <c r="I678" t="s">
        <v>2042</v>
      </c>
      <c r="J678" t="s">
        <v>536</v>
      </c>
      <c r="K678" t="s">
        <v>35</v>
      </c>
      <c r="L678" t="s">
        <v>11</v>
      </c>
      <c r="M678" t="s">
        <v>18</v>
      </c>
      <c r="N678">
        <v>0</v>
      </c>
      <c r="O678" s="18" t="s">
        <v>20</v>
      </c>
      <c r="P678" s="18" t="s">
        <v>19</v>
      </c>
      <c r="S678" t="s">
        <v>47</v>
      </c>
      <c r="T678" t="s">
        <v>144</v>
      </c>
      <c r="U678">
        <v>5</v>
      </c>
      <c r="V678">
        <v>2</v>
      </c>
      <c r="W678">
        <v>26</v>
      </c>
      <c r="X678">
        <v>23</v>
      </c>
      <c r="AA678">
        <v>49.61</v>
      </c>
      <c r="AB678">
        <v>0.5</v>
      </c>
      <c r="AC678">
        <v>49.57</v>
      </c>
      <c r="AD678">
        <v>0.54</v>
      </c>
      <c r="AE678" t="s">
        <v>71</v>
      </c>
      <c r="AF678" t="s">
        <v>62</v>
      </c>
      <c r="AG678" t="s">
        <v>71</v>
      </c>
      <c r="AH678" t="s">
        <v>213</v>
      </c>
      <c r="AS678" t="s">
        <v>849</v>
      </c>
      <c r="AT678" t="s">
        <v>849</v>
      </c>
      <c r="AV678" t="s">
        <v>1810</v>
      </c>
      <c r="AW678" t="s">
        <v>1807</v>
      </c>
      <c r="AX678" t="s">
        <v>1822</v>
      </c>
      <c r="AY678" t="s">
        <v>1806</v>
      </c>
      <c r="AZ678" t="s">
        <v>76</v>
      </c>
    </row>
    <row r="679" spans="1:52" x14ac:dyDescent="0.2">
      <c r="A679" t="s">
        <v>2035</v>
      </c>
      <c r="B679" t="s">
        <v>2036</v>
      </c>
      <c r="C679" t="s">
        <v>2037</v>
      </c>
      <c r="D679">
        <v>2022</v>
      </c>
      <c r="E679" t="s">
        <v>2038</v>
      </c>
      <c r="F679" t="s">
        <v>2039</v>
      </c>
      <c r="G679" t="s">
        <v>2040</v>
      </c>
      <c r="H679" t="s">
        <v>2046</v>
      </c>
      <c r="I679" t="s">
        <v>2042</v>
      </c>
      <c r="J679" t="s">
        <v>536</v>
      </c>
      <c r="K679" t="s">
        <v>35</v>
      </c>
      <c r="L679" t="s">
        <v>11</v>
      </c>
      <c r="M679" t="s">
        <v>18</v>
      </c>
      <c r="N679">
        <v>0</v>
      </c>
      <c r="O679" s="18" t="s">
        <v>20</v>
      </c>
      <c r="P679" s="18" t="s">
        <v>19</v>
      </c>
      <c r="S679" t="s">
        <v>47</v>
      </c>
      <c r="T679" t="s">
        <v>144</v>
      </c>
      <c r="U679">
        <v>5</v>
      </c>
      <c r="V679">
        <v>2</v>
      </c>
      <c r="W679">
        <v>26</v>
      </c>
      <c r="X679">
        <v>27</v>
      </c>
      <c r="AA679">
        <v>5.29</v>
      </c>
      <c r="AB679">
        <v>0.09</v>
      </c>
      <c r="AC679">
        <v>5.01</v>
      </c>
      <c r="AD679">
        <v>0.12</v>
      </c>
      <c r="AE679" t="s">
        <v>71</v>
      </c>
      <c r="AF679" t="s">
        <v>62</v>
      </c>
      <c r="AG679" t="s">
        <v>71</v>
      </c>
      <c r="AH679" t="s">
        <v>213</v>
      </c>
      <c r="AS679" t="s">
        <v>849</v>
      </c>
      <c r="AT679" t="s">
        <v>849</v>
      </c>
      <c r="AV679" t="s">
        <v>1810</v>
      </c>
      <c r="AW679" t="s">
        <v>1807</v>
      </c>
      <c r="AX679" t="s">
        <v>1822</v>
      </c>
      <c r="AY679" t="s">
        <v>1806</v>
      </c>
      <c r="AZ679" t="s">
        <v>76</v>
      </c>
    </row>
    <row r="680" spans="1:52" x14ac:dyDescent="0.2">
      <c r="A680" t="s">
        <v>2035</v>
      </c>
      <c r="B680" t="s">
        <v>2036</v>
      </c>
      <c r="C680" t="s">
        <v>2037</v>
      </c>
      <c r="D680">
        <v>2022</v>
      </c>
      <c r="E680" t="s">
        <v>2038</v>
      </c>
      <c r="F680" t="s">
        <v>2039</v>
      </c>
      <c r="G680" t="s">
        <v>2040</v>
      </c>
      <c r="H680" t="s">
        <v>2047</v>
      </c>
      <c r="I680" t="s">
        <v>2042</v>
      </c>
      <c r="J680" t="s">
        <v>536</v>
      </c>
      <c r="K680" t="s">
        <v>35</v>
      </c>
      <c r="L680" t="s">
        <v>11</v>
      </c>
      <c r="M680" t="s">
        <v>18</v>
      </c>
      <c r="N680">
        <v>0</v>
      </c>
      <c r="O680" s="18" t="s">
        <v>20</v>
      </c>
      <c r="P680" s="18" t="s">
        <v>19</v>
      </c>
      <c r="S680" t="s">
        <v>47</v>
      </c>
      <c r="T680" t="s">
        <v>144</v>
      </c>
      <c r="U680">
        <v>5</v>
      </c>
      <c r="V680">
        <v>2</v>
      </c>
      <c r="W680">
        <v>26</v>
      </c>
      <c r="X680">
        <v>23</v>
      </c>
      <c r="AA680">
        <v>5.29</v>
      </c>
      <c r="AB680">
        <v>0.09</v>
      </c>
      <c r="AC680">
        <v>5.01</v>
      </c>
      <c r="AD680">
        <v>0.09</v>
      </c>
      <c r="AE680" t="s">
        <v>71</v>
      </c>
      <c r="AF680" t="s">
        <v>62</v>
      </c>
      <c r="AG680" t="s">
        <v>71</v>
      </c>
      <c r="AH680" t="s">
        <v>213</v>
      </c>
      <c r="AS680" t="s">
        <v>849</v>
      </c>
      <c r="AT680" t="s">
        <v>849</v>
      </c>
      <c r="AV680" t="s">
        <v>1810</v>
      </c>
      <c r="AW680" t="s">
        <v>1807</v>
      </c>
      <c r="AX680" t="s">
        <v>1822</v>
      </c>
      <c r="AY680" t="s">
        <v>1806</v>
      </c>
      <c r="AZ680" t="s">
        <v>76</v>
      </c>
    </row>
    <row r="681" spans="1:52" x14ac:dyDescent="0.2">
      <c r="A681" t="s">
        <v>2035</v>
      </c>
      <c r="B681" t="s">
        <v>2036</v>
      </c>
      <c r="C681" t="s">
        <v>2037</v>
      </c>
      <c r="D681">
        <v>2022</v>
      </c>
      <c r="E681" t="s">
        <v>2038</v>
      </c>
      <c r="F681" t="s">
        <v>2039</v>
      </c>
      <c r="G681" t="s">
        <v>2040</v>
      </c>
      <c r="H681" t="s">
        <v>2048</v>
      </c>
      <c r="I681" t="s">
        <v>2042</v>
      </c>
      <c r="J681" t="s">
        <v>536</v>
      </c>
      <c r="K681" t="s">
        <v>35</v>
      </c>
      <c r="L681" t="s">
        <v>11</v>
      </c>
      <c r="M681" t="s">
        <v>18</v>
      </c>
      <c r="N681">
        <v>0</v>
      </c>
      <c r="O681" s="18" t="s">
        <v>21</v>
      </c>
      <c r="P681" s="18" t="s">
        <v>78</v>
      </c>
      <c r="S681" t="s">
        <v>47</v>
      </c>
      <c r="T681" t="s">
        <v>144</v>
      </c>
      <c r="U681">
        <v>5</v>
      </c>
      <c r="V681">
        <v>2</v>
      </c>
      <c r="W681">
        <v>26</v>
      </c>
      <c r="X681">
        <v>27</v>
      </c>
      <c r="AA681">
        <v>0.26</v>
      </c>
      <c r="AB681">
        <v>0.01</v>
      </c>
      <c r="AC681">
        <v>0.27</v>
      </c>
      <c r="AD681">
        <v>0.01</v>
      </c>
      <c r="AE681" t="s">
        <v>71</v>
      </c>
      <c r="AF681" t="s">
        <v>62</v>
      </c>
      <c r="AG681" t="s">
        <v>71</v>
      </c>
      <c r="AH681" t="s">
        <v>213</v>
      </c>
      <c r="AS681" t="s">
        <v>849</v>
      </c>
      <c r="AT681" t="s">
        <v>849</v>
      </c>
      <c r="AV681" t="s">
        <v>1810</v>
      </c>
      <c r="AW681" t="s">
        <v>1807</v>
      </c>
      <c r="AX681" t="s">
        <v>1822</v>
      </c>
      <c r="AY681" t="s">
        <v>1806</v>
      </c>
      <c r="AZ681" t="s">
        <v>76</v>
      </c>
    </row>
    <row r="682" spans="1:52" x14ac:dyDescent="0.2">
      <c r="A682" t="s">
        <v>2035</v>
      </c>
      <c r="B682" t="s">
        <v>2036</v>
      </c>
      <c r="C682" t="s">
        <v>2037</v>
      </c>
      <c r="D682">
        <v>2022</v>
      </c>
      <c r="E682" t="s">
        <v>2038</v>
      </c>
      <c r="F682" t="s">
        <v>2039</v>
      </c>
      <c r="G682" t="s">
        <v>2040</v>
      </c>
      <c r="H682" t="s">
        <v>2049</v>
      </c>
      <c r="I682" t="s">
        <v>2042</v>
      </c>
      <c r="J682" t="s">
        <v>536</v>
      </c>
      <c r="K682" t="s">
        <v>35</v>
      </c>
      <c r="L682" t="s">
        <v>11</v>
      </c>
      <c r="M682" t="s">
        <v>18</v>
      </c>
      <c r="N682">
        <v>0</v>
      </c>
      <c r="O682" s="18" t="s">
        <v>21</v>
      </c>
      <c r="P682" s="18" t="s">
        <v>78</v>
      </c>
      <c r="S682" t="s">
        <v>47</v>
      </c>
      <c r="T682" t="s">
        <v>144</v>
      </c>
      <c r="U682">
        <v>5</v>
      </c>
      <c r="V682">
        <v>2</v>
      </c>
      <c r="W682">
        <v>26</v>
      </c>
      <c r="X682">
        <v>23</v>
      </c>
      <c r="AA682">
        <v>0.26</v>
      </c>
      <c r="AB682">
        <v>0.01</v>
      </c>
      <c r="AC682">
        <v>0.27</v>
      </c>
      <c r="AD682">
        <v>0.01</v>
      </c>
      <c r="AE682" t="s">
        <v>71</v>
      </c>
      <c r="AF682" t="s">
        <v>62</v>
      </c>
      <c r="AG682" t="s">
        <v>71</v>
      </c>
      <c r="AH682" t="s">
        <v>213</v>
      </c>
      <c r="AS682" t="s">
        <v>849</v>
      </c>
      <c r="AT682" t="s">
        <v>849</v>
      </c>
      <c r="AV682" t="s">
        <v>1810</v>
      </c>
      <c r="AW682" t="s">
        <v>1807</v>
      </c>
      <c r="AX682" t="s">
        <v>1822</v>
      </c>
      <c r="AY682" t="s">
        <v>1806</v>
      </c>
      <c r="AZ682" t="s">
        <v>76</v>
      </c>
    </row>
    <row r="683" spans="1:52" x14ac:dyDescent="0.2">
      <c r="A683" t="s">
        <v>2053</v>
      </c>
      <c r="B683" t="s">
        <v>2054</v>
      </c>
      <c r="C683" t="s">
        <v>2055</v>
      </c>
      <c r="D683">
        <v>2024</v>
      </c>
      <c r="E683" t="s">
        <v>2056</v>
      </c>
      <c r="F683" t="s">
        <v>2057</v>
      </c>
      <c r="G683" t="s">
        <v>2050</v>
      </c>
      <c r="H683" t="s">
        <v>2058</v>
      </c>
      <c r="I683" t="s">
        <v>2059</v>
      </c>
      <c r="J683" t="s">
        <v>2066</v>
      </c>
      <c r="K683" t="s">
        <v>34</v>
      </c>
      <c r="O683" s="18" t="s">
        <v>21</v>
      </c>
      <c r="P683" s="18" t="s">
        <v>78</v>
      </c>
      <c r="Q683" t="s">
        <v>37</v>
      </c>
      <c r="R683" t="s">
        <v>42</v>
      </c>
      <c r="S683" t="s">
        <v>47</v>
      </c>
      <c r="T683" t="s">
        <v>398</v>
      </c>
      <c r="U683">
        <v>7</v>
      </c>
      <c r="V683">
        <v>2</v>
      </c>
      <c r="W683">
        <v>36</v>
      </c>
      <c r="X683">
        <v>36</v>
      </c>
      <c r="AA683">
        <v>225.13211920529801</v>
      </c>
      <c r="AB683">
        <v>26.105960264900801</v>
      </c>
      <c r="AC683">
        <v>81.5493377483443</v>
      </c>
      <c r="AD683">
        <v>26.105960264900801</v>
      </c>
      <c r="AE683" t="s">
        <v>71</v>
      </c>
      <c r="AF683" t="s">
        <v>61</v>
      </c>
      <c r="AG683" t="s">
        <v>71</v>
      </c>
      <c r="AH683" t="s">
        <v>213</v>
      </c>
      <c r="AS683" t="s">
        <v>849</v>
      </c>
      <c r="AT683" t="s">
        <v>849</v>
      </c>
      <c r="AV683" t="s">
        <v>1803</v>
      </c>
      <c r="AZ683" t="s">
        <v>1809</v>
      </c>
    </row>
    <row r="684" spans="1:52" x14ac:dyDescent="0.2">
      <c r="A684" t="s">
        <v>2060</v>
      </c>
      <c r="B684" t="s">
        <v>2061</v>
      </c>
      <c r="C684" t="s">
        <v>2062</v>
      </c>
      <c r="D684">
        <v>2021</v>
      </c>
      <c r="E684" t="s">
        <v>2063</v>
      </c>
      <c r="F684" t="s">
        <v>2064</v>
      </c>
      <c r="G684" t="s">
        <v>2051</v>
      </c>
      <c r="H684" t="s">
        <v>2065</v>
      </c>
      <c r="I684" t="s">
        <v>576</v>
      </c>
      <c r="J684" t="s">
        <v>536</v>
      </c>
      <c r="K684" t="s">
        <v>35</v>
      </c>
      <c r="L684" t="s">
        <v>11</v>
      </c>
      <c r="M684" t="s">
        <v>13</v>
      </c>
      <c r="N684">
        <v>1</v>
      </c>
      <c r="O684" s="18" t="s">
        <v>76</v>
      </c>
      <c r="P684" s="18" t="s">
        <v>27</v>
      </c>
      <c r="S684" t="s">
        <v>47</v>
      </c>
      <c r="T684" t="s">
        <v>2019</v>
      </c>
      <c r="U684">
        <v>108</v>
      </c>
      <c r="W684">
        <v>28</v>
      </c>
      <c r="X684">
        <v>33</v>
      </c>
      <c r="Y684">
        <v>25</v>
      </c>
      <c r="Z684">
        <v>24</v>
      </c>
      <c r="AG684" t="s">
        <v>1790</v>
      </c>
      <c r="AH684" t="s">
        <v>213</v>
      </c>
      <c r="AS684" t="s">
        <v>849</v>
      </c>
      <c r="AT684" t="s">
        <v>849</v>
      </c>
      <c r="AV684" t="s">
        <v>1803</v>
      </c>
      <c r="AW684" t="s">
        <v>1807</v>
      </c>
      <c r="AX684" t="s">
        <v>1808</v>
      </c>
      <c r="AY684" t="s">
        <v>1811</v>
      </c>
      <c r="AZ684" t="s">
        <v>76</v>
      </c>
    </row>
    <row r="685" spans="1:52" x14ac:dyDescent="0.2">
      <c r="A685" t="s">
        <v>2060</v>
      </c>
      <c r="B685" t="s">
        <v>2061</v>
      </c>
      <c r="C685" t="s">
        <v>2062</v>
      </c>
      <c r="D685">
        <v>2022</v>
      </c>
      <c r="E685" t="s">
        <v>2063</v>
      </c>
      <c r="F685" t="s">
        <v>2064</v>
      </c>
      <c r="G685" t="s">
        <v>2051</v>
      </c>
      <c r="H685" t="s">
        <v>2067</v>
      </c>
      <c r="I685" t="s">
        <v>576</v>
      </c>
      <c r="J685" t="s">
        <v>536</v>
      </c>
      <c r="K685" t="s">
        <v>35</v>
      </c>
      <c r="L685" t="s">
        <v>11</v>
      </c>
      <c r="M685" t="s">
        <v>13</v>
      </c>
      <c r="N685">
        <v>1</v>
      </c>
      <c r="O685" s="18" t="s">
        <v>76</v>
      </c>
      <c r="P685" s="18" t="s">
        <v>27</v>
      </c>
      <c r="S685" t="s">
        <v>47</v>
      </c>
      <c r="T685" t="s">
        <v>2019</v>
      </c>
      <c r="U685">
        <v>108</v>
      </c>
      <c r="W685">
        <v>32</v>
      </c>
      <c r="X685">
        <v>25</v>
      </c>
      <c r="Y685">
        <v>30</v>
      </c>
      <c r="Z685">
        <v>11</v>
      </c>
      <c r="AG685" t="s">
        <v>1790</v>
      </c>
      <c r="AH685" t="s">
        <v>213</v>
      </c>
      <c r="AS685" t="s">
        <v>849</v>
      </c>
      <c r="AT685" t="s">
        <v>849</v>
      </c>
      <c r="AV685" t="s">
        <v>1803</v>
      </c>
      <c r="AW685" t="s">
        <v>1807</v>
      </c>
      <c r="AX685" t="s">
        <v>1808</v>
      </c>
      <c r="AY685" t="s">
        <v>1811</v>
      </c>
      <c r="AZ685" t="s">
        <v>76</v>
      </c>
    </row>
    <row r="686" spans="1:52" x14ac:dyDescent="0.2">
      <c r="A686" t="s">
        <v>2060</v>
      </c>
      <c r="B686" t="s">
        <v>2061</v>
      </c>
      <c r="C686" t="s">
        <v>2062</v>
      </c>
      <c r="D686">
        <v>2022</v>
      </c>
      <c r="E686" t="s">
        <v>2063</v>
      </c>
      <c r="F686" t="s">
        <v>2064</v>
      </c>
      <c r="G686" t="s">
        <v>2052</v>
      </c>
      <c r="H686" t="s">
        <v>2069</v>
      </c>
      <c r="I686" t="s">
        <v>576</v>
      </c>
      <c r="J686" t="s">
        <v>536</v>
      </c>
      <c r="K686" t="s">
        <v>35</v>
      </c>
      <c r="L686" t="s">
        <v>11</v>
      </c>
      <c r="M686" t="s">
        <v>13</v>
      </c>
      <c r="N686">
        <v>1</v>
      </c>
      <c r="O686" s="18" t="s">
        <v>20</v>
      </c>
      <c r="P686" s="18" t="s">
        <v>27</v>
      </c>
      <c r="S686" t="s">
        <v>47</v>
      </c>
      <c r="T686" t="s">
        <v>398</v>
      </c>
      <c r="U686">
        <v>111</v>
      </c>
      <c r="V686">
        <v>4</v>
      </c>
      <c r="W686">
        <v>43</v>
      </c>
      <c r="X686">
        <v>43</v>
      </c>
      <c r="Y686">
        <v>24</v>
      </c>
      <c r="Z686">
        <v>19</v>
      </c>
      <c r="AG686" t="s">
        <v>1790</v>
      </c>
      <c r="AH686" t="s">
        <v>213</v>
      </c>
      <c r="AS686" t="s">
        <v>849</v>
      </c>
      <c r="AT686" t="s">
        <v>849</v>
      </c>
      <c r="AV686" t="s">
        <v>1803</v>
      </c>
      <c r="AW686" t="s">
        <v>1807</v>
      </c>
      <c r="AX686" t="s">
        <v>1808</v>
      </c>
      <c r="AY686" t="s">
        <v>1811</v>
      </c>
      <c r="AZ686" t="s">
        <v>76</v>
      </c>
    </row>
    <row r="687" spans="1:52" x14ac:dyDescent="0.2">
      <c r="A687" t="s">
        <v>2060</v>
      </c>
      <c r="B687" t="s">
        <v>2061</v>
      </c>
      <c r="C687" t="s">
        <v>2062</v>
      </c>
      <c r="D687">
        <v>2022</v>
      </c>
      <c r="E687" t="s">
        <v>2063</v>
      </c>
      <c r="F687" t="s">
        <v>2064</v>
      </c>
      <c r="G687" t="s">
        <v>2052</v>
      </c>
      <c r="H687" t="s">
        <v>2070</v>
      </c>
      <c r="I687" t="s">
        <v>576</v>
      </c>
      <c r="J687" t="s">
        <v>536</v>
      </c>
      <c r="K687" t="s">
        <v>35</v>
      </c>
      <c r="L687" t="s">
        <v>11</v>
      </c>
      <c r="M687" t="s">
        <v>13</v>
      </c>
      <c r="N687">
        <v>1</v>
      </c>
      <c r="O687" s="18" t="s">
        <v>20</v>
      </c>
      <c r="P687" s="18" t="s">
        <v>27</v>
      </c>
      <c r="S687" t="s">
        <v>47</v>
      </c>
      <c r="T687" t="s">
        <v>398</v>
      </c>
      <c r="U687">
        <v>111</v>
      </c>
      <c r="V687">
        <v>4</v>
      </c>
      <c r="W687">
        <v>33</v>
      </c>
      <c r="X687">
        <v>33</v>
      </c>
      <c r="Y687">
        <v>25</v>
      </c>
      <c r="Z687">
        <v>8</v>
      </c>
      <c r="AG687" t="s">
        <v>1790</v>
      </c>
      <c r="AH687" t="s">
        <v>213</v>
      </c>
      <c r="AS687" t="s">
        <v>849</v>
      </c>
      <c r="AT687" t="s">
        <v>849</v>
      </c>
      <c r="AV687" t="s">
        <v>1803</v>
      </c>
      <c r="AW687" t="s">
        <v>1807</v>
      </c>
      <c r="AX687" t="s">
        <v>1808</v>
      </c>
      <c r="AY687" t="s">
        <v>1811</v>
      </c>
      <c r="AZ687" t="s">
        <v>76</v>
      </c>
    </row>
    <row r="688" spans="1:52" x14ac:dyDescent="0.2">
      <c r="A688" t="s">
        <v>2071</v>
      </c>
      <c r="B688" t="s">
        <v>2078</v>
      </c>
      <c r="C688" t="s">
        <v>2072</v>
      </c>
      <c r="D688">
        <v>2020</v>
      </c>
      <c r="E688" t="s">
        <v>2068</v>
      </c>
      <c r="F688" t="s">
        <v>2074</v>
      </c>
      <c r="G688" t="s">
        <v>2075</v>
      </c>
      <c r="H688" t="s">
        <v>2076</v>
      </c>
      <c r="I688" t="s">
        <v>2077</v>
      </c>
      <c r="J688" t="s">
        <v>29</v>
      </c>
      <c r="K688" t="s">
        <v>34</v>
      </c>
      <c r="O688" s="18" t="s">
        <v>20</v>
      </c>
      <c r="P688" s="18" t="s">
        <v>27</v>
      </c>
      <c r="Q688" t="s">
        <v>38</v>
      </c>
      <c r="R688" t="s">
        <v>45</v>
      </c>
      <c r="S688" t="s">
        <v>47</v>
      </c>
      <c r="T688" t="s">
        <v>421</v>
      </c>
      <c r="W688">
        <v>1945</v>
      </c>
      <c r="X688">
        <v>658</v>
      </c>
      <c r="AA688">
        <v>5.2267352185089972</v>
      </c>
      <c r="AB688">
        <v>11.675768270045497</v>
      </c>
      <c r="AC688">
        <v>1.8297872340425532</v>
      </c>
      <c r="AD688">
        <v>4.8910405105476809</v>
      </c>
      <c r="AE688" t="s">
        <v>71</v>
      </c>
      <c r="AF688" t="s">
        <v>61</v>
      </c>
      <c r="AG688" t="s">
        <v>71</v>
      </c>
      <c r="AH688" t="s">
        <v>213</v>
      </c>
      <c r="AS688" t="s">
        <v>222</v>
      </c>
      <c r="AT688" t="s">
        <v>849</v>
      </c>
      <c r="AV688" t="s">
        <v>1803</v>
      </c>
      <c r="AW688" t="s">
        <v>1807</v>
      </c>
      <c r="AX688" t="s">
        <v>1808</v>
      </c>
      <c r="AY688" t="s">
        <v>1814</v>
      </c>
      <c r="AZ688" t="s">
        <v>76</v>
      </c>
    </row>
    <row r="689" spans="1:52" x14ac:dyDescent="0.2">
      <c r="A689" t="s">
        <v>2071</v>
      </c>
      <c r="B689" t="s">
        <v>2078</v>
      </c>
      <c r="C689" t="s">
        <v>2072</v>
      </c>
      <c r="D689">
        <v>2020</v>
      </c>
      <c r="E689" t="s">
        <v>2068</v>
      </c>
      <c r="F689" t="s">
        <v>2079</v>
      </c>
      <c r="G689" t="s">
        <v>2080</v>
      </c>
      <c r="H689" t="s">
        <v>2081</v>
      </c>
      <c r="I689" t="s">
        <v>2077</v>
      </c>
      <c r="J689" t="s">
        <v>29</v>
      </c>
      <c r="K689" t="s">
        <v>34</v>
      </c>
      <c r="O689" s="18" t="s">
        <v>20</v>
      </c>
      <c r="P689" s="18" t="s">
        <v>27</v>
      </c>
      <c r="Q689" t="s">
        <v>38</v>
      </c>
      <c r="R689" t="s">
        <v>44</v>
      </c>
      <c r="S689" t="s">
        <v>47</v>
      </c>
      <c r="T689" t="s">
        <v>421</v>
      </c>
      <c r="W689">
        <v>70</v>
      </c>
      <c r="X689">
        <v>70</v>
      </c>
      <c r="Y689">
        <v>52</v>
      </c>
      <c r="Z689">
        <v>18</v>
      </c>
      <c r="AG689" t="s">
        <v>1790</v>
      </c>
      <c r="AH689" t="s">
        <v>213</v>
      </c>
      <c r="AS689" t="s">
        <v>222</v>
      </c>
      <c r="AT689" t="s">
        <v>849</v>
      </c>
      <c r="AV689" t="s">
        <v>1803</v>
      </c>
      <c r="AW689" t="s">
        <v>1807</v>
      </c>
      <c r="AX689" t="s">
        <v>1808</v>
      </c>
      <c r="AY689" t="s">
        <v>1814</v>
      </c>
      <c r="AZ689" t="s">
        <v>76</v>
      </c>
    </row>
    <row r="690" spans="1:52" x14ac:dyDescent="0.2">
      <c r="A690" t="s">
        <v>2071</v>
      </c>
      <c r="B690" t="s">
        <v>2078</v>
      </c>
      <c r="C690" t="s">
        <v>2072</v>
      </c>
      <c r="D690">
        <v>2020</v>
      </c>
      <c r="E690" t="s">
        <v>2068</v>
      </c>
      <c r="F690" t="s">
        <v>2079</v>
      </c>
      <c r="G690" t="s">
        <v>2082</v>
      </c>
      <c r="H690" t="s">
        <v>2083</v>
      </c>
      <c r="I690" t="s">
        <v>2077</v>
      </c>
      <c r="J690" t="s">
        <v>29</v>
      </c>
      <c r="K690" t="s">
        <v>34</v>
      </c>
      <c r="O690" s="18" t="s">
        <v>20</v>
      </c>
      <c r="P690" s="18" t="s">
        <v>27</v>
      </c>
      <c r="Q690" t="s">
        <v>38</v>
      </c>
      <c r="R690" t="s">
        <v>44</v>
      </c>
      <c r="S690" t="s">
        <v>47</v>
      </c>
      <c r="T690" t="s">
        <v>421</v>
      </c>
      <c r="W690">
        <v>21</v>
      </c>
      <c r="X690">
        <v>25</v>
      </c>
      <c r="Y690">
        <v>21</v>
      </c>
      <c r="Z690">
        <v>23</v>
      </c>
      <c r="AG690" t="s">
        <v>1790</v>
      </c>
      <c r="AH690" t="s">
        <v>213</v>
      </c>
      <c r="AS690" t="s">
        <v>222</v>
      </c>
      <c r="AT690" t="s">
        <v>849</v>
      </c>
      <c r="AV690" t="s">
        <v>1803</v>
      </c>
      <c r="AW690" t="s">
        <v>1807</v>
      </c>
      <c r="AX690" t="s">
        <v>1808</v>
      </c>
      <c r="AY690" t="s">
        <v>1814</v>
      </c>
      <c r="AZ690" t="s">
        <v>76</v>
      </c>
    </row>
    <row r="691" spans="1:52" x14ac:dyDescent="0.2">
      <c r="A691" t="s">
        <v>2087</v>
      </c>
      <c r="B691" t="s">
        <v>2088</v>
      </c>
      <c r="C691" t="s">
        <v>2089</v>
      </c>
      <c r="D691">
        <v>2023</v>
      </c>
      <c r="E691" t="s">
        <v>2073</v>
      </c>
      <c r="F691" t="s">
        <v>2084</v>
      </c>
      <c r="G691" t="s">
        <v>2085</v>
      </c>
      <c r="H691" t="s">
        <v>2086</v>
      </c>
      <c r="I691" t="s">
        <v>512</v>
      </c>
      <c r="J691" t="s">
        <v>83</v>
      </c>
      <c r="K691" t="s">
        <v>35</v>
      </c>
      <c r="L691" t="s">
        <v>12</v>
      </c>
      <c r="O691" s="18" t="s">
        <v>76</v>
      </c>
      <c r="P691" s="18" t="s">
        <v>1042</v>
      </c>
      <c r="Q691" t="s">
        <v>38</v>
      </c>
      <c r="R691" t="s">
        <v>41</v>
      </c>
      <c r="S691" t="s">
        <v>47</v>
      </c>
      <c r="T691" t="s">
        <v>421</v>
      </c>
      <c r="W691">
        <v>4</v>
      </c>
      <c r="X691">
        <v>4</v>
      </c>
      <c r="AA691">
        <v>0.12987210088713846</v>
      </c>
      <c r="AB691">
        <v>7.4050794061572084E-2</v>
      </c>
      <c r="AC691">
        <v>9.3147675736961449E-2</v>
      </c>
      <c r="AD691">
        <v>5.6205104806389912E-2</v>
      </c>
      <c r="AE691" t="s">
        <v>71</v>
      </c>
      <c r="AF691" t="s">
        <v>61</v>
      </c>
      <c r="AG691" t="s">
        <v>71</v>
      </c>
      <c r="AH691" t="s">
        <v>213</v>
      </c>
      <c r="AS691" t="s">
        <v>849</v>
      </c>
      <c r="AT691" t="s">
        <v>849</v>
      </c>
      <c r="AV691" t="s">
        <v>1803</v>
      </c>
      <c r="AW691" t="s">
        <v>1815</v>
      </c>
      <c r="AX691" t="s">
        <v>1816</v>
      </c>
      <c r="AY691" t="s">
        <v>1814</v>
      </c>
      <c r="AZ691" t="s">
        <v>76</v>
      </c>
    </row>
    <row r="692" spans="1:52" x14ac:dyDescent="0.2">
      <c r="A692" t="s">
        <v>2090</v>
      </c>
      <c r="B692" t="s">
        <v>2091</v>
      </c>
      <c r="C692" t="s">
        <v>2092</v>
      </c>
      <c r="D692">
        <v>2022</v>
      </c>
      <c r="E692" t="s">
        <v>2093</v>
      </c>
      <c r="F692" t="s">
        <v>2094</v>
      </c>
      <c r="G692" t="s">
        <v>2095</v>
      </c>
      <c r="H692" t="s">
        <v>2096</v>
      </c>
      <c r="I692" t="s">
        <v>2097</v>
      </c>
      <c r="J692" t="s">
        <v>2098</v>
      </c>
      <c r="K692" t="s">
        <v>34</v>
      </c>
      <c r="O692" s="18" t="s">
        <v>20</v>
      </c>
      <c r="P692" s="18" t="s">
        <v>1824</v>
      </c>
      <c r="Q692" t="s">
        <v>38</v>
      </c>
      <c r="R692" t="s">
        <v>44</v>
      </c>
      <c r="S692" t="s">
        <v>47</v>
      </c>
      <c r="T692" t="s">
        <v>144</v>
      </c>
      <c r="U692">
        <v>457</v>
      </c>
      <c r="V692">
        <v>1</v>
      </c>
      <c r="W692">
        <v>11</v>
      </c>
      <c r="X692">
        <v>12</v>
      </c>
      <c r="Y692">
        <v>0</v>
      </c>
      <c r="Z692">
        <v>7</v>
      </c>
      <c r="AG692" t="s">
        <v>1790</v>
      </c>
      <c r="AH692" t="s">
        <v>213</v>
      </c>
      <c r="AS692" t="s">
        <v>222</v>
      </c>
      <c r="AT692" t="s">
        <v>222</v>
      </c>
      <c r="AV692" t="s">
        <v>1803</v>
      </c>
      <c r="AW692" t="s">
        <v>1815</v>
      </c>
      <c r="AX692" t="s">
        <v>1817</v>
      </c>
      <c r="AY692" t="s">
        <v>1806</v>
      </c>
      <c r="AZ692" t="s">
        <v>76</v>
      </c>
    </row>
    <row r="693" spans="1:52" x14ac:dyDescent="0.2">
      <c r="A693" t="s">
        <v>2090</v>
      </c>
      <c r="B693" t="s">
        <v>2091</v>
      </c>
      <c r="C693" t="s">
        <v>2092</v>
      </c>
      <c r="D693">
        <v>2022</v>
      </c>
      <c r="E693" t="s">
        <v>2093</v>
      </c>
      <c r="F693" t="s">
        <v>2094</v>
      </c>
      <c r="G693" t="s">
        <v>2095</v>
      </c>
      <c r="H693" t="s">
        <v>2099</v>
      </c>
      <c r="I693" t="s">
        <v>2097</v>
      </c>
      <c r="J693" t="s">
        <v>2098</v>
      </c>
      <c r="K693" t="s">
        <v>34</v>
      </c>
      <c r="O693" s="18" t="s">
        <v>20</v>
      </c>
      <c r="P693" s="18" t="s">
        <v>27</v>
      </c>
      <c r="Q693" t="s">
        <v>38</v>
      </c>
      <c r="R693" t="s">
        <v>44</v>
      </c>
      <c r="S693" t="s">
        <v>47</v>
      </c>
      <c r="T693" t="s">
        <v>144</v>
      </c>
      <c r="U693">
        <v>457</v>
      </c>
      <c r="V693">
        <v>1</v>
      </c>
      <c r="W693">
        <v>11</v>
      </c>
      <c r="X693">
        <v>12</v>
      </c>
      <c r="Y693">
        <v>10</v>
      </c>
      <c r="Z693">
        <v>5</v>
      </c>
      <c r="AG693" t="s">
        <v>1790</v>
      </c>
      <c r="AH693" t="s">
        <v>213</v>
      </c>
      <c r="AS693" t="s">
        <v>222</v>
      </c>
      <c r="AT693" t="s">
        <v>849</v>
      </c>
      <c r="AV693" t="s">
        <v>1803</v>
      </c>
      <c r="AW693" t="s">
        <v>1815</v>
      </c>
      <c r="AX693" t="s">
        <v>1817</v>
      </c>
      <c r="AY693" t="s">
        <v>1806</v>
      </c>
      <c r="AZ693" t="s">
        <v>76</v>
      </c>
    </row>
    <row r="694" spans="1:52" x14ac:dyDescent="0.2">
      <c r="A694" t="s">
        <v>2090</v>
      </c>
      <c r="B694" t="s">
        <v>2091</v>
      </c>
      <c r="C694" t="s">
        <v>2092</v>
      </c>
      <c r="D694">
        <v>2022</v>
      </c>
      <c r="E694" t="s">
        <v>2093</v>
      </c>
      <c r="F694" t="s">
        <v>2094</v>
      </c>
      <c r="G694" t="s">
        <v>2095</v>
      </c>
      <c r="H694" t="s">
        <v>2100</v>
      </c>
      <c r="I694" t="s">
        <v>2097</v>
      </c>
      <c r="J694" t="s">
        <v>2098</v>
      </c>
      <c r="K694" t="s">
        <v>34</v>
      </c>
      <c r="O694" s="18" t="s">
        <v>20</v>
      </c>
      <c r="P694" s="18" t="s">
        <v>1824</v>
      </c>
      <c r="Q694" t="s">
        <v>38</v>
      </c>
      <c r="R694" t="s">
        <v>44</v>
      </c>
      <c r="S694" t="s">
        <v>47</v>
      </c>
      <c r="T694" t="s">
        <v>144</v>
      </c>
      <c r="U694">
        <v>457</v>
      </c>
      <c r="V694">
        <v>1</v>
      </c>
      <c r="W694">
        <v>15</v>
      </c>
      <c r="X694">
        <v>12</v>
      </c>
      <c r="Y694">
        <v>0</v>
      </c>
      <c r="Z694">
        <v>3</v>
      </c>
      <c r="AG694" t="s">
        <v>1790</v>
      </c>
      <c r="AH694" t="s">
        <v>213</v>
      </c>
      <c r="AS694" t="s">
        <v>222</v>
      </c>
      <c r="AT694" t="s">
        <v>222</v>
      </c>
      <c r="AV694" t="s">
        <v>1803</v>
      </c>
      <c r="AW694" t="s">
        <v>1815</v>
      </c>
      <c r="AX694" t="s">
        <v>1817</v>
      </c>
      <c r="AY694" t="s">
        <v>1806</v>
      </c>
      <c r="AZ694" t="s">
        <v>76</v>
      </c>
    </row>
    <row r="695" spans="1:52" x14ac:dyDescent="0.2">
      <c r="A695" t="s">
        <v>2090</v>
      </c>
      <c r="B695" t="s">
        <v>2091</v>
      </c>
      <c r="C695" t="s">
        <v>2092</v>
      </c>
      <c r="D695">
        <v>2022</v>
      </c>
      <c r="E695" t="s">
        <v>2093</v>
      </c>
      <c r="F695" t="s">
        <v>2094</v>
      </c>
      <c r="G695" t="s">
        <v>2095</v>
      </c>
      <c r="H695" t="s">
        <v>2101</v>
      </c>
      <c r="I695" t="s">
        <v>2097</v>
      </c>
      <c r="J695" t="s">
        <v>2098</v>
      </c>
      <c r="K695" t="s">
        <v>34</v>
      </c>
      <c r="O695" s="18" t="s">
        <v>20</v>
      </c>
      <c r="P695" s="18" t="s">
        <v>27</v>
      </c>
      <c r="Q695" t="s">
        <v>38</v>
      </c>
      <c r="R695" t="s">
        <v>44</v>
      </c>
      <c r="S695" t="s">
        <v>47</v>
      </c>
      <c r="T695" t="s">
        <v>144</v>
      </c>
      <c r="U695">
        <v>457</v>
      </c>
      <c r="V695">
        <v>1</v>
      </c>
      <c r="W695">
        <v>15</v>
      </c>
      <c r="X695">
        <v>12</v>
      </c>
      <c r="Y695">
        <v>1</v>
      </c>
      <c r="Z695">
        <v>1</v>
      </c>
      <c r="AG695" t="s">
        <v>1790</v>
      </c>
      <c r="AH695" t="s">
        <v>213</v>
      </c>
      <c r="AS695" t="s">
        <v>222</v>
      </c>
      <c r="AT695" t="s">
        <v>849</v>
      </c>
      <c r="AV695" t="s">
        <v>1803</v>
      </c>
      <c r="AW695" t="s">
        <v>1815</v>
      </c>
      <c r="AX695" t="s">
        <v>1817</v>
      </c>
      <c r="AY695" t="s">
        <v>1806</v>
      </c>
      <c r="AZ695" t="s">
        <v>76</v>
      </c>
    </row>
    <row r="696" spans="1:52" x14ac:dyDescent="0.2">
      <c r="A696" t="s">
        <v>2105</v>
      </c>
      <c r="B696" t="s">
        <v>2106</v>
      </c>
      <c r="C696" t="s">
        <v>2107</v>
      </c>
      <c r="D696">
        <v>2021</v>
      </c>
      <c r="E696" t="s">
        <v>2102</v>
      </c>
      <c r="F696" t="s">
        <v>2108</v>
      </c>
      <c r="G696" t="s">
        <v>2109</v>
      </c>
      <c r="H696" t="s">
        <v>2110</v>
      </c>
      <c r="I696" t="s">
        <v>2111</v>
      </c>
      <c r="J696" t="s">
        <v>82</v>
      </c>
      <c r="K696" t="s">
        <v>35</v>
      </c>
      <c r="L696" t="s">
        <v>12</v>
      </c>
      <c r="O696" s="18" t="s">
        <v>76</v>
      </c>
      <c r="P696" s="18" t="s">
        <v>1042</v>
      </c>
      <c r="Q696" t="s">
        <v>38</v>
      </c>
      <c r="R696" t="s">
        <v>41</v>
      </c>
      <c r="S696" t="s">
        <v>47</v>
      </c>
      <c r="T696" t="s">
        <v>398</v>
      </c>
      <c r="U696">
        <v>6</v>
      </c>
      <c r="V696" t="s">
        <v>1050</v>
      </c>
      <c r="W696">
        <v>11</v>
      </c>
      <c r="X696">
        <v>16</v>
      </c>
      <c r="Y696">
        <v>8</v>
      </c>
      <c r="Z696">
        <v>7</v>
      </c>
      <c r="AG696" t="s">
        <v>1790</v>
      </c>
      <c r="AH696" t="s">
        <v>213</v>
      </c>
      <c r="AS696" t="s">
        <v>849</v>
      </c>
      <c r="AT696" t="s">
        <v>849</v>
      </c>
      <c r="AV696" t="s">
        <v>1803</v>
      </c>
      <c r="AW696" t="s">
        <v>1807</v>
      </c>
      <c r="AX696" t="s">
        <v>1822</v>
      </c>
      <c r="AY696" t="s">
        <v>1811</v>
      </c>
      <c r="AZ696" t="s">
        <v>76</v>
      </c>
    </row>
    <row r="697" spans="1:52" x14ac:dyDescent="0.2">
      <c r="A697" t="s">
        <v>2105</v>
      </c>
      <c r="B697" t="s">
        <v>2106</v>
      </c>
      <c r="C697" t="s">
        <v>2107</v>
      </c>
      <c r="D697">
        <v>2021</v>
      </c>
      <c r="E697" t="s">
        <v>2102</v>
      </c>
      <c r="F697" t="s">
        <v>2108</v>
      </c>
      <c r="G697" t="s">
        <v>2109</v>
      </c>
      <c r="H697" t="s">
        <v>2112</v>
      </c>
      <c r="I697" t="s">
        <v>2111</v>
      </c>
      <c r="J697" t="s">
        <v>82</v>
      </c>
      <c r="K697" t="s">
        <v>35</v>
      </c>
      <c r="L697" t="s">
        <v>12</v>
      </c>
      <c r="O697" s="18" t="s">
        <v>76</v>
      </c>
      <c r="P697" s="18" t="s">
        <v>1042</v>
      </c>
      <c r="Q697" t="s">
        <v>38</v>
      </c>
      <c r="R697" t="s">
        <v>41</v>
      </c>
      <c r="S697" t="s">
        <v>47</v>
      </c>
      <c r="T697" t="s">
        <v>398</v>
      </c>
      <c r="U697">
        <v>6</v>
      </c>
      <c r="V697" t="s">
        <v>528</v>
      </c>
      <c r="W697">
        <v>15</v>
      </c>
      <c r="X697">
        <v>8</v>
      </c>
      <c r="Y697">
        <v>13</v>
      </c>
      <c r="Z697">
        <v>5</v>
      </c>
      <c r="AG697" t="s">
        <v>1790</v>
      </c>
      <c r="AH697" t="s">
        <v>213</v>
      </c>
      <c r="AS697" t="s">
        <v>849</v>
      </c>
      <c r="AT697" t="s">
        <v>849</v>
      </c>
      <c r="AV697" t="s">
        <v>1803</v>
      </c>
      <c r="AW697" t="s">
        <v>1807</v>
      </c>
      <c r="AX697" t="s">
        <v>1822</v>
      </c>
      <c r="AY697" t="s">
        <v>1811</v>
      </c>
      <c r="AZ697" t="s">
        <v>76</v>
      </c>
    </row>
    <row r="698" spans="1:52" x14ac:dyDescent="0.2">
      <c r="A698" t="s">
        <v>2105</v>
      </c>
      <c r="B698" t="s">
        <v>2106</v>
      </c>
      <c r="C698" t="s">
        <v>2107</v>
      </c>
      <c r="D698">
        <v>2021</v>
      </c>
      <c r="E698" t="s">
        <v>2102</v>
      </c>
      <c r="F698" t="s">
        <v>2108</v>
      </c>
      <c r="G698" t="s">
        <v>2114</v>
      </c>
      <c r="H698" t="s">
        <v>2115</v>
      </c>
      <c r="I698" t="s">
        <v>2111</v>
      </c>
      <c r="J698" t="s">
        <v>82</v>
      </c>
      <c r="K698" t="s">
        <v>35</v>
      </c>
      <c r="L698" t="s">
        <v>12</v>
      </c>
      <c r="O698" s="18" t="s">
        <v>76</v>
      </c>
      <c r="P698" s="18" t="s">
        <v>1042</v>
      </c>
      <c r="Q698" t="s">
        <v>38</v>
      </c>
      <c r="R698" t="s">
        <v>41</v>
      </c>
      <c r="S698" t="s">
        <v>47</v>
      </c>
      <c r="T698" t="s">
        <v>398</v>
      </c>
      <c r="U698">
        <v>9</v>
      </c>
      <c r="V698" t="s">
        <v>2117</v>
      </c>
      <c r="W698">
        <v>10</v>
      </c>
      <c r="X698">
        <v>10</v>
      </c>
      <c r="AA698">
        <v>91.636363636363697</v>
      </c>
      <c r="AB698">
        <v>9.1993531932170995</v>
      </c>
      <c r="AC698">
        <v>96.969696969696997</v>
      </c>
      <c r="AD698">
        <v>9.1993531932170995</v>
      </c>
      <c r="AE698" t="s">
        <v>71</v>
      </c>
      <c r="AF698" t="s">
        <v>61</v>
      </c>
      <c r="AG698" t="s">
        <v>71</v>
      </c>
      <c r="AH698" t="s">
        <v>213</v>
      </c>
      <c r="AS698" t="s">
        <v>849</v>
      </c>
      <c r="AT698" t="s">
        <v>849</v>
      </c>
      <c r="AV698" t="s">
        <v>1803</v>
      </c>
      <c r="AW698" t="s">
        <v>1807</v>
      </c>
      <c r="AX698" t="s">
        <v>1822</v>
      </c>
      <c r="AY698" t="s">
        <v>1811</v>
      </c>
      <c r="AZ698" t="s">
        <v>76</v>
      </c>
    </row>
    <row r="699" spans="1:52" x14ac:dyDescent="0.2">
      <c r="A699" t="s">
        <v>2105</v>
      </c>
      <c r="B699" t="s">
        <v>2106</v>
      </c>
      <c r="C699" t="s">
        <v>2107</v>
      </c>
      <c r="D699">
        <v>2021</v>
      </c>
      <c r="E699" t="s">
        <v>2102</v>
      </c>
      <c r="F699" t="s">
        <v>2108</v>
      </c>
      <c r="G699" t="s">
        <v>2114</v>
      </c>
      <c r="H699" t="s">
        <v>2116</v>
      </c>
      <c r="I699" t="s">
        <v>2111</v>
      </c>
      <c r="J699" t="s">
        <v>82</v>
      </c>
      <c r="K699" t="s">
        <v>35</v>
      </c>
      <c r="L699" t="s">
        <v>12</v>
      </c>
      <c r="O699" s="18" t="s">
        <v>76</v>
      </c>
      <c r="P699" s="18" t="s">
        <v>1042</v>
      </c>
      <c r="Q699" t="s">
        <v>38</v>
      </c>
      <c r="R699" t="s">
        <v>41</v>
      </c>
      <c r="S699" t="s">
        <v>47</v>
      </c>
      <c r="T699" t="s">
        <v>398</v>
      </c>
      <c r="U699">
        <v>9</v>
      </c>
      <c r="V699" t="s">
        <v>2117</v>
      </c>
      <c r="W699">
        <v>10</v>
      </c>
      <c r="X699">
        <v>10</v>
      </c>
      <c r="AA699">
        <v>87.272727272727295</v>
      </c>
      <c r="AB699">
        <v>6.1329021288114003</v>
      </c>
      <c r="AC699">
        <v>110.06060606060601</v>
      </c>
      <c r="AD699">
        <v>10.73257872542</v>
      </c>
      <c r="AE699" t="s">
        <v>71</v>
      </c>
      <c r="AF699" t="s">
        <v>61</v>
      </c>
      <c r="AG699" t="s">
        <v>71</v>
      </c>
      <c r="AH699" t="s">
        <v>213</v>
      </c>
      <c r="AS699" t="s">
        <v>849</v>
      </c>
      <c r="AT699" t="s">
        <v>849</v>
      </c>
      <c r="AV699" t="s">
        <v>1803</v>
      </c>
      <c r="AW699" t="s">
        <v>1807</v>
      </c>
      <c r="AX699" t="s">
        <v>1822</v>
      </c>
      <c r="AY699" t="s">
        <v>1811</v>
      </c>
      <c r="AZ699" t="s">
        <v>76</v>
      </c>
    </row>
    <row r="700" spans="1:52" x14ac:dyDescent="0.2">
      <c r="A700" t="s">
        <v>2105</v>
      </c>
      <c r="B700" t="s">
        <v>2106</v>
      </c>
      <c r="C700" t="s">
        <v>2107</v>
      </c>
      <c r="D700">
        <v>2021</v>
      </c>
      <c r="E700" t="s">
        <v>2102</v>
      </c>
      <c r="F700" t="s">
        <v>2108</v>
      </c>
      <c r="G700" t="s">
        <v>2118</v>
      </c>
      <c r="H700" t="s">
        <v>2119</v>
      </c>
      <c r="I700" t="s">
        <v>2111</v>
      </c>
      <c r="J700" t="s">
        <v>82</v>
      </c>
      <c r="K700" t="s">
        <v>35</v>
      </c>
      <c r="L700" t="s">
        <v>11</v>
      </c>
      <c r="M700" t="s">
        <v>2294</v>
      </c>
      <c r="N700">
        <v>0</v>
      </c>
      <c r="O700" s="18" t="s">
        <v>76</v>
      </c>
      <c r="P700" s="18" t="s">
        <v>1042</v>
      </c>
      <c r="S700" t="s">
        <v>47</v>
      </c>
      <c r="T700" t="s">
        <v>398</v>
      </c>
      <c r="U700">
        <v>10</v>
      </c>
      <c r="V700" t="s">
        <v>2121</v>
      </c>
      <c r="W700">
        <v>30</v>
      </c>
      <c r="X700">
        <v>30</v>
      </c>
      <c r="AA700">
        <v>8.7654320987654302</v>
      </c>
      <c r="AB700">
        <v>1.3524013765559699</v>
      </c>
      <c r="AC700">
        <v>11.9135802469136</v>
      </c>
      <c r="AD700">
        <v>1.0143010324169801</v>
      </c>
      <c r="AE700" t="s">
        <v>71</v>
      </c>
      <c r="AF700" t="s">
        <v>61</v>
      </c>
      <c r="AG700" t="s">
        <v>71</v>
      </c>
      <c r="AH700" t="s">
        <v>213</v>
      </c>
      <c r="AS700" t="s">
        <v>849</v>
      </c>
      <c r="AT700" t="s">
        <v>849</v>
      </c>
      <c r="AV700" t="s">
        <v>1803</v>
      </c>
      <c r="AW700" t="s">
        <v>1807</v>
      </c>
      <c r="AX700" t="s">
        <v>1822</v>
      </c>
      <c r="AY700" t="s">
        <v>1811</v>
      </c>
      <c r="AZ700" t="s">
        <v>76</v>
      </c>
    </row>
    <row r="701" spans="1:52" x14ac:dyDescent="0.2">
      <c r="A701" t="s">
        <v>2105</v>
      </c>
      <c r="B701" t="s">
        <v>2106</v>
      </c>
      <c r="C701" t="s">
        <v>2107</v>
      </c>
      <c r="D701">
        <v>2021</v>
      </c>
      <c r="E701" t="s">
        <v>2102</v>
      </c>
      <c r="F701" t="s">
        <v>2108</v>
      </c>
      <c r="G701" t="s">
        <v>2118</v>
      </c>
      <c r="H701" t="s">
        <v>2120</v>
      </c>
      <c r="I701" t="s">
        <v>2111</v>
      </c>
      <c r="J701" t="s">
        <v>82</v>
      </c>
      <c r="K701" t="s">
        <v>35</v>
      </c>
      <c r="L701" t="s">
        <v>11</v>
      </c>
      <c r="M701" t="s">
        <v>14</v>
      </c>
      <c r="N701">
        <v>1</v>
      </c>
      <c r="O701" s="18" t="s">
        <v>76</v>
      </c>
      <c r="P701" s="18" t="s">
        <v>1042</v>
      </c>
      <c r="S701" t="s">
        <v>47</v>
      </c>
      <c r="T701" t="s">
        <v>398</v>
      </c>
      <c r="U701">
        <v>10</v>
      </c>
      <c r="V701" t="s">
        <v>2121</v>
      </c>
      <c r="W701">
        <v>30</v>
      </c>
      <c r="X701">
        <v>30</v>
      </c>
      <c r="AA701">
        <v>8.7654320987654302</v>
      </c>
      <c r="AB701">
        <v>1.3524013765559699</v>
      </c>
      <c r="AC701">
        <v>14.320987654321</v>
      </c>
      <c r="AD701">
        <v>2.02860206483395</v>
      </c>
      <c r="AE701" t="s">
        <v>71</v>
      </c>
      <c r="AF701" t="s">
        <v>61</v>
      </c>
      <c r="AG701" t="s">
        <v>71</v>
      </c>
      <c r="AH701" t="s">
        <v>213</v>
      </c>
      <c r="AS701" t="s">
        <v>849</v>
      </c>
      <c r="AT701" t="s">
        <v>849</v>
      </c>
      <c r="AV701" t="s">
        <v>1803</v>
      </c>
      <c r="AW701" t="s">
        <v>1807</v>
      </c>
      <c r="AX701" t="s">
        <v>1822</v>
      </c>
      <c r="AY701" t="s">
        <v>1811</v>
      </c>
      <c r="AZ701" t="s">
        <v>76</v>
      </c>
    </row>
    <row r="702" spans="1:52" x14ac:dyDescent="0.2">
      <c r="A702" t="s">
        <v>2105</v>
      </c>
      <c r="B702" t="s">
        <v>2106</v>
      </c>
      <c r="C702" t="s">
        <v>2107</v>
      </c>
      <c r="D702">
        <v>2021</v>
      </c>
      <c r="E702" t="s">
        <v>2102</v>
      </c>
      <c r="F702" t="s">
        <v>2108</v>
      </c>
      <c r="G702" t="s">
        <v>2118</v>
      </c>
      <c r="H702" t="s">
        <v>2122</v>
      </c>
      <c r="I702" t="s">
        <v>2111</v>
      </c>
      <c r="J702" t="s">
        <v>82</v>
      </c>
      <c r="K702" t="s">
        <v>35</v>
      </c>
      <c r="L702" t="s">
        <v>11</v>
      </c>
      <c r="M702" t="s">
        <v>2294</v>
      </c>
      <c r="N702">
        <v>0</v>
      </c>
      <c r="O702" s="18" t="s">
        <v>76</v>
      </c>
      <c r="P702" s="18" t="s">
        <v>1042</v>
      </c>
      <c r="S702" t="s">
        <v>47</v>
      </c>
      <c r="T702" t="s">
        <v>398</v>
      </c>
      <c r="U702">
        <v>10</v>
      </c>
      <c r="V702" t="s">
        <v>2124</v>
      </c>
      <c r="W702">
        <v>30</v>
      </c>
      <c r="X702">
        <v>30</v>
      </c>
      <c r="AA702">
        <v>1530.6990881459001</v>
      </c>
      <c r="AB702">
        <v>119.86633477316801</v>
      </c>
      <c r="AC702">
        <v>1155.01519756839</v>
      </c>
      <c r="AD702">
        <v>89.899751079875699</v>
      </c>
      <c r="AE702" t="s">
        <v>71</v>
      </c>
      <c r="AF702" t="s">
        <v>61</v>
      </c>
      <c r="AG702" t="s">
        <v>71</v>
      </c>
      <c r="AH702" t="s">
        <v>213</v>
      </c>
      <c r="AS702" t="s">
        <v>849</v>
      </c>
      <c r="AT702" t="s">
        <v>849</v>
      </c>
      <c r="AV702" t="s">
        <v>1803</v>
      </c>
      <c r="AW702" t="s">
        <v>1807</v>
      </c>
      <c r="AX702" t="s">
        <v>1822</v>
      </c>
      <c r="AY702" t="s">
        <v>1811</v>
      </c>
      <c r="AZ702" t="s">
        <v>76</v>
      </c>
    </row>
    <row r="703" spans="1:52" x14ac:dyDescent="0.2">
      <c r="A703" t="s">
        <v>2105</v>
      </c>
      <c r="B703" t="s">
        <v>2106</v>
      </c>
      <c r="C703" t="s">
        <v>2107</v>
      </c>
      <c r="D703">
        <v>2021</v>
      </c>
      <c r="E703" t="s">
        <v>2102</v>
      </c>
      <c r="F703" t="s">
        <v>2108</v>
      </c>
      <c r="G703" t="s">
        <v>2118</v>
      </c>
      <c r="H703" t="s">
        <v>2123</v>
      </c>
      <c r="I703" t="s">
        <v>2111</v>
      </c>
      <c r="J703" t="s">
        <v>82</v>
      </c>
      <c r="K703" t="s">
        <v>35</v>
      </c>
      <c r="L703" t="s">
        <v>11</v>
      </c>
      <c r="M703" t="s">
        <v>14</v>
      </c>
      <c r="N703">
        <v>1</v>
      </c>
      <c r="O703" s="18" t="s">
        <v>76</v>
      </c>
      <c r="P703" s="18" t="s">
        <v>1042</v>
      </c>
      <c r="S703" t="s">
        <v>47</v>
      </c>
      <c r="T703" t="s">
        <v>398</v>
      </c>
      <c r="U703">
        <v>10</v>
      </c>
      <c r="V703" t="s">
        <v>2124</v>
      </c>
      <c r="W703">
        <v>30</v>
      </c>
      <c r="X703">
        <v>30</v>
      </c>
      <c r="AA703">
        <v>1530.6990881459001</v>
      </c>
      <c r="AB703">
        <v>119.86633477316801</v>
      </c>
      <c r="AC703">
        <v>1485.1063829787199</v>
      </c>
      <c r="AD703">
        <v>129.855196004265</v>
      </c>
      <c r="AE703" t="s">
        <v>71</v>
      </c>
      <c r="AF703" t="s">
        <v>61</v>
      </c>
      <c r="AG703" t="s">
        <v>71</v>
      </c>
      <c r="AH703" t="s">
        <v>213</v>
      </c>
      <c r="AS703" t="s">
        <v>849</v>
      </c>
      <c r="AT703" t="s">
        <v>849</v>
      </c>
      <c r="AV703" t="s">
        <v>1803</v>
      </c>
      <c r="AW703" t="s">
        <v>1807</v>
      </c>
      <c r="AX703" t="s">
        <v>1822</v>
      </c>
      <c r="AY703" t="s">
        <v>1811</v>
      </c>
      <c r="AZ703" t="s">
        <v>76</v>
      </c>
    </row>
    <row r="704" spans="1:52" x14ac:dyDescent="0.2">
      <c r="A704" t="s">
        <v>2125</v>
      </c>
      <c r="B704" t="s">
        <v>2126</v>
      </c>
      <c r="C704" t="s">
        <v>2127</v>
      </c>
      <c r="D704">
        <v>2023</v>
      </c>
      <c r="E704" t="s">
        <v>2103</v>
      </c>
      <c r="F704" t="s">
        <v>2113</v>
      </c>
      <c r="G704" t="s">
        <v>2128</v>
      </c>
      <c r="H704" t="s">
        <v>2129</v>
      </c>
      <c r="I704" t="s">
        <v>512</v>
      </c>
      <c r="J704" t="s">
        <v>83</v>
      </c>
      <c r="K704" t="s">
        <v>35</v>
      </c>
      <c r="L704" t="s">
        <v>11</v>
      </c>
      <c r="M704" t="s">
        <v>14</v>
      </c>
      <c r="N704">
        <v>1</v>
      </c>
      <c r="O704" s="18" t="s">
        <v>76</v>
      </c>
      <c r="P704" s="18" t="s">
        <v>27</v>
      </c>
      <c r="S704" t="s">
        <v>47</v>
      </c>
      <c r="T704" t="s">
        <v>421</v>
      </c>
      <c r="W704">
        <v>26</v>
      </c>
      <c r="X704">
        <v>26</v>
      </c>
      <c r="AA704">
        <v>6.384615384615385</v>
      </c>
      <c r="AB704">
        <v>1.0982503567738311</v>
      </c>
      <c r="AC704">
        <v>5.9230769230769234</v>
      </c>
      <c r="AD704">
        <v>1.1635489477654786</v>
      </c>
      <c r="AE704" t="s">
        <v>71</v>
      </c>
      <c r="AF704" t="s">
        <v>61</v>
      </c>
      <c r="AG704" t="s">
        <v>71</v>
      </c>
      <c r="AH704" t="s">
        <v>213</v>
      </c>
      <c r="AS704" t="s">
        <v>849</v>
      </c>
      <c r="AT704" t="s">
        <v>849</v>
      </c>
      <c r="AV704" t="s">
        <v>1803</v>
      </c>
      <c r="AW704" t="s">
        <v>1815</v>
      </c>
      <c r="AX704" t="s">
        <v>1816</v>
      </c>
      <c r="AY704" t="s">
        <v>1814</v>
      </c>
      <c r="AZ704" t="s">
        <v>76</v>
      </c>
    </row>
    <row r="705" spans="1:52" x14ac:dyDescent="0.2">
      <c r="A705" t="s">
        <v>2125</v>
      </c>
      <c r="B705" t="s">
        <v>2126</v>
      </c>
      <c r="C705" t="s">
        <v>2127</v>
      </c>
      <c r="D705">
        <v>2023</v>
      </c>
      <c r="E705" t="s">
        <v>2103</v>
      </c>
      <c r="F705" t="s">
        <v>2113</v>
      </c>
      <c r="G705" t="s">
        <v>2128</v>
      </c>
      <c r="H705" t="s">
        <v>2130</v>
      </c>
      <c r="I705" t="s">
        <v>512</v>
      </c>
      <c r="J705" t="s">
        <v>83</v>
      </c>
      <c r="K705" t="s">
        <v>35</v>
      </c>
      <c r="L705" t="s">
        <v>11</v>
      </c>
      <c r="M705" t="s">
        <v>14</v>
      </c>
      <c r="N705">
        <v>1</v>
      </c>
      <c r="O705" s="18" t="s">
        <v>76</v>
      </c>
      <c r="P705" s="18" t="s">
        <v>1825</v>
      </c>
      <c r="S705" t="s">
        <v>47</v>
      </c>
      <c r="T705" t="s">
        <v>421</v>
      </c>
      <c r="W705">
        <v>26</v>
      </c>
      <c r="X705">
        <v>26</v>
      </c>
      <c r="AA705">
        <v>209.03846153846155</v>
      </c>
      <c r="AB705">
        <v>42.042341290000003</v>
      </c>
      <c r="AC705">
        <v>181.80769230769232</v>
      </c>
      <c r="AD705">
        <v>36.15634852223797</v>
      </c>
      <c r="AE705" t="s">
        <v>71</v>
      </c>
      <c r="AF705" t="s">
        <v>61</v>
      </c>
      <c r="AG705" t="s">
        <v>71</v>
      </c>
      <c r="AH705" t="s">
        <v>213</v>
      </c>
      <c r="AS705" t="s">
        <v>849</v>
      </c>
      <c r="AT705" t="s">
        <v>849</v>
      </c>
      <c r="AV705" t="s">
        <v>1803</v>
      </c>
      <c r="AW705" t="s">
        <v>1815</v>
      </c>
      <c r="AX705" t="s">
        <v>1816</v>
      </c>
      <c r="AY705" t="s">
        <v>1814</v>
      </c>
      <c r="AZ705" t="s">
        <v>76</v>
      </c>
    </row>
    <row r="706" spans="1:52" x14ac:dyDescent="0.2">
      <c r="A706" t="s">
        <v>2125</v>
      </c>
      <c r="B706" t="s">
        <v>2126</v>
      </c>
      <c r="C706" t="s">
        <v>2127</v>
      </c>
      <c r="D706">
        <v>2023</v>
      </c>
      <c r="E706" t="s">
        <v>2103</v>
      </c>
      <c r="F706" t="s">
        <v>2113</v>
      </c>
      <c r="G706" t="s">
        <v>2131</v>
      </c>
      <c r="H706" t="s">
        <v>2132</v>
      </c>
      <c r="I706" t="s">
        <v>512</v>
      </c>
      <c r="J706" t="s">
        <v>83</v>
      </c>
      <c r="K706" t="s">
        <v>35</v>
      </c>
      <c r="L706" t="s">
        <v>11</v>
      </c>
      <c r="M706" t="s">
        <v>14</v>
      </c>
      <c r="N706">
        <v>1</v>
      </c>
      <c r="O706" s="18" t="s">
        <v>20</v>
      </c>
      <c r="P706" s="18" t="s">
        <v>1824</v>
      </c>
      <c r="S706" t="s">
        <v>47</v>
      </c>
      <c r="T706" t="s">
        <v>421</v>
      </c>
      <c r="W706">
        <v>95</v>
      </c>
      <c r="X706">
        <v>100</v>
      </c>
      <c r="AA706">
        <v>1697.0105263157895</v>
      </c>
      <c r="AB706">
        <v>2115.35</v>
      </c>
      <c r="AC706">
        <v>1245.4436319294223</v>
      </c>
      <c r="AD706">
        <v>1950.0776227751769</v>
      </c>
      <c r="AE706" t="s">
        <v>71</v>
      </c>
      <c r="AF706" t="s">
        <v>61</v>
      </c>
      <c r="AG706" t="s">
        <v>71</v>
      </c>
      <c r="AH706" t="s">
        <v>213</v>
      </c>
      <c r="AS706" t="s">
        <v>849</v>
      </c>
      <c r="AT706" t="s">
        <v>222</v>
      </c>
      <c r="AV706" t="s">
        <v>1803</v>
      </c>
      <c r="AW706" t="s">
        <v>1815</v>
      </c>
      <c r="AX706" t="s">
        <v>1816</v>
      </c>
      <c r="AY706" t="s">
        <v>1814</v>
      </c>
      <c r="AZ706" t="s">
        <v>76</v>
      </c>
    </row>
    <row r="707" spans="1:52" x14ac:dyDescent="0.2">
      <c r="A707" t="s">
        <v>2125</v>
      </c>
      <c r="B707" t="s">
        <v>2126</v>
      </c>
      <c r="C707" t="s">
        <v>2127</v>
      </c>
      <c r="D707">
        <v>2023</v>
      </c>
      <c r="E707" t="s">
        <v>2103</v>
      </c>
      <c r="F707" t="s">
        <v>2113</v>
      </c>
      <c r="G707" t="s">
        <v>2131</v>
      </c>
      <c r="H707" t="s">
        <v>2133</v>
      </c>
      <c r="I707" t="s">
        <v>512</v>
      </c>
      <c r="J707" t="s">
        <v>83</v>
      </c>
      <c r="K707" t="s">
        <v>35</v>
      </c>
      <c r="L707" t="s">
        <v>11</v>
      </c>
      <c r="M707" t="s">
        <v>14</v>
      </c>
      <c r="N707">
        <v>1</v>
      </c>
      <c r="O707" s="18" t="s">
        <v>20</v>
      </c>
      <c r="P707" s="18" t="s">
        <v>27</v>
      </c>
      <c r="S707" t="s">
        <v>47</v>
      </c>
      <c r="T707" t="s">
        <v>421</v>
      </c>
      <c r="W707">
        <v>95</v>
      </c>
      <c r="X707">
        <v>100</v>
      </c>
      <c r="Y707">
        <v>93</v>
      </c>
      <c r="Z707">
        <v>90</v>
      </c>
      <c r="AG707" t="s">
        <v>1790</v>
      </c>
      <c r="AH707" t="s">
        <v>213</v>
      </c>
      <c r="AS707" t="s">
        <v>849</v>
      </c>
      <c r="AT707" t="s">
        <v>849</v>
      </c>
      <c r="AV707" t="s">
        <v>1803</v>
      </c>
      <c r="AW707" t="s">
        <v>1815</v>
      </c>
      <c r="AX707" t="s">
        <v>1816</v>
      </c>
      <c r="AY707" t="s">
        <v>1814</v>
      </c>
      <c r="AZ707" t="s">
        <v>76</v>
      </c>
    </row>
    <row r="708" spans="1:52" x14ac:dyDescent="0.2">
      <c r="A708" t="s">
        <v>2134</v>
      </c>
      <c r="B708" t="s">
        <v>2135</v>
      </c>
      <c r="C708" t="s">
        <v>2136</v>
      </c>
      <c r="D708">
        <v>2020</v>
      </c>
      <c r="E708" t="s">
        <v>2104</v>
      </c>
      <c r="F708" t="s">
        <v>2137</v>
      </c>
      <c r="G708" t="s">
        <v>2138</v>
      </c>
      <c r="H708" t="s">
        <v>2139</v>
      </c>
      <c r="I708" t="s">
        <v>2140</v>
      </c>
      <c r="J708" t="s">
        <v>82</v>
      </c>
      <c r="K708" t="s">
        <v>35</v>
      </c>
      <c r="L708" t="s">
        <v>11</v>
      </c>
      <c r="M708" t="s">
        <v>16</v>
      </c>
      <c r="N708">
        <v>0</v>
      </c>
      <c r="O708" s="18" t="s">
        <v>76</v>
      </c>
      <c r="P708" s="18" t="s">
        <v>1825</v>
      </c>
      <c r="S708" t="s">
        <v>47</v>
      </c>
      <c r="T708" t="s">
        <v>398</v>
      </c>
      <c r="U708">
        <v>5</v>
      </c>
      <c r="V708" t="s">
        <v>1050</v>
      </c>
      <c r="W708">
        <v>19</v>
      </c>
      <c r="X708">
        <v>17</v>
      </c>
      <c r="AA708">
        <v>18.423208191126299</v>
      </c>
      <c r="AB708">
        <v>4.5149339779259297</v>
      </c>
      <c r="AC708">
        <v>19.924914675767901</v>
      </c>
      <c r="AD708">
        <v>4.5980182885008496</v>
      </c>
      <c r="AE708" t="s">
        <v>71</v>
      </c>
      <c r="AF708" t="s">
        <v>61</v>
      </c>
      <c r="AG708" t="s">
        <v>71</v>
      </c>
      <c r="AH708" t="s">
        <v>213</v>
      </c>
      <c r="AS708" t="s">
        <v>849</v>
      </c>
      <c r="AT708" t="s">
        <v>849</v>
      </c>
      <c r="AV708" t="s">
        <v>1803</v>
      </c>
      <c r="AW708" t="s">
        <v>1815</v>
      </c>
      <c r="AX708" t="s">
        <v>1822</v>
      </c>
      <c r="AY708" t="s">
        <v>1806</v>
      </c>
      <c r="AZ708" t="s">
        <v>76</v>
      </c>
    </row>
    <row r="709" spans="1:52" x14ac:dyDescent="0.2">
      <c r="A709" t="s">
        <v>2134</v>
      </c>
      <c r="B709" t="s">
        <v>2135</v>
      </c>
      <c r="C709" t="s">
        <v>2136</v>
      </c>
      <c r="D709">
        <v>2020</v>
      </c>
      <c r="E709" t="s">
        <v>2104</v>
      </c>
      <c r="F709" t="s">
        <v>2137</v>
      </c>
      <c r="G709" t="s">
        <v>2142</v>
      </c>
      <c r="H709" t="s">
        <v>2141</v>
      </c>
      <c r="I709" t="s">
        <v>2140</v>
      </c>
      <c r="J709" t="s">
        <v>82</v>
      </c>
      <c r="K709" t="s">
        <v>35</v>
      </c>
      <c r="L709" t="s">
        <v>11</v>
      </c>
      <c r="M709" t="s">
        <v>16</v>
      </c>
      <c r="N709">
        <v>0</v>
      </c>
      <c r="O709" s="18" t="s">
        <v>76</v>
      </c>
      <c r="P709" s="18" t="s">
        <v>1825</v>
      </c>
      <c r="S709" t="s">
        <v>47</v>
      </c>
      <c r="T709" t="s">
        <v>398</v>
      </c>
      <c r="U709">
        <v>5</v>
      </c>
      <c r="V709" t="s">
        <v>528</v>
      </c>
      <c r="W709">
        <v>7</v>
      </c>
      <c r="X709">
        <v>9</v>
      </c>
      <c r="AA709">
        <v>20.944649446494498</v>
      </c>
      <c r="AB709">
        <v>4.7838307838437304</v>
      </c>
      <c r="AC709">
        <v>24.6715867158672</v>
      </c>
      <c r="AD709">
        <v>5.5350553505534998</v>
      </c>
      <c r="AE709" t="s">
        <v>71</v>
      </c>
      <c r="AF709" t="s">
        <v>61</v>
      </c>
      <c r="AG709" t="s">
        <v>71</v>
      </c>
      <c r="AH709" t="s">
        <v>213</v>
      </c>
      <c r="AS709" t="s">
        <v>849</v>
      </c>
      <c r="AT709" t="s">
        <v>849</v>
      </c>
      <c r="AV709" t="s">
        <v>1803</v>
      </c>
      <c r="AW709" t="s">
        <v>1815</v>
      </c>
      <c r="AX709" t="s">
        <v>1822</v>
      </c>
      <c r="AY709" t="s">
        <v>1806</v>
      </c>
      <c r="AZ709" t="s">
        <v>76</v>
      </c>
    </row>
    <row r="710" spans="1:52" x14ac:dyDescent="0.2">
      <c r="A710" t="s">
        <v>2143</v>
      </c>
      <c r="B710" t="s">
        <v>2144</v>
      </c>
      <c r="C710" t="s">
        <v>2145</v>
      </c>
      <c r="D710">
        <v>2022</v>
      </c>
      <c r="E710" t="s">
        <v>2146</v>
      </c>
      <c r="F710" t="s">
        <v>2147</v>
      </c>
      <c r="G710" t="s">
        <v>2148</v>
      </c>
      <c r="H710" t="s">
        <v>2149</v>
      </c>
      <c r="I710" t="s">
        <v>2150</v>
      </c>
      <c r="J710" t="s">
        <v>29</v>
      </c>
      <c r="K710" t="s">
        <v>34</v>
      </c>
      <c r="O710" s="18" t="s">
        <v>20</v>
      </c>
      <c r="P710" s="18" t="s">
        <v>27</v>
      </c>
      <c r="Q710" t="s">
        <v>38</v>
      </c>
      <c r="R710" t="s">
        <v>45</v>
      </c>
      <c r="S710" t="s">
        <v>47</v>
      </c>
      <c r="T710" t="s">
        <v>421</v>
      </c>
      <c r="W710">
        <v>236</v>
      </c>
      <c r="X710">
        <v>31</v>
      </c>
      <c r="AA710">
        <v>3.3686440677966103</v>
      </c>
      <c r="AB710">
        <v>3.6774193548387095</v>
      </c>
      <c r="AC710">
        <v>2.2245515599747145</v>
      </c>
      <c r="AD710">
        <v>2.688086020128988</v>
      </c>
      <c r="AE710" t="s">
        <v>71</v>
      </c>
      <c r="AF710" t="s">
        <v>62</v>
      </c>
      <c r="AG710" t="s">
        <v>71</v>
      </c>
      <c r="AH710" t="s">
        <v>213</v>
      </c>
      <c r="AS710" t="s">
        <v>222</v>
      </c>
      <c r="AT710" t="s">
        <v>849</v>
      </c>
      <c r="AV710" t="s">
        <v>1803</v>
      </c>
      <c r="AW710" t="s">
        <v>1807</v>
      </c>
      <c r="AX710" t="s">
        <v>1808</v>
      </c>
      <c r="AY710" t="s">
        <v>1814</v>
      </c>
      <c r="AZ710" t="s">
        <v>76</v>
      </c>
    </row>
    <row r="711" spans="1:52" x14ac:dyDescent="0.2">
      <c r="A711" t="s">
        <v>2143</v>
      </c>
      <c r="B711" t="s">
        <v>2144</v>
      </c>
      <c r="C711" t="s">
        <v>2145</v>
      </c>
      <c r="D711">
        <v>2022</v>
      </c>
      <c r="E711" t="s">
        <v>2146</v>
      </c>
      <c r="F711" t="s">
        <v>2147</v>
      </c>
      <c r="G711" t="s">
        <v>2148</v>
      </c>
      <c r="H711" t="s">
        <v>2151</v>
      </c>
      <c r="I711" t="s">
        <v>2150</v>
      </c>
      <c r="J711" t="s">
        <v>29</v>
      </c>
      <c r="K711" t="s">
        <v>34</v>
      </c>
      <c r="O711" s="18" t="s">
        <v>20</v>
      </c>
      <c r="P711" s="18" t="s">
        <v>27</v>
      </c>
      <c r="Q711" t="s">
        <v>38</v>
      </c>
      <c r="R711" t="s">
        <v>44</v>
      </c>
      <c r="S711" t="s">
        <v>47</v>
      </c>
      <c r="T711" t="s">
        <v>421</v>
      </c>
      <c r="W711">
        <v>7</v>
      </c>
      <c r="X711">
        <v>7</v>
      </c>
      <c r="AA711">
        <v>0.28741776836838406</v>
      </c>
      <c r="AB711">
        <v>0.11956594237172745</v>
      </c>
      <c r="AC711">
        <v>0.12751044959553362</v>
      </c>
      <c r="AD711">
        <v>4.5442539130347209E-2</v>
      </c>
      <c r="AE711" t="s">
        <v>71</v>
      </c>
      <c r="AF711" t="s">
        <v>61</v>
      </c>
      <c r="AG711" t="s">
        <v>71</v>
      </c>
      <c r="AH711" t="s">
        <v>213</v>
      </c>
      <c r="AS711" t="s">
        <v>222</v>
      </c>
      <c r="AT711" t="s">
        <v>849</v>
      </c>
      <c r="AV711" t="s">
        <v>1803</v>
      </c>
      <c r="AW711" t="s">
        <v>1807</v>
      </c>
      <c r="AX711" t="s">
        <v>1808</v>
      </c>
      <c r="AY711" t="s">
        <v>1814</v>
      </c>
      <c r="AZ711" t="s">
        <v>76</v>
      </c>
    </row>
    <row r="712" spans="1:52" x14ac:dyDescent="0.2">
      <c r="A712" t="s">
        <v>2152</v>
      </c>
      <c r="B712" t="s">
        <v>2153</v>
      </c>
      <c r="C712" t="s">
        <v>2154</v>
      </c>
      <c r="D712">
        <v>2024</v>
      </c>
      <c r="E712" t="s">
        <v>2155</v>
      </c>
      <c r="F712" t="s">
        <v>2156</v>
      </c>
      <c r="G712" t="s">
        <v>2157</v>
      </c>
      <c r="H712" t="s">
        <v>2158</v>
      </c>
      <c r="I712" t="s">
        <v>2159</v>
      </c>
      <c r="J712" t="s">
        <v>32</v>
      </c>
      <c r="K712" t="s">
        <v>35</v>
      </c>
      <c r="L712" t="s">
        <v>11</v>
      </c>
      <c r="M712" t="s">
        <v>13</v>
      </c>
      <c r="N712">
        <v>1</v>
      </c>
      <c r="O712" s="18" t="s">
        <v>20</v>
      </c>
      <c r="P712" s="18" t="s">
        <v>1824</v>
      </c>
      <c r="S712" t="s">
        <v>47</v>
      </c>
      <c r="T712" t="s">
        <v>51</v>
      </c>
      <c r="U712">
        <v>3</v>
      </c>
      <c r="V712">
        <v>2</v>
      </c>
      <c r="W712">
        <v>29</v>
      </c>
      <c r="X712">
        <v>13</v>
      </c>
      <c r="AA712">
        <v>15.89</v>
      </c>
      <c r="AB712">
        <v>1.68</v>
      </c>
      <c r="AC712">
        <v>7.35</v>
      </c>
      <c r="AD712">
        <v>0.49</v>
      </c>
      <c r="AE712" t="s">
        <v>71</v>
      </c>
      <c r="AF712" t="s">
        <v>62</v>
      </c>
      <c r="AG712" t="s">
        <v>71</v>
      </c>
      <c r="AH712" t="s">
        <v>213</v>
      </c>
      <c r="AS712" t="s">
        <v>849</v>
      </c>
      <c r="AT712" t="s">
        <v>222</v>
      </c>
      <c r="AV712" t="s">
        <v>1803</v>
      </c>
      <c r="AW712" t="s">
        <v>1807</v>
      </c>
      <c r="AX712" t="s">
        <v>23</v>
      </c>
      <c r="AY712" t="s">
        <v>1806</v>
      </c>
      <c r="AZ712" t="s">
        <v>76</v>
      </c>
    </row>
    <row r="713" spans="1:52" x14ac:dyDescent="0.2">
      <c r="A713" t="s">
        <v>2152</v>
      </c>
      <c r="B713" t="s">
        <v>2153</v>
      </c>
      <c r="C713" t="s">
        <v>2154</v>
      </c>
      <c r="D713">
        <v>2024</v>
      </c>
      <c r="E713" t="s">
        <v>2155</v>
      </c>
      <c r="F713" t="s">
        <v>2156</v>
      </c>
      <c r="G713" t="s">
        <v>2157</v>
      </c>
      <c r="H713" t="s">
        <v>2160</v>
      </c>
      <c r="I713" t="s">
        <v>2159</v>
      </c>
      <c r="J713" t="s">
        <v>32</v>
      </c>
      <c r="K713" t="s">
        <v>35</v>
      </c>
      <c r="L713" t="s">
        <v>11</v>
      </c>
      <c r="M713" t="s">
        <v>13</v>
      </c>
      <c r="N713">
        <v>1</v>
      </c>
      <c r="O713" s="18" t="s">
        <v>20</v>
      </c>
      <c r="P713" s="18" t="s">
        <v>1824</v>
      </c>
      <c r="S713" t="s">
        <v>47</v>
      </c>
      <c r="T713" t="s">
        <v>51</v>
      </c>
      <c r="U713">
        <v>3</v>
      </c>
      <c r="V713">
        <v>2</v>
      </c>
      <c r="W713">
        <v>11</v>
      </c>
      <c r="X713">
        <v>36</v>
      </c>
      <c r="AA713">
        <v>7</v>
      </c>
      <c r="AB713">
        <v>0</v>
      </c>
      <c r="AC713">
        <v>8.33</v>
      </c>
      <c r="AD713">
        <v>0.63</v>
      </c>
      <c r="AE713" t="s">
        <v>71</v>
      </c>
      <c r="AF713" t="s">
        <v>62</v>
      </c>
      <c r="AG713" t="s">
        <v>71</v>
      </c>
      <c r="AH713" t="s">
        <v>213</v>
      </c>
      <c r="AS713" t="s">
        <v>849</v>
      </c>
      <c r="AT713" t="s">
        <v>222</v>
      </c>
      <c r="AV713" t="s">
        <v>1803</v>
      </c>
      <c r="AW713" t="s">
        <v>1807</v>
      </c>
      <c r="AX713" t="s">
        <v>23</v>
      </c>
      <c r="AY713" t="s">
        <v>1806</v>
      </c>
      <c r="AZ713" t="s">
        <v>76</v>
      </c>
    </row>
    <row r="714" spans="1:52" x14ac:dyDescent="0.2">
      <c r="A714" t="s">
        <v>2152</v>
      </c>
      <c r="B714" t="s">
        <v>2153</v>
      </c>
      <c r="C714" t="s">
        <v>2161</v>
      </c>
      <c r="D714">
        <v>2024</v>
      </c>
      <c r="E714" t="s">
        <v>2155</v>
      </c>
      <c r="F714" t="s">
        <v>2156</v>
      </c>
      <c r="G714" t="s">
        <v>2157</v>
      </c>
      <c r="H714" t="s">
        <v>2165</v>
      </c>
      <c r="I714" t="s">
        <v>2159</v>
      </c>
      <c r="J714" t="s">
        <v>32</v>
      </c>
      <c r="K714" t="s">
        <v>35</v>
      </c>
      <c r="L714" t="s">
        <v>11</v>
      </c>
      <c r="M714" t="s">
        <v>13</v>
      </c>
      <c r="N714">
        <v>1</v>
      </c>
      <c r="O714" s="18" t="s">
        <v>76</v>
      </c>
      <c r="P714" s="18" t="s">
        <v>27</v>
      </c>
      <c r="S714" t="s">
        <v>47</v>
      </c>
      <c r="T714" t="s">
        <v>51</v>
      </c>
      <c r="U714">
        <v>3</v>
      </c>
      <c r="V714">
        <v>2</v>
      </c>
      <c r="W714">
        <v>29</v>
      </c>
      <c r="X714">
        <v>13</v>
      </c>
      <c r="AA714">
        <v>4.2699999999999996</v>
      </c>
      <c r="AB714">
        <v>0.55000000000000004</v>
      </c>
      <c r="AC714">
        <v>2.64</v>
      </c>
      <c r="AD714">
        <v>0.44</v>
      </c>
      <c r="AE714" t="s">
        <v>71</v>
      </c>
      <c r="AF714" t="s">
        <v>62</v>
      </c>
      <c r="AG714" t="s">
        <v>71</v>
      </c>
      <c r="AH714" t="s">
        <v>213</v>
      </c>
      <c r="AS714" t="s">
        <v>849</v>
      </c>
      <c r="AT714" t="s">
        <v>849</v>
      </c>
      <c r="AV714" t="s">
        <v>1803</v>
      </c>
      <c r="AW714" t="s">
        <v>1807</v>
      </c>
      <c r="AX714" t="s">
        <v>23</v>
      </c>
      <c r="AY714" t="s">
        <v>1806</v>
      </c>
      <c r="AZ714" t="s">
        <v>76</v>
      </c>
    </row>
    <row r="715" spans="1:52" x14ac:dyDescent="0.2">
      <c r="A715" t="s">
        <v>2152</v>
      </c>
      <c r="B715" t="s">
        <v>2153</v>
      </c>
      <c r="C715" t="s">
        <v>2162</v>
      </c>
      <c r="D715">
        <v>2024</v>
      </c>
      <c r="E715" t="s">
        <v>2155</v>
      </c>
      <c r="F715" t="s">
        <v>2156</v>
      </c>
      <c r="G715" t="s">
        <v>2157</v>
      </c>
      <c r="H715" t="s">
        <v>2166</v>
      </c>
      <c r="I715" t="s">
        <v>2159</v>
      </c>
      <c r="J715" t="s">
        <v>32</v>
      </c>
      <c r="K715" t="s">
        <v>35</v>
      </c>
      <c r="L715" t="s">
        <v>11</v>
      </c>
      <c r="M715" t="s">
        <v>13</v>
      </c>
      <c r="N715">
        <v>1</v>
      </c>
      <c r="O715" s="18" t="s">
        <v>76</v>
      </c>
      <c r="P715" s="18" t="s">
        <v>27</v>
      </c>
      <c r="S715" t="s">
        <v>47</v>
      </c>
      <c r="T715" t="s">
        <v>51</v>
      </c>
      <c r="U715">
        <v>3</v>
      </c>
      <c r="V715">
        <v>2</v>
      </c>
      <c r="W715">
        <v>11</v>
      </c>
      <c r="X715">
        <v>36</v>
      </c>
      <c r="AA715">
        <v>4.55</v>
      </c>
      <c r="AB715">
        <v>0.76</v>
      </c>
      <c r="AC715">
        <v>4.59</v>
      </c>
      <c r="AD715">
        <v>0.37</v>
      </c>
      <c r="AE715" t="s">
        <v>71</v>
      </c>
      <c r="AF715" t="s">
        <v>62</v>
      </c>
      <c r="AG715" t="s">
        <v>71</v>
      </c>
      <c r="AH715" t="s">
        <v>213</v>
      </c>
      <c r="AS715" t="s">
        <v>849</v>
      </c>
      <c r="AT715" t="s">
        <v>849</v>
      </c>
      <c r="AV715" t="s">
        <v>1803</v>
      </c>
      <c r="AW715" t="s">
        <v>1807</v>
      </c>
      <c r="AX715" t="s">
        <v>23</v>
      </c>
      <c r="AY715" t="s">
        <v>1806</v>
      </c>
      <c r="AZ715" t="s">
        <v>76</v>
      </c>
    </row>
    <row r="716" spans="1:52" x14ac:dyDescent="0.2">
      <c r="A716" t="s">
        <v>2152</v>
      </c>
      <c r="B716" t="s">
        <v>2153</v>
      </c>
      <c r="C716" t="s">
        <v>2163</v>
      </c>
      <c r="D716">
        <v>2024</v>
      </c>
      <c r="E716" t="s">
        <v>2155</v>
      </c>
      <c r="F716" t="s">
        <v>2156</v>
      </c>
      <c r="G716" t="s">
        <v>2157</v>
      </c>
      <c r="H716" t="s">
        <v>2167</v>
      </c>
      <c r="I716" t="s">
        <v>2159</v>
      </c>
      <c r="J716" t="s">
        <v>32</v>
      </c>
      <c r="K716" t="s">
        <v>35</v>
      </c>
      <c r="L716" t="s">
        <v>11</v>
      </c>
      <c r="M716" t="s">
        <v>13</v>
      </c>
      <c r="N716">
        <v>1</v>
      </c>
      <c r="O716" s="18" t="s">
        <v>76</v>
      </c>
      <c r="P716" s="18" t="s">
        <v>1825</v>
      </c>
      <c r="S716" t="s">
        <v>47</v>
      </c>
      <c r="T716" t="s">
        <v>51</v>
      </c>
      <c r="U716">
        <v>3</v>
      </c>
      <c r="V716">
        <v>2</v>
      </c>
      <c r="W716">
        <v>29</v>
      </c>
      <c r="X716">
        <v>13</v>
      </c>
      <c r="AA716">
        <v>2.82</v>
      </c>
      <c r="AB716">
        <v>0.68</v>
      </c>
      <c r="AC716">
        <v>10.08</v>
      </c>
      <c r="AD716">
        <v>2.4900000000000002</v>
      </c>
      <c r="AE716" t="s">
        <v>71</v>
      </c>
      <c r="AF716" t="s">
        <v>62</v>
      </c>
      <c r="AG716" t="s">
        <v>71</v>
      </c>
      <c r="AH716" t="s">
        <v>213</v>
      </c>
      <c r="AS716" t="s">
        <v>849</v>
      </c>
      <c r="AT716" t="s">
        <v>849</v>
      </c>
      <c r="AV716" t="s">
        <v>1803</v>
      </c>
      <c r="AW716" t="s">
        <v>1807</v>
      </c>
      <c r="AX716" t="s">
        <v>23</v>
      </c>
      <c r="AY716" t="s">
        <v>1806</v>
      </c>
      <c r="AZ716" t="s">
        <v>76</v>
      </c>
    </row>
    <row r="717" spans="1:52" x14ac:dyDescent="0.2">
      <c r="A717" t="s">
        <v>2152</v>
      </c>
      <c r="B717" t="s">
        <v>2153</v>
      </c>
      <c r="C717" t="s">
        <v>2164</v>
      </c>
      <c r="D717">
        <v>2024</v>
      </c>
      <c r="E717" t="s">
        <v>2155</v>
      </c>
      <c r="F717" t="s">
        <v>2156</v>
      </c>
      <c r="G717" t="s">
        <v>2157</v>
      </c>
      <c r="H717" t="s">
        <v>2168</v>
      </c>
      <c r="I717" t="s">
        <v>2159</v>
      </c>
      <c r="J717" t="s">
        <v>32</v>
      </c>
      <c r="K717" t="s">
        <v>35</v>
      </c>
      <c r="L717" t="s">
        <v>11</v>
      </c>
      <c r="M717" t="s">
        <v>13</v>
      </c>
      <c r="N717">
        <v>1</v>
      </c>
      <c r="O717" s="18" t="s">
        <v>76</v>
      </c>
      <c r="P717" s="18" t="s">
        <v>1825</v>
      </c>
      <c r="S717" t="s">
        <v>47</v>
      </c>
      <c r="T717" t="s">
        <v>51</v>
      </c>
      <c r="U717">
        <v>3</v>
      </c>
      <c r="V717">
        <v>2</v>
      </c>
      <c r="W717">
        <v>11</v>
      </c>
      <c r="X717">
        <v>36</v>
      </c>
      <c r="AA717">
        <v>14.67</v>
      </c>
      <c r="AB717">
        <v>3.66</v>
      </c>
      <c r="AC717">
        <v>13.87</v>
      </c>
      <c r="AD717">
        <v>1.92</v>
      </c>
      <c r="AE717" t="s">
        <v>71</v>
      </c>
      <c r="AF717" t="s">
        <v>62</v>
      </c>
      <c r="AG717" t="s">
        <v>71</v>
      </c>
      <c r="AH717" t="s">
        <v>213</v>
      </c>
      <c r="AS717" t="s">
        <v>849</v>
      </c>
      <c r="AT717" t="s">
        <v>849</v>
      </c>
      <c r="AV717" t="s">
        <v>1803</v>
      </c>
      <c r="AW717" t="s">
        <v>1807</v>
      </c>
      <c r="AX717" t="s">
        <v>23</v>
      </c>
      <c r="AY717" t="s">
        <v>1806</v>
      </c>
      <c r="AZ717" t="s">
        <v>76</v>
      </c>
    </row>
    <row r="718" spans="1:52" x14ac:dyDescent="0.2">
      <c r="A718" t="s">
        <v>2152</v>
      </c>
      <c r="B718" t="s">
        <v>2153</v>
      </c>
      <c r="C718" t="s">
        <v>2164</v>
      </c>
      <c r="D718">
        <v>2024</v>
      </c>
      <c r="E718" t="s">
        <v>2155</v>
      </c>
      <c r="F718" t="s">
        <v>2156</v>
      </c>
      <c r="G718" t="s">
        <v>2157</v>
      </c>
      <c r="H718" t="s">
        <v>2169</v>
      </c>
      <c r="I718" t="s">
        <v>2159</v>
      </c>
      <c r="J718" t="s">
        <v>32</v>
      </c>
      <c r="K718" t="s">
        <v>35</v>
      </c>
      <c r="L718" t="s">
        <v>11</v>
      </c>
      <c r="M718" t="s">
        <v>13</v>
      </c>
      <c r="N718">
        <v>1</v>
      </c>
      <c r="O718" s="18" t="s">
        <v>76</v>
      </c>
      <c r="P718" s="18" t="s">
        <v>1825</v>
      </c>
      <c r="S718" t="s">
        <v>47</v>
      </c>
      <c r="T718" t="s">
        <v>51</v>
      </c>
      <c r="U718">
        <v>3</v>
      </c>
      <c r="V718">
        <v>2</v>
      </c>
      <c r="W718">
        <v>29</v>
      </c>
      <c r="X718">
        <v>13</v>
      </c>
      <c r="AA718">
        <v>3.18</v>
      </c>
      <c r="AB718">
        <v>0.55000000000000004</v>
      </c>
      <c r="AC718">
        <v>10.62</v>
      </c>
      <c r="AD718">
        <v>1.45</v>
      </c>
      <c r="AE718" t="s">
        <v>71</v>
      </c>
      <c r="AF718" t="s">
        <v>62</v>
      </c>
      <c r="AG718" t="s">
        <v>71</v>
      </c>
      <c r="AH718" t="s">
        <v>213</v>
      </c>
      <c r="AS718" t="s">
        <v>849</v>
      </c>
      <c r="AT718" t="s">
        <v>849</v>
      </c>
      <c r="AV718" t="s">
        <v>1803</v>
      </c>
      <c r="AW718" t="s">
        <v>1807</v>
      </c>
      <c r="AX718" t="s">
        <v>23</v>
      </c>
      <c r="AY718" t="s">
        <v>1806</v>
      </c>
      <c r="AZ718" t="s">
        <v>76</v>
      </c>
    </row>
    <row r="719" spans="1:52" x14ac:dyDescent="0.2">
      <c r="A719" t="s">
        <v>2152</v>
      </c>
      <c r="B719" t="s">
        <v>2153</v>
      </c>
      <c r="C719" t="s">
        <v>2164</v>
      </c>
      <c r="D719">
        <v>2024</v>
      </c>
      <c r="E719" t="s">
        <v>2155</v>
      </c>
      <c r="F719" t="s">
        <v>2156</v>
      </c>
      <c r="G719" t="s">
        <v>2157</v>
      </c>
      <c r="H719" t="s">
        <v>2170</v>
      </c>
      <c r="I719" t="s">
        <v>2159</v>
      </c>
      <c r="J719" t="s">
        <v>32</v>
      </c>
      <c r="K719" t="s">
        <v>35</v>
      </c>
      <c r="L719" t="s">
        <v>11</v>
      </c>
      <c r="M719" t="s">
        <v>13</v>
      </c>
      <c r="N719">
        <v>1</v>
      </c>
      <c r="O719" s="18" t="s">
        <v>76</v>
      </c>
      <c r="P719" s="18" t="s">
        <v>1825</v>
      </c>
      <c r="S719" t="s">
        <v>47</v>
      </c>
      <c r="T719" t="s">
        <v>51</v>
      </c>
      <c r="U719">
        <v>3</v>
      </c>
      <c r="V719">
        <v>2</v>
      </c>
      <c r="W719">
        <v>11</v>
      </c>
      <c r="X719">
        <v>36</v>
      </c>
      <c r="AA719">
        <v>9.89</v>
      </c>
      <c r="AB719">
        <v>3.3</v>
      </c>
      <c r="AC719">
        <v>10.88</v>
      </c>
      <c r="AD719">
        <v>1.32</v>
      </c>
      <c r="AE719" t="s">
        <v>71</v>
      </c>
      <c r="AF719" t="s">
        <v>62</v>
      </c>
      <c r="AG719" t="s">
        <v>71</v>
      </c>
      <c r="AH719" t="s">
        <v>213</v>
      </c>
      <c r="AS719" t="s">
        <v>849</v>
      </c>
      <c r="AT719" t="s">
        <v>849</v>
      </c>
      <c r="AV719" t="s">
        <v>1803</v>
      </c>
      <c r="AW719" t="s">
        <v>1807</v>
      </c>
      <c r="AX719" t="s">
        <v>23</v>
      </c>
      <c r="AY719" t="s">
        <v>1806</v>
      </c>
      <c r="AZ719" t="s">
        <v>76</v>
      </c>
    </row>
    <row r="720" spans="1:52" x14ac:dyDescent="0.2">
      <c r="A720" t="s">
        <v>1948</v>
      </c>
      <c r="B720" t="s">
        <v>1949</v>
      </c>
      <c r="C720" t="s">
        <v>1950</v>
      </c>
      <c r="D720">
        <v>2023</v>
      </c>
      <c r="E720" t="s">
        <v>2181</v>
      </c>
      <c r="F720" t="s">
        <v>2182</v>
      </c>
      <c r="G720" t="s">
        <v>2307</v>
      </c>
      <c r="H720" t="s">
        <v>2183</v>
      </c>
      <c r="I720" t="s">
        <v>1094</v>
      </c>
      <c r="J720" t="s">
        <v>31</v>
      </c>
      <c r="K720" t="s">
        <v>35</v>
      </c>
      <c r="L720" t="s">
        <v>11</v>
      </c>
      <c r="M720" t="s">
        <v>18</v>
      </c>
      <c r="N720">
        <v>0</v>
      </c>
      <c r="O720" s="18" t="s">
        <v>20</v>
      </c>
      <c r="P720" s="18" t="s">
        <v>2010</v>
      </c>
      <c r="S720" t="s">
        <v>47</v>
      </c>
      <c r="T720" t="s">
        <v>421</v>
      </c>
      <c r="W720">
        <v>24</v>
      </c>
      <c r="X720">
        <v>17</v>
      </c>
      <c r="Y720">
        <v>20</v>
      </c>
      <c r="Z720">
        <v>14</v>
      </c>
      <c r="AG720" t="s">
        <v>1790</v>
      </c>
      <c r="AH720" t="s">
        <v>213</v>
      </c>
      <c r="AS720" t="s">
        <v>849</v>
      </c>
      <c r="AT720" t="s">
        <v>849</v>
      </c>
      <c r="AV720" t="s">
        <v>1803</v>
      </c>
      <c r="AW720" t="s">
        <v>1815</v>
      </c>
      <c r="AX720" t="s">
        <v>1821</v>
      </c>
      <c r="AY720" t="s">
        <v>1806</v>
      </c>
      <c r="AZ720" t="s">
        <v>76</v>
      </c>
    </row>
    <row r="721" spans="1:52" x14ac:dyDescent="0.2">
      <c r="A721" t="s">
        <v>1948</v>
      </c>
      <c r="B721" t="s">
        <v>1949</v>
      </c>
      <c r="C721" t="s">
        <v>1950</v>
      </c>
      <c r="D721">
        <v>2023</v>
      </c>
      <c r="E721" t="s">
        <v>2181</v>
      </c>
      <c r="F721" t="s">
        <v>2182</v>
      </c>
      <c r="G721" t="s">
        <v>2307</v>
      </c>
      <c r="H721" t="s">
        <v>2184</v>
      </c>
      <c r="I721" t="s">
        <v>1094</v>
      </c>
      <c r="J721" t="s">
        <v>31</v>
      </c>
      <c r="K721" t="s">
        <v>35</v>
      </c>
      <c r="L721" t="s">
        <v>11</v>
      </c>
      <c r="M721" t="s">
        <v>18</v>
      </c>
      <c r="N721">
        <v>0</v>
      </c>
      <c r="O721" s="18" t="s">
        <v>20</v>
      </c>
      <c r="P721" s="18" t="s">
        <v>2010</v>
      </c>
      <c r="S721" t="s">
        <v>47</v>
      </c>
      <c r="T721" t="s">
        <v>421</v>
      </c>
      <c r="W721">
        <v>24</v>
      </c>
      <c r="X721">
        <v>20</v>
      </c>
      <c r="Y721">
        <v>20</v>
      </c>
      <c r="Z721">
        <v>13</v>
      </c>
      <c r="AG721" t="s">
        <v>1790</v>
      </c>
      <c r="AH721" t="s">
        <v>213</v>
      </c>
      <c r="AS721" t="s">
        <v>849</v>
      </c>
      <c r="AT721" t="s">
        <v>849</v>
      </c>
      <c r="AV721" t="s">
        <v>1803</v>
      </c>
      <c r="AW721" t="s">
        <v>1815</v>
      </c>
      <c r="AX721" t="s">
        <v>1821</v>
      </c>
      <c r="AY721" t="s">
        <v>1806</v>
      </c>
      <c r="AZ721" t="s">
        <v>76</v>
      </c>
    </row>
    <row r="722" spans="1:52" x14ac:dyDescent="0.2">
      <c r="A722" t="s">
        <v>1948</v>
      </c>
      <c r="B722" t="s">
        <v>1949</v>
      </c>
      <c r="C722" t="s">
        <v>1950</v>
      </c>
      <c r="D722">
        <v>2023</v>
      </c>
      <c r="E722" t="s">
        <v>2181</v>
      </c>
      <c r="F722" t="s">
        <v>2182</v>
      </c>
      <c r="G722" t="s">
        <v>2307</v>
      </c>
      <c r="H722" t="s">
        <v>2185</v>
      </c>
      <c r="I722" t="s">
        <v>1094</v>
      </c>
      <c r="J722" t="s">
        <v>31</v>
      </c>
      <c r="K722" t="s">
        <v>35</v>
      </c>
      <c r="L722" t="s">
        <v>11</v>
      </c>
      <c r="M722" t="s">
        <v>18</v>
      </c>
      <c r="N722">
        <v>0</v>
      </c>
      <c r="O722" s="18" t="s">
        <v>20</v>
      </c>
      <c r="P722" s="18" t="s">
        <v>2010</v>
      </c>
      <c r="S722" t="s">
        <v>47</v>
      </c>
      <c r="T722" t="s">
        <v>421</v>
      </c>
      <c r="W722">
        <v>24</v>
      </c>
      <c r="X722">
        <v>25</v>
      </c>
      <c r="Y722">
        <v>20</v>
      </c>
      <c r="Z722">
        <v>13</v>
      </c>
      <c r="AG722" t="s">
        <v>1790</v>
      </c>
      <c r="AH722" t="s">
        <v>213</v>
      </c>
      <c r="AS722" t="s">
        <v>849</v>
      </c>
      <c r="AT722" t="s">
        <v>849</v>
      </c>
      <c r="AV722" t="s">
        <v>1803</v>
      </c>
      <c r="AW722" t="s">
        <v>1815</v>
      </c>
      <c r="AX722" t="s">
        <v>1821</v>
      </c>
      <c r="AY722" t="s">
        <v>1806</v>
      </c>
      <c r="AZ722" t="s">
        <v>76</v>
      </c>
    </row>
    <row r="723" spans="1:52" x14ac:dyDescent="0.2">
      <c r="A723" t="s">
        <v>1948</v>
      </c>
      <c r="B723" t="s">
        <v>1949</v>
      </c>
      <c r="C723" t="s">
        <v>1950</v>
      </c>
      <c r="D723">
        <v>2023</v>
      </c>
      <c r="E723" t="s">
        <v>2181</v>
      </c>
      <c r="F723" t="s">
        <v>2182</v>
      </c>
      <c r="G723" t="s">
        <v>2307</v>
      </c>
      <c r="H723" t="s">
        <v>2186</v>
      </c>
      <c r="I723" t="s">
        <v>1094</v>
      </c>
      <c r="J723" t="s">
        <v>31</v>
      </c>
      <c r="K723" t="s">
        <v>35</v>
      </c>
      <c r="L723" t="s">
        <v>11</v>
      </c>
      <c r="M723" t="s">
        <v>18</v>
      </c>
      <c r="N723">
        <v>0</v>
      </c>
      <c r="O723" s="18" t="s">
        <v>20</v>
      </c>
      <c r="P723" s="18" t="s">
        <v>2010</v>
      </c>
      <c r="S723" t="s">
        <v>47</v>
      </c>
      <c r="T723" t="s">
        <v>421</v>
      </c>
      <c r="W723">
        <v>20</v>
      </c>
      <c r="X723">
        <v>14</v>
      </c>
      <c r="AA723">
        <v>8.9375</v>
      </c>
      <c r="AB723">
        <v>5.5313500461761897</v>
      </c>
      <c r="AC723">
        <v>6.6</v>
      </c>
      <c r="AD723">
        <v>5.5015149428740688</v>
      </c>
      <c r="AE723" t="s">
        <v>71</v>
      </c>
      <c r="AF723" t="s">
        <v>61</v>
      </c>
      <c r="AG723" t="s">
        <v>71</v>
      </c>
      <c r="AH723" t="s">
        <v>213</v>
      </c>
      <c r="AS723" t="s">
        <v>849</v>
      </c>
      <c r="AT723" t="s">
        <v>222</v>
      </c>
      <c r="AV723" t="s">
        <v>1803</v>
      </c>
      <c r="AW723" t="s">
        <v>1815</v>
      </c>
      <c r="AX723" t="s">
        <v>1821</v>
      </c>
      <c r="AY723" t="s">
        <v>1806</v>
      </c>
      <c r="AZ723" t="s">
        <v>76</v>
      </c>
    </row>
    <row r="724" spans="1:52" x14ac:dyDescent="0.2">
      <c r="A724" t="s">
        <v>1948</v>
      </c>
      <c r="B724" t="s">
        <v>1949</v>
      </c>
      <c r="C724" t="s">
        <v>1950</v>
      </c>
      <c r="D724">
        <v>2023</v>
      </c>
      <c r="E724" t="s">
        <v>2181</v>
      </c>
      <c r="F724" t="s">
        <v>2182</v>
      </c>
      <c r="G724" t="s">
        <v>2307</v>
      </c>
      <c r="H724" t="s">
        <v>2187</v>
      </c>
      <c r="I724" t="s">
        <v>1094</v>
      </c>
      <c r="J724" t="s">
        <v>31</v>
      </c>
      <c r="K724" t="s">
        <v>35</v>
      </c>
      <c r="L724" t="s">
        <v>11</v>
      </c>
      <c r="M724" t="s">
        <v>18</v>
      </c>
      <c r="N724">
        <v>0</v>
      </c>
      <c r="O724" s="18" t="s">
        <v>20</v>
      </c>
      <c r="P724" s="18" t="s">
        <v>2010</v>
      </c>
      <c r="S724" t="s">
        <v>47</v>
      </c>
      <c r="T724" t="s">
        <v>421</v>
      </c>
      <c r="W724">
        <v>20</v>
      </c>
      <c r="X724">
        <v>13</v>
      </c>
      <c r="AA724">
        <v>8.9375</v>
      </c>
      <c r="AB724">
        <v>5.5313500461761897</v>
      </c>
      <c r="AC724">
        <v>9.0909090909090917</v>
      </c>
      <c r="AD724">
        <v>5.821589910918588</v>
      </c>
      <c r="AE724" t="s">
        <v>71</v>
      </c>
      <c r="AF724" t="s">
        <v>61</v>
      </c>
      <c r="AG724" t="s">
        <v>71</v>
      </c>
      <c r="AH724" t="s">
        <v>213</v>
      </c>
      <c r="AS724" t="s">
        <v>849</v>
      </c>
      <c r="AT724" t="s">
        <v>222</v>
      </c>
      <c r="AV724" t="s">
        <v>1803</v>
      </c>
      <c r="AW724" t="s">
        <v>1815</v>
      </c>
      <c r="AX724" t="s">
        <v>1821</v>
      </c>
      <c r="AY724" t="s">
        <v>1806</v>
      </c>
      <c r="AZ724" t="s">
        <v>76</v>
      </c>
    </row>
    <row r="725" spans="1:52" x14ac:dyDescent="0.2">
      <c r="A725" t="s">
        <v>1948</v>
      </c>
      <c r="B725" t="s">
        <v>1949</v>
      </c>
      <c r="C725" t="s">
        <v>1950</v>
      </c>
      <c r="D725">
        <v>2023</v>
      </c>
      <c r="E725" t="s">
        <v>2181</v>
      </c>
      <c r="F725" t="s">
        <v>2182</v>
      </c>
      <c r="G725" t="s">
        <v>2307</v>
      </c>
      <c r="H725" t="s">
        <v>2188</v>
      </c>
      <c r="I725" t="s">
        <v>1094</v>
      </c>
      <c r="J725" t="s">
        <v>31</v>
      </c>
      <c r="K725" t="s">
        <v>35</v>
      </c>
      <c r="L725" t="s">
        <v>11</v>
      </c>
      <c r="M725" t="s">
        <v>18</v>
      </c>
      <c r="N725">
        <v>0</v>
      </c>
      <c r="O725" s="18" t="s">
        <v>20</v>
      </c>
      <c r="P725" s="18" t="s">
        <v>2010</v>
      </c>
      <c r="S725" t="s">
        <v>47</v>
      </c>
      <c r="T725" t="s">
        <v>421</v>
      </c>
      <c r="W725">
        <v>20</v>
      </c>
      <c r="X725">
        <v>13</v>
      </c>
      <c r="AA725">
        <v>8.9375</v>
      </c>
      <c r="AB725">
        <v>5.5313500461761897</v>
      </c>
      <c r="AC725">
        <v>6.8181818181818183</v>
      </c>
      <c r="AD725">
        <v>4.1908992309093236</v>
      </c>
      <c r="AE725" t="s">
        <v>71</v>
      </c>
      <c r="AF725" t="s">
        <v>61</v>
      </c>
      <c r="AG725" t="s">
        <v>71</v>
      </c>
      <c r="AH725" t="s">
        <v>213</v>
      </c>
      <c r="AS725" t="s">
        <v>849</v>
      </c>
      <c r="AT725" t="s">
        <v>222</v>
      </c>
      <c r="AV725" t="s">
        <v>1803</v>
      </c>
      <c r="AW725" t="s">
        <v>1815</v>
      </c>
      <c r="AX725" t="s">
        <v>1821</v>
      </c>
      <c r="AY725" t="s">
        <v>1806</v>
      </c>
      <c r="AZ725" t="s">
        <v>76</v>
      </c>
    </row>
    <row r="726" spans="1:52" x14ac:dyDescent="0.2">
      <c r="A726" t="s">
        <v>1948</v>
      </c>
      <c r="B726" t="s">
        <v>1949</v>
      </c>
      <c r="C726" t="s">
        <v>1950</v>
      </c>
      <c r="D726">
        <v>2023</v>
      </c>
      <c r="E726" t="s">
        <v>2181</v>
      </c>
      <c r="F726" t="s">
        <v>2182</v>
      </c>
      <c r="G726" t="s">
        <v>2307</v>
      </c>
      <c r="H726" t="s">
        <v>2189</v>
      </c>
      <c r="I726" t="s">
        <v>1094</v>
      </c>
      <c r="J726" t="s">
        <v>31</v>
      </c>
      <c r="K726" t="s">
        <v>35</v>
      </c>
      <c r="L726" t="s">
        <v>11</v>
      </c>
      <c r="M726" t="s">
        <v>18</v>
      </c>
      <c r="N726">
        <v>0</v>
      </c>
      <c r="O726" s="18" t="s">
        <v>20</v>
      </c>
      <c r="P726" s="18" t="s">
        <v>27</v>
      </c>
      <c r="S726" t="s">
        <v>47</v>
      </c>
      <c r="T726" t="s">
        <v>421</v>
      </c>
      <c r="W726">
        <v>24</v>
      </c>
      <c r="X726">
        <v>17</v>
      </c>
      <c r="Y726">
        <v>10</v>
      </c>
      <c r="Z726">
        <v>5</v>
      </c>
      <c r="AG726" t="s">
        <v>1790</v>
      </c>
      <c r="AH726" t="s">
        <v>213</v>
      </c>
      <c r="AS726" t="s">
        <v>849</v>
      </c>
      <c r="AT726" t="s">
        <v>849</v>
      </c>
      <c r="AV726" t="s">
        <v>1803</v>
      </c>
      <c r="AW726" t="s">
        <v>1815</v>
      </c>
      <c r="AX726" t="s">
        <v>1821</v>
      </c>
      <c r="AY726" t="s">
        <v>1806</v>
      </c>
      <c r="AZ726" t="s">
        <v>76</v>
      </c>
    </row>
    <row r="727" spans="1:52" x14ac:dyDescent="0.2">
      <c r="A727" t="s">
        <v>1948</v>
      </c>
      <c r="B727" t="s">
        <v>1949</v>
      </c>
      <c r="C727" t="s">
        <v>1950</v>
      </c>
      <c r="D727">
        <v>2023</v>
      </c>
      <c r="E727" t="s">
        <v>2181</v>
      </c>
      <c r="F727" t="s">
        <v>2182</v>
      </c>
      <c r="G727" t="s">
        <v>2307</v>
      </c>
      <c r="H727" t="s">
        <v>2190</v>
      </c>
      <c r="I727" t="s">
        <v>1094</v>
      </c>
      <c r="J727" t="s">
        <v>31</v>
      </c>
      <c r="K727" t="s">
        <v>35</v>
      </c>
      <c r="L727" t="s">
        <v>11</v>
      </c>
      <c r="M727" t="s">
        <v>18</v>
      </c>
      <c r="N727">
        <v>0</v>
      </c>
      <c r="O727" s="18" t="s">
        <v>20</v>
      </c>
      <c r="P727" s="18" t="s">
        <v>27</v>
      </c>
      <c r="S727" t="s">
        <v>47</v>
      </c>
      <c r="T727" t="s">
        <v>421</v>
      </c>
      <c r="W727">
        <v>24</v>
      </c>
      <c r="X727">
        <v>20</v>
      </c>
      <c r="Y727">
        <v>10</v>
      </c>
      <c r="Z727">
        <v>6</v>
      </c>
      <c r="AG727" t="s">
        <v>1790</v>
      </c>
      <c r="AH727" t="s">
        <v>213</v>
      </c>
      <c r="AS727" t="s">
        <v>849</v>
      </c>
      <c r="AT727" t="s">
        <v>849</v>
      </c>
      <c r="AV727" t="s">
        <v>1803</v>
      </c>
      <c r="AW727" t="s">
        <v>1815</v>
      </c>
      <c r="AX727" t="s">
        <v>1821</v>
      </c>
      <c r="AY727" t="s">
        <v>1806</v>
      </c>
      <c r="AZ727" t="s">
        <v>76</v>
      </c>
    </row>
    <row r="728" spans="1:52" x14ac:dyDescent="0.2">
      <c r="A728" t="s">
        <v>1948</v>
      </c>
      <c r="B728" t="s">
        <v>1949</v>
      </c>
      <c r="C728" t="s">
        <v>1950</v>
      </c>
      <c r="D728">
        <v>2023</v>
      </c>
      <c r="E728" t="s">
        <v>2181</v>
      </c>
      <c r="F728" t="s">
        <v>2182</v>
      </c>
      <c r="G728" t="s">
        <v>2307</v>
      </c>
      <c r="H728" t="s">
        <v>2191</v>
      </c>
      <c r="I728" t="s">
        <v>1094</v>
      </c>
      <c r="J728" t="s">
        <v>31</v>
      </c>
      <c r="K728" t="s">
        <v>35</v>
      </c>
      <c r="L728" t="s">
        <v>11</v>
      </c>
      <c r="M728" t="s">
        <v>18</v>
      </c>
      <c r="N728">
        <v>0</v>
      </c>
      <c r="O728" s="18" t="s">
        <v>20</v>
      </c>
      <c r="P728" s="18" t="s">
        <v>27</v>
      </c>
      <c r="S728" t="s">
        <v>47</v>
      </c>
      <c r="T728" t="s">
        <v>421</v>
      </c>
      <c r="W728">
        <v>24</v>
      </c>
      <c r="X728">
        <v>25</v>
      </c>
      <c r="Y728">
        <v>10</v>
      </c>
      <c r="Z728">
        <v>6</v>
      </c>
      <c r="AG728" t="s">
        <v>1790</v>
      </c>
      <c r="AH728" t="s">
        <v>213</v>
      </c>
      <c r="AS728" t="s">
        <v>849</v>
      </c>
      <c r="AT728" t="s">
        <v>849</v>
      </c>
      <c r="AV728" t="s">
        <v>1803</v>
      </c>
      <c r="AW728" t="s">
        <v>1815</v>
      </c>
      <c r="AX728" t="s">
        <v>1821</v>
      </c>
      <c r="AY728" t="s">
        <v>1806</v>
      </c>
      <c r="AZ728" t="s">
        <v>76</v>
      </c>
    </row>
    <row r="729" spans="1:52" x14ac:dyDescent="0.2">
      <c r="A729" t="s">
        <v>1948</v>
      </c>
      <c r="B729" t="s">
        <v>1949</v>
      </c>
      <c r="C729" t="s">
        <v>1950</v>
      </c>
      <c r="D729">
        <v>2023</v>
      </c>
      <c r="E729" t="s">
        <v>2181</v>
      </c>
      <c r="F729" t="s">
        <v>2182</v>
      </c>
      <c r="G729" t="s">
        <v>2307</v>
      </c>
      <c r="H729" t="s">
        <v>2192</v>
      </c>
      <c r="I729" t="s">
        <v>1094</v>
      </c>
      <c r="J729" t="s">
        <v>31</v>
      </c>
      <c r="K729" t="s">
        <v>35</v>
      </c>
      <c r="L729" t="s">
        <v>11</v>
      </c>
      <c r="M729" t="s">
        <v>18</v>
      </c>
      <c r="N729">
        <v>0</v>
      </c>
      <c r="O729" s="18" t="s">
        <v>20</v>
      </c>
      <c r="P729" s="18" t="s">
        <v>1824</v>
      </c>
      <c r="S729" t="s">
        <v>47</v>
      </c>
      <c r="T729" t="s">
        <v>421</v>
      </c>
      <c r="W729">
        <v>14</v>
      </c>
      <c r="X729">
        <v>8</v>
      </c>
      <c r="AA729">
        <v>9.3571428571428577</v>
      </c>
      <c r="AB729">
        <v>5.555415138640619</v>
      </c>
      <c r="AC729">
        <v>6.75</v>
      </c>
      <c r="AD729">
        <v>4.1661904489764821</v>
      </c>
      <c r="AE729" t="s">
        <v>71</v>
      </c>
      <c r="AF729" t="s">
        <v>62</v>
      </c>
      <c r="AG729" t="s">
        <v>71</v>
      </c>
      <c r="AH729" t="s">
        <v>213</v>
      </c>
      <c r="AS729" t="s">
        <v>849</v>
      </c>
      <c r="AT729" t="s">
        <v>222</v>
      </c>
      <c r="AV729" t="s">
        <v>1803</v>
      </c>
      <c r="AW729" t="s">
        <v>1815</v>
      </c>
      <c r="AX729" t="s">
        <v>1821</v>
      </c>
      <c r="AY729" t="s">
        <v>1806</v>
      </c>
      <c r="AZ729" t="s">
        <v>76</v>
      </c>
    </row>
    <row r="730" spans="1:52" x14ac:dyDescent="0.2">
      <c r="A730" t="s">
        <v>1948</v>
      </c>
      <c r="B730" t="s">
        <v>1949</v>
      </c>
      <c r="C730" t="s">
        <v>1950</v>
      </c>
      <c r="D730">
        <v>2023</v>
      </c>
      <c r="E730" t="s">
        <v>2181</v>
      </c>
      <c r="F730" t="s">
        <v>2182</v>
      </c>
      <c r="G730" t="s">
        <v>2307</v>
      </c>
      <c r="H730" t="s">
        <v>2193</v>
      </c>
      <c r="I730" t="s">
        <v>1094</v>
      </c>
      <c r="J730" t="s">
        <v>31</v>
      </c>
      <c r="K730" t="s">
        <v>35</v>
      </c>
      <c r="L730" t="s">
        <v>11</v>
      </c>
      <c r="M730" t="s">
        <v>18</v>
      </c>
      <c r="N730">
        <v>0</v>
      </c>
      <c r="O730" s="18" t="s">
        <v>20</v>
      </c>
      <c r="P730" s="18" t="s">
        <v>1824</v>
      </c>
      <c r="S730" t="s">
        <v>47</v>
      </c>
      <c r="T730" t="s">
        <v>421</v>
      </c>
      <c r="W730">
        <v>14</v>
      </c>
      <c r="X730">
        <v>8</v>
      </c>
      <c r="AA730">
        <v>9.3571428571428577</v>
      </c>
      <c r="AB730">
        <v>5.555415138640619</v>
      </c>
      <c r="AC730">
        <v>6.875</v>
      </c>
      <c r="AD730">
        <v>5.111262075065218</v>
      </c>
      <c r="AE730" t="s">
        <v>71</v>
      </c>
      <c r="AF730" t="s">
        <v>62</v>
      </c>
      <c r="AG730" t="s">
        <v>71</v>
      </c>
      <c r="AH730" t="s">
        <v>213</v>
      </c>
      <c r="AS730" t="s">
        <v>849</v>
      </c>
      <c r="AT730" t="s">
        <v>222</v>
      </c>
      <c r="AV730" t="s">
        <v>1803</v>
      </c>
      <c r="AW730" t="s">
        <v>1815</v>
      </c>
      <c r="AX730" t="s">
        <v>1821</v>
      </c>
      <c r="AY730" t="s">
        <v>1806</v>
      </c>
      <c r="AZ730" t="s">
        <v>76</v>
      </c>
    </row>
    <row r="731" spans="1:52" x14ac:dyDescent="0.2">
      <c r="A731" t="s">
        <v>1948</v>
      </c>
      <c r="B731" t="s">
        <v>1949</v>
      </c>
      <c r="C731" t="s">
        <v>1950</v>
      </c>
      <c r="D731">
        <v>2023</v>
      </c>
      <c r="E731" t="s">
        <v>2181</v>
      </c>
      <c r="F731" t="s">
        <v>2182</v>
      </c>
      <c r="G731" t="s">
        <v>2307</v>
      </c>
      <c r="H731" t="s">
        <v>2194</v>
      </c>
      <c r="I731" t="s">
        <v>1094</v>
      </c>
      <c r="J731" t="s">
        <v>31</v>
      </c>
      <c r="K731" t="s">
        <v>35</v>
      </c>
      <c r="L731" t="s">
        <v>11</v>
      </c>
      <c r="M731" t="s">
        <v>18</v>
      </c>
      <c r="N731">
        <v>0</v>
      </c>
      <c r="O731" s="18" t="s">
        <v>20</v>
      </c>
      <c r="P731" s="18" t="s">
        <v>1824</v>
      </c>
      <c r="S731" t="s">
        <v>47</v>
      </c>
      <c r="T731" t="s">
        <v>421</v>
      </c>
      <c r="W731">
        <v>14</v>
      </c>
      <c r="X731">
        <v>9</v>
      </c>
      <c r="AA731">
        <v>9.3571428571428577</v>
      </c>
      <c r="AB731">
        <v>5.555415138640619</v>
      </c>
      <c r="AC731">
        <v>9.4444444444444446</v>
      </c>
      <c r="AD731">
        <v>4.7199340861687649</v>
      </c>
      <c r="AE731" t="s">
        <v>71</v>
      </c>
      <c r="AF731" t="s">
        <v>62</v>
      </c>
      <c r="AG731" t="s">
        <v>71</v>
      </c>
      <c r="AH731" t="s">
        <v>213</v>
      </c>
      <c r="AS731" t="s">
        <v>849</v>
      </c>
      <c r="AT731" t="s">
        <v>222</v>
      </c>
      <c r="AV731" t="s">
        <v>1803</v>
      </c>
      <c r="AW731" t="s">
        <v>1815</v>
      </c>
      <c r="AX731" t="s">
        <v>1821</v>
      </c>
      <c r="AY731" t="s">
        <v>1806</v>
      </c>
      <c r="AZ731" t="s">
        <v>76</v>
      </c>
    </row>
    <row r="732" spans="1:52" x14ac:dyDescent="0.2">
      <c r="A732" t="s">
        <v>1948</v>
      </c>
      <c r="B732" t="s">
        <v>1949</v>
      </c>
      <c r="C732" t="s">
        <v>2171</v>
      </c>
      <c r="D732">
        <v>2023</v>
      </c>
      <c r="E732" t="s">
        <v>2181</v>
      </c>
      <c r="F732" t="s">
        <v>2182</v>
      </c>
      <c r="G732" t="s">
        <v>2307</v>
      </c>
      <c r="H732" t="s">
        <v>2195</v>
      </c>
      <c r="I732" t="s">
        <v>1094</v>
      </c>
      <c r="J732" t="s">
        <v>31</v>
      </c>
      <c r="K732" t="s">
        <v>35</v>
      </c>
      <c r="L732" t="s">
        <v>11</v>
      </c>
      <c r="M732" t="s">
        <v>18</v>
      </c>
      <c r="N732">
        <v>0</v>
      </c>
      <c r="O732" s="18" t="s">
        <v>76</v>
      </c>
      <c r="P732" s="18" t="s">
        <v>646</v>
      </c>
      <c r="S732" t="s">
        <v>47</v>
      </c>
      <c r="T732" t="s">
        <v>421</v>
      </c>
      <c r="W732">
        <v>5</v>
      </c>
      <c r="X732">
        <v>2</v>
      </c>
      <c r="AA732">
        <v>0.1961527022</v>
      </c>
      <c r="AB732">
        <v>9.6146441340914143E-2</v>
      </c>
      <c r="AC732">
        <v>0.54183394149999997</v>
      </c>
      <c r="AD732">
        <v>0.22066605850000001</v>
      </c>
      <c r="AE732" t="s">
        <v>71</v>
      </c>
      <c r="AF732" t="s">
        <v>62</v>
      </c>
      <c r="AG732" t="s">
        <v>71</v>
      </c>
      <c r="AH732" t="s">
        <v>213</v>
      </c>
      <c r="AS732" t="s">
        <v>849</v>
      </c>
      <c r="AT732" t="s">
        <v>849</v>
      </c>
      <c r="AV732" t="s">
        <v>1803</v>
      </c>
      <c r="AW732" t="s">
        <v>1815</v>
      </c>
      <c r="AX732" t="s">
        <v>1821</v>
      </c>
      <c r="AY732" t="s">
        <v>1806</v>
      </c>
      <c r="AZ732" t="s">
        <v>76</v>
      </c>
    </row>
    <row r="733" spans="1:52" x14ac:dyDescent="0.2">
      <c r="A733" t="s">
        <v>1948</v>
      </c>
      <c r="B733" t="s">
        <v>1949</v>
      </c>
      <c r="C733" t="s">
        <v>2172</v>
      </c>
      <c r="D733">
        <v>2023</v>
      </c>
      <c r="E733" t="s">
        <v>2181</v>
      </c>
      <c r="F733" t="s">
        <v>2182</v>
      </c>
      <c r="G733" t="s">
        <v>2307</v>
      </c>
      <c r="H733" t="s">
        <v>2196</v>
      </c>
      <c r="I733" t="s">
        <v>1094</v>
      </c>
      <c r="J733" t="s">
        <v>31</v>
      </c>
      <c r="K733" t="s">
        <v>35</v>
      </c>
      <c r="L733" t="s">
        <v>11</v>
      </c>
      <c r="M733" t="s">
        <v>18</v>
      </c>
      <c r="N733">
        <v>0</v>
      </c>
      <c r="O733" s="18" t="s">
        <v>76</v>
      </c>
      <c r="P733" s="18" t="s">
        <v>646</v>
      </c>
      <c r="S733" t="s">
        <v>47</v>
      </c>
      <c r="T733" t="s">
        <v>421</v>
      </c>
      <c r="W733">
        <v>5</v>
      </c>
      <c r="X733">
        <v>4</v>
      </c>
      <c r="AA733">
        <v>0.1961527022</v>
      </c>
      <c r="AB733">
        <v>9.6146441340914143E-2</v>
      </c>
      <c r="AC733">
        <v>0.28757420774999998</v>
      </c>
      <c r="AD733">
        <v>4.9258152453313102E-2</v>
      </c>
      <c r="AE733" t="s">
        <v>71</v>
      </c>
      <c r="AF733" t="s">
        <v>62</v>
      </c>
      <c r="AG733" t="s">
        <v>71</v>
      </c>
      <c r="AH733" t="s">
        <v>213</v>
      </c>
      <c r="AS733" t="s">
        <v>849</v>
      </c>
      <c r="AT733" t="s">
        <v>849</v>
      </c>
      <c r="AV733" t="s">
        <v>1803</v>
      </c>
      <c r="AW733" t="s">
        <v>1815</v>
      </c>
      <c r="AX733" t="s">
        <v>1821</v>
      </c>
      <c r="AY733" t="s">
        <v>1806</v>
      </c>
      <c r="AZ733" t="s">
        <v>76</v>
      </c>
    </row>
    <row r="734" spans="1:52" x14ac:dyDescent="0.2">
      <c r="A734" t="s">
        <v>1948</v>
      </c>
      <c r="B734" t="s">
        <v>1949</v>
      </c>
      <c r="C734" t="s">
        <v>2173</v>
      </c>
      <c r="D734">
        <v>2023</v>
      </c>
      <c r="E734" t="s">
        <v>2181</v>
      </c>
      <c r="F734" t="s">
        <v>2182</v>
      </c>
      <c r="G734" t="s">
        <v>2307</v>
      </c>
      <c r="H734" t="s">
        <v>2197</v>
      </c>
      <c r="I734" t="s">
        <v>1094</v>
      </c>
      <c r="J734" t="s">
        <v>31</v>
      </c>
      <c r="K734" t="s">
        <v>35</v>
      </c>
      <c r="L734" t="s">
        <v>11</v>
      </c>
      <c r="M734" t="s">
        <v>18</v>
      </c>
      <c r="N734">
        <v>0</v>
      </c>
      <c r="O734" s="18" t="s">
        <v>76</v>
      </c>
      <c r="P734" s="18" t="s">
        <v>646</v>
      </c>
      <c r="S734" t="s">
        <v>47</v>
      </c>
      <c r="T734" t="s">
        <v>421</v>
      </c>
      <c r="W734">
        <v>5</v>
      </c>
      <c r="X734">
        <v>2</v>
      </c>
      <c r="AA734">
        <v>0.1961527022</v>
      </c>
      <c r="AB734">
        <v>9.6146441340914143E-2</v>
      </c>
      <c r="AC734">
        <v>0.32348484849999998</v>
      </c>
      <c r="AD734">
        <v>0.29318181850000002</v>
      </c>
      <c r="AE734" t="s">
        <v>71</v>
      </c>
      <c r="AF734" t="s">
        <v>62</v>
      </c>
      <c r="AG734" t="s">
        <v>71</v>
      </c>
      <c r="AH734" t="s">
        <v>213</v>
      </c>
      <c r="AS734" t="s">
        <v>849</v>
      </c>
      <c r="AT734" t="s">
        <v>849</v>
      </c>
      <c r="AV734" t="s">
        <v>1803</v>
      </c>
      <c r="AW734" t="s">
        <v>1815</v>
      </c>
      <c r="AX734" t="s">
        <v>1821</v>
      </c>
      <c r="AY734" t="s">
        <v>1806</v>
      </c>
      <c r="AZ734" t="s">
        <v>76</v>
      </c>
    </row>
    <row r="735" spans="1:52" x14ac:dyDescent="0.2">
      <c r="A735" t="s">
        <v>1948</v>
      </c>
      <c r="B735" t="s">
        <v>1949</v>
      </c>
      <c r="C735" t="s">
        <v>2174</v>
      </c>
      <c r="D735">
        <v>2023</v>
      </c>
      <c r="E735" t="s">
        <v>2181</v>
      </c>
      <c r="F735" t="s">
        <v>2182</v>
      </c>
      <c r="G735" t="s">
        <v>2307</v>
      </c>
      <c r="H735" t="s">
        <v>2198</v>
      </c>
      <c r="I735" t="s">
        <v>1094</v>
      </c>
      <c r="J735" t="s">
        <v>31</v>
      </c>
      <c r="K735" t="s">
        <v>35</v>
      </c>
      <c r="L735" t="s">
        <v>11</v>
      </c>
      <c r="M735" t="s">
        <v>18</v>
      </c>
      <c r="N735">
        <v>0</v>
      </c>
      <c r="O735" s="18" t="s">
        <v>20</v>
      </c>
      <c r="P735" s="18" t="s">
        <v>1824</v>
      </c>
      <c r="S735" t="s">
        <v>47</v>
      </c>
      <c r="T735" t="s">
        <v>421</v>
      </c>
      <c r="W735">
        <v>15</v>
      </c>
      <c r="X735">
        <v>8</v>
      </c>
      <c r="AA735">
        <v>13.46666666666667</v>
      </c>
      <c r="AB735">
        <v>1.4568938473820541</v>
      </c>
      <c r="AC735">
        <v>10.75</v>
      </c>
      <c r="AD735">
        <v>1.7803490829449311</v>
      </c>
      <c r="AE735" t="s">
        <v>71</v>
      </c>
      <c r="AF735" t="s">
        <v>62</v>
      </c>
      <c r="AG735" t="s">
        <v>71</v>
      </c>
      <c r="AH735" t="s">
        <v>213</v>
      </c>
      <c r="AS735" t="s">
        <v>849</v>
      </c>
      <c r="AT735" t="s">
        <v>222</v>
      </c>
      <c r="AV735" t="s">
        <v>1803</v>
      </c>
      <c r="AW735" t="s">
        <v>1815</v>
      </c>
      <c r="AX735" t="s">
        <v>1821</v>
      </c>
      <c r="AY735" t="s">
        <v>1806</v>
      </c>
      <c r="AZ735" t="s">
        <v>76</v>
      </c>
    </row>
    <row r="736" spans="1:52" x14ac:dyDescent="0.2">
      <c r="A736" t="s">
        <v>1948</v>
      </c>
      <c r="B736" t="s">
        <v>1949</v>
      </c>
      <c r="C736" t="s">
        <v>2175</v>
      </c>
      <c r="D736">
        <v>2023</v>
      </c>
      <c r="E736" t="s">
        <v>2181</v>
      </c>
      <c r="F736" t="s">
        <v>2182</v>
      </c>
      <c r="G736" t="s">
        <v>2307</v>
      </c>
      <c r="H736" t="s">
        <v>2199</v>
      </c>
      <c r="I736" t="s">
        <v>1094</v>
      </c>
      <c r="J736" t="s">
        <v>31</v>
      </c>
      <c r="K736" t="s">
        <v>35</v>
      </c>
      <c r="L736" t="s">
        <v>11</v>
      </c>
      <c r="M736" t="s">
        <v>18</v>
      </c>
      <c r="N736">
        <v>0</v>
      </c>
      <c r="O736" s="18" t="s">
        <v>20</v>
      </c>
      <c r="P736" s="18" t="s">
        <v>1824</v>
      </c>
      <c r="S736" t="s">
        <v>47</v>
      </c>
      <c r="T736" t="s">
        <v>421</v>
      </c>
      <c r="W736">
        <v>15</v>
      </c>
      <c r="X736">
        <v>7</v>
      </c>
      <c r="AA736">
        <v>13.46666666666667</v>
      </c>
      <c r="AB736">
        <v>1.4568938473820541</v>
      </c>
      <c r="AC736">
        <v>10.71428571428571</v>
      </c>
      <c r="AD736">
        <v>2.1899585309651268</v>
      </c>
      <c r="AE736" t="s">
        <v>71</v>
      </c>
      <c r="AF736" t="s">
        <v>62</v>
      </c>
      <c r="AG736" t="s">
        <v>71</v>
      </c>
      <c r="AH736" t="s">
        <v>213</v>
      </c>
      <c r="AS736" t="s">
        <v>849</v>
      </c>
      <c r="AT736" t="s">
        <v>222</v>
      </c>
      <c r="AV736" t="s">
        <v>1803</v>
      </c>
      <c r="AW736" t="s">
        <v>1815</v>
      </c>
      <c r="AX736" t="s">
        <v>1821</v>
      </c>
      <c r="AY736" t="s">
        <v>1806</v>
      </c>
      <c r="AZ736" t="s">
        <v>76</v>
      </c>
    </row>
    <row r="737" spans="1:52" x14ac:dyDescent="0.2">
      <c r="A737" t="s">
        <v>1948</v>
      </c>
      <c r="B737" t="s">
        <v>1949</v>
      </c>
      <c r="C737" t="s">
        <v>2176</v>
      </c>
      <c r="D737">
        <v>2023</v>
      </c>
      <c r="E737" t="s">
        <v>2181</v>
      </c>
      <c r="F737" t="s">
        <v>2182</v>
      </c>
      <c r="G737" t="s">
        <v>2307</v>
      </c>
      <c r="H737" t="s">
        <v>2200</v>
      </c>
      <c r="I737" t="s">
        <v>1094</v>
      </c>
      <c r="J737" t="s">
        <v>31</v>
      </c>
      <c r="K737" t="s">
        <v>35</v>
      </c>
      <c r="L737" t="s">
        <v>11</v>
      </c>
      <c r="M737" t="s">
        <v>18</v>
      </c>
      <c r="N737">
        <v>0</v>
      </c>
      <c r="O737" s="18" t="s">
        <v>20</v>
      </c>
      <c r="P737" s="18" t="s">
        <v>1824</v>
      </c>
      <c r="S737" t="s">
        <v>47</v>
      </c>
      <c r="T737" t="s">
        <v>421</v>
      </c>
      <c r="W737">
        <v>15</v>
      </c>
      <c r="X737">
        <v>8</v>
      </c>
      <c r="AA737">
        <v>13.46666666666667</v>
      </c>
      <c r="AB737">
        <v>1.4568938473820541</v>
      </c>
      <c r="AC737">
        <v>14</v>
      </c>
      <c r="AD737">
        <v>2.2280677086403169</v>
      </c>
      <c r="AE737" t="s">
        <v>71</v>
      </c>
      <c r="AF737" t="s">
        <v>62</v>
      </c>
      <c r="AG737" t="s">
        <v>71</v>
      </c>
      <c r="AH737" t="s">
        <v>213</v>
      </c>
      <c r="AS737" t="s">
        <v>849</v>
      </c>
      <c r="AT737" t="s">
        <v>222</v>
      </c>
      <c r="AV737" t="s">
        <v>1803</v>
      </c>
      <c r="AW737" t="s">
        <v>1815</v>
      </c>
      <c r="AX737" t="s">
        <v>1821</v>
      </c>
      <c r="AY737" t="s">
        <v>1806</v>
      </c>
      <c r="AZ737" t="s">
        <v>76</v>
      </c>
    </row>
    <row r="738" spans="1:52" x14ac:dyDescent="0.2">
      <c r="A738" t="s">
        <v>1948</v>
      </c>
      <c r="B738" t="s">
        <v>1949</v>
      </c>
      <c r="C738" t="s">
        <v>2177</v>
      </c>
      <c r="D738">
        <v>2023</v>
      </c>
      <c r="E738" t="s">
        <v>2181</v>
      </c>
      <c r="F738" t="s">
        <v>2182</v>
      </c>
      <c r="G738" t="s">
        <v>2307</v>
      </c>
      <c r="H738" t="s">
        <v>2201</v>
      </c>
      <c r="I738" t="s">
        <v>1094</v>
      </c>
      <c r="J738" t="s">
        <v>31</v>
      </c>
      <c r="K738" t="s">
        <v>35</v>
      </c>
      <c r="L738" t="s">
        <v>11</v>
      </c>
      <c r="M738" t="s">
        <v>18</v>
      </c>
      <c r="N738">
        <v>0</v>
      </c>
      <c r="O738" s="18" t="s">
        <v>21</v>
      </c>
      <c r="P738" s="18" t="s">
        <v>2205</v>
      </c>
      <c r="S738" t="s">
        <v>47</v>
      </c>
      <c r="T738" t="s">
        <v>421</v>
      </c>
      <c r="W738">
        <v>14</v>
      </c>
      <c r="X738">
        <v>11</v>
      </c>
      <c r="AA738">
        <v>1.626428571428571E-3</v>
      </c>
      <c r="AB738">
        <v>5.7279027315176059E-5</v>
      </c>
      <c r="AC738">
        <v>1.635454545454545E-3</v>
      </c>
      <c r="AD738">
        <v>9.3743980523004885E-5</v>
      </c>
      <c r="AE738" t="s">
        <v>71</v>
      </c>
      <c r="AF738" t="s">
        <v>62</v>
      </c>
      <c r="AG738" t="s">
        <v>71</v>
      </c>
      <c r="AH738" t="s">
        <v>213</v>
      </c>
      <c r="AS738" t="s">
        <v>849</v>
      </c>
      <c r="AT738" t="s">
        <v>849</v>
      </c>
      <c r="AV738" t="s">
        <v>1803</v>
      </c>
      <c r="AW738" t="s">
        <v>1815</v>
      </c>
      <c r="AX738" t="s">
        <v>1821</v>
      </c>
      <c r="AY738" t="s">
        <v>1806</v>
      </c>
      <c r="AZ738" t="s">
        <v>76</v>
      </c>
    </row>
    <row r="739" spans="1:52" x14ac:dyDescent="0.2">
      <c r="A739" t="s">
        <v>1948</v>
      </c>
      <c r="B739" t="s">
        <v>1949</v>
      </c>
      <c r="C739" t="s">
        <v>2178</v>
      </c>
      <c r="D739">
        <v>2023</v>
      </c>
      <c r="E739" t="s">
        <v>2181</v>
      </c>
      <c r="F739" t="s">
        <v>2182</v>
      </c>
      <c r="G739" t="s">
        <v>2307</v>
      </c>
      <c r="H739" t="s">
        <v>2202</v>
      </c>
      <c r="I739" t="s">
        <v>1094</v>
      </c>
      <c r="J739" t="s">
        <v>31</v>
      </c>
      <c r="K739" t="s">
        <v>35</v>
      </c>
      <c r="L739" t="s">
        <v>11</v>
      </c>
      <c r="M739" t="s">
        <v>18</v>
      </c>
      <c r="N739">
        <v>0</v>
      </c>
      <c r="O739" s="18" t="s">
        <v>21</v>
      </c>
      <c r="P739" s="18" t="s">
        <v>2205</v>
      </c>
      <c r="S739" t="s">
        <v>47</v>
      </c>
      <c r="T739" t="s">
        <v>421</v>
      </c>
      <c r="W739">
        <v>14</v>
      </c>
      <c r="X739">
        <v>15</v>
      </c>
      <c r="AA739">
        <v>1.626428571428571E-3</v>
      </c>
      <c r="AB739">
        <v>5.7279027315176059E-5</v>
      </c>
      <c r="AC739">
        <v>1.498666666666667E-3</v>
      </c>
      <c r="AD739">
        <v>5.3929995776417823E-5</v>
      </c>
      <c r="AE739" t="s">
        <v>71</v>
      </c>
      <c r="AF739" t="s">
        <v>62</v>
      </c>
      <c r="AG739" t="s">
        <v>71</v>
      </c>
      <c r="AH739" t="s">
        <v>213</v>
      </c>
      <c r="AS739" t="s">
        <v>849</v>
      </c>
      <c r="AT739" t="s">
        <v>849</v>
      </c>
      <c r="AV739" t="s">
        <v>1803</v>
      </c>
      <c r="AW739" t="s">
        <v>1815</v>
      </c>
      <c r="AX739" t="s">
        <v>1821</v>
      </c>
      <c r="AY739" t="s">
        <v>1806</v>
      </c>
      <c r="AZ739" t="s">
        <v>76</v>
      </c>
    </row>
    <row r="740" spans="1:52" x14ac:dyDescent="0.2">
      <c r="A740" t="s">
        <v>1948</v>
      </c>
      <c r="B740" t="s">
        <v>1949</v>
      </c>
      <c r="C740" t="s">
        <v>2179</v>
      </c>
      <c r="D740">
        <v>2023</v>
      </c>
      <c r="E740" t="s">
        <v>2181</v>
      </c>
      <c r="F740" t="s">
        <v>2182</v>
      </c>
      <c r="G740" t="s">
        <v>2307</v>
      </c>
      <c r="H740" t="s">
        <v>2203</v>
      </c>
      <c r="I740" t="s">
        <v>1094</v>
      </c>
      <c r="J740" t="s">
        <v>31</v>
      </c>
      <c r="K740" t="s">
        <v>35</v>
      </c>
      <c r="L740" t="s">
        <v>11</v>
      </c>
      <c r="M740" t="s">
        <v>18</v>
      </c>
      <c r="N740">
        <v>0</v>
      </c>
      <c r="O740" s="18" t="s">
        <v>21</v>
      </c>
      <c r="P740" s="18" t="s">
        <v>2205</v>
      </c>
      <c r="S740" t="s">
        <v>47</v>
      </c>
      <c r="T740" t="s">
        <v>421</v>
      </c>
      <c r="W740">
        <v>14</v>
      </c>
      <c r="X740">
        <v>10</v>
      </c>
      <c r="AA740">
        <v>1.626428571428571E-3</v>
      </c>
      <c r="AB740">
        <v>5.7279027315176059E-5</v>
      </c>
      <c r="AC740">
        <v>1.4829999999999999E-3</v>
      </c>
      <c r="AD740">
        <v>7.7575053263848222E-5</v>
      </c>
      <c r="AE740" t="s">
        <v>71</v>
      </c>
      <c r="AF740" t="s">
        <v>62</v>
      </c>
      <c r="AG740" t="s">
        <v>71</v>
      </c>
      <c r="AH740" t="s">
        <v>213</v>
      </c>
      <c r="AS740" t="s">
        <v>849</v>
      </c>
      <c r="AT740" t="s">
        <v>849</v>
      </c>
      <c r="AV740" t="s">
        <v>1803</v>
      </c>
      <c r="AW740" t="s">
        <v>1815</v>
      </c>
      <c r="AX740" t="s">
        <v>1821</v>
      </c>
      <c r="AY740" t="s">
        <v>1806</v>
      </c>
      <c r="AZ740" t="s">
        <v>76</v>
      </c>
    </row>
    <row r="741" spans="1:52" x14ac:dyDescent="0.2">
      <c r="A741" t="s">
        <v>1948</v>
      </c>
      <c r="B741" t="s">
        <v>1949</v>
      </c>
      <c r="C741" t="s">
        <v>2180</v>
      </c>
      <c r="D741">
        <v>2023</v>
      </c>
      <c r="E741" t="s">
        <v>2181</v>
      </c>
      <c r="F741" t="s">
        <v>2182</v>
      </c>
      <c r="G741" t="s">
        <v>2307</v>
      </c>
      <c r="H741" t="s">
        <v>2204</v>
      </c>
      <c r="I741" t="s">
        <v>1094</v>
      </c>
      <c r="J741" t="s">
        <v>31</v>
      </c>
      <c r="K741" t="s">
        <v>35</v>
      </c>
      <c r="L741" t="s">
        <v>11</v>
      </c>
      <c r="M741" t="s">
        <v>18</v>
      </c>
      <c r="N741">
        <v>0</v>
      </c>
      <c r="O741" s="18" t="s">
        <v>20</v>
      </c>
      <c r="P741" s="18" t="s">
        <v>27</v>
      </c>
      <c r="S741" t="s">
        <v>47</v>
      </c>
      <c r="T741" t="s">
        <v>421</v>
      </c>
      <c r="W741">
        <v>24</v>
      </c>
      <c r="X741">
        <v>16</v>
      </c>
      <c r="AA741">
        <v>1.25</v>
      </c>
      <c r="AB741">
        <v>0.79399923338042067</v>
      </c>
      <c r="AC741">
        <v>1.1875</v>
      </c>
      <c r="AD741">
        <v>0.65510813356778486</v>
      </c>
      <c r="AE741" t="s">
        <v>71</v>
      </c>
      <c r="AF741" t="s">
        <v>61</v>
      </c>
      <c r="AG741" t="s">
        <v>71</v>
      </c>
      <c r="AH741" t="s">
        <v>213</v>
      </c>
      <c r="AS741" t="s">
        <v>849</v>
      </c>
      <c r="AT741" t="s">
        <v>849</v>
      </c>
      <c r="AV741" t="s">
        <v>1803</v>
      </c>
      <c r="AW741" t="s">
        <v>1815</v>
      </c>
      <c r="AX741" t="s">
        <v>1821</v>
      </c>
      <c r="AY741" t="s">
        <v>1806</v>
      </c>
      <c r="AZ741" t="s">
        <v>76</v>
      </c>
    </row>
    <row r="742" spans="1:52" x14ac:dyDescent="0.2">
      <c r="A742" t="s">
        <v>1948</v>
      </c>
      <c r="B742" t="s">
        <v>1949</v>
      </c>
      <c r="C742" t="s">
        <v>2209</v>
      </c>
      <c r="D742">
        <v>2023</v>
      </c>
      <c r="E742" t="s">
        <v>2181</v>
      </c>
      <c r="F742" t="s">
        <v>2182</v>
      </c>
      <c r="G742" t="s">
        <v>2307</v>
      </c>
      <c r="H742" t="s">
        <v>2206</v>
      </c>
      <c r="I742" t="s">
        <v>1094</v>
      </c>
      <c r="J742" t="s">
        <v>31</v>
      </c>
      <c r="K742" t="s">
        <v>35</v>
      </c>
      <c r="L742" t="s">
        <v>11</v>
      </c>
      <c r="M742" t="s">
        <v>18</v>
      </c>
      <c r="N742">
        <v>0</v>
      </c>
      <c r="O742" s="18" t="s">
        <v>20</v>
      </c>
      <c r="P742" s="18" t="s">
        <v>27</v>
      </c>
      <c r="S742" t="s">
        <v>47</v>
      </c>
      <c r="T742" t="s">
        <v>421</v>
      </c>
      <c r="W742">
        <v>24</v>
      </c>
      <c r="X742">
        <v>17</v>
      </c>
      <c r="AA742">
        <v>1.25</v>
      </c>
      <c r="AB742">
        <v>0.79399923338042067</v>
      </c>
      <c r="AC742">
        <v>1.411764705882353</v>
      </c>
      <c r="AD742">
        <v>0.50729965619589235</v>
      </c>
      <c r="AE742" t="s">
        <v>71</v>
      </c>
      <c r="AF742" t="s">
        <v>61</v>
      </c>
      <c r="AG742" t="s">
        <v>71</v>
      </c>
      <c r="AH742" t="s">
        <v>213</v>
      </c>
      <c r="AS742" t="s">
        <v>849</v>
      </c>
      <c r="AT742" t="s">
        <v>849</v>
      </c>
      <c r="AV742" t="s">
        <v>1803</v>
      </c>
      <c r="AW742" t="s">
        <v>1815</v>
      </c>
      <c r="AX742" t="s">
        <v>1821</v>
      </c>
      <c r="AY742" t="s">
        <v>1806</v>
      </c>
      <c r="AZ742" t="s">
        <v>76</v>
      </c>
    </row>
    <row r="743" spans="1:52" x14ac:dyDescent="0.2">
      <c r="A743" t="s">
        <v>1948</v>
      </c>
      <c r="B743" t="s">
        <v>1949</v>
      </c>
      <c r="C743" t="s">
        <v>2210</v>
      </c>
      <c r="D743">
        <v>2023</v>
      </c>
      <c r="E743" t="s">
        <v>2181</v>
      </c>
      <c r="F743" t="s">
        <v>2182</v>
      </c>
      <c r="G743" t="s">
        <v>2307</v>
      </c>
      <c r="H743" t="s">
        <v>2207</v>
      </c>
      <c r="I743" t="s">
        <v>1094</v>
      </c>
      <c r="J743" t="s">
        <v>31</v>
      </c>
      <c r="K743" t="s">
        <v>35</v>
      </c>
      <c r="L743" t="s">
        <v>11</v>
      </c>
      <c r="M743" t="s">
        <v>18</v>
      </c>
      <c r="N743">
        <v>0</v>
      </c>
      <c r="O743" s="18" t="s">
        <v>20</v>
      </c>
      <c r="P743" s="18" t="s">
        <v>27</v>
      </c>
      <c r="S743" t="s">
        <v>47</v>
      </c>
      <c r="T743" t="s">
        <v>421</v>
      </c>
      <c r="W743">
        <v>24</v>
      </c>
      <c r="X743">
        <v>16</v>
      </c>
      <c r="AA743">
        <v>1.25</v>
      </c>
      <c r="AB743">
        <v>0.79399923338042067</v>
      </c>
      <c r="AC743">
        <v>1.125</v>
      </c>
      <c r="AD743">
        <v>0.80622577482985502</v>
      </c>
      <c r="AE743" t="s">
        <v>71</v>
      </c>
      <c r="AF743" t="s">
        <v>61</v>
      </c>
      <c r="AG743" t="s">
        <v>71</v>
      </c>
      <c r="AH743" t="s">
        <v>213</v>
      </c>
      <c r="AS743" t="s">
        <v>849</v>
      </c>
      <c r="AT743" t="s">
        <v>849</v>
      </c>
      <c r="AV743" t="s">
        <v>1803</v>
      </c>
      <c r="AW743" t="s">
        <v>1815</v>
      </c>
      <c r="AX743" t="s">
        <v>1821</v>
      </c>
      <c r="AY743" t="s">
        <v>1806</v>
      </c>
      <c r="AZ743" t="s">
        <v>76</v>
      </c>
    </row>
    <row r="744" spans="1:52" x14ac:dyDescent="0.2">
      <c r="A744" t="s">
        <v>1948</v>
      </c>
      <c r="B744" t="s">
        <v>1949</v>
      </c>
      <c r="C744" t="s">
        <v>2210</v>
      </c>
      <c r="D744">
        <v>2023</v>
      </c>
      <c r="E744" t="s">
        <v>2181</v>
      </c>
      <c r="F744" t="s">
        <v>2182</v>
      </c>
      <c r="G744" t="s">
        <v>2307</v>
      </c>
      <c r="H744" t="s">
        <v>2229</v>
      </c>
      <c r="I744" t="s">
        <v>1094</v>
      </c>
      <c r="J744" t="s">
        <v>31</v>
      </c>
      <c r="K744" t="s">
        <v>35</v>
      </c>
      <c r="L744" t="s">
        <v>11</v>
      </c>
      <c r="M744" t="s">
        <v>18</v>
      </c>
      <c r="N744">
        <v>0</v>
      </c>
      <c r="O744" s="18" t="s">
        <v>20</v>
      </c>
      <c r="P744" s="18" t="s">
        <v>2010</v>
      </c>
      <c r="S744" t="s">
        <v>47</v>
      </c>
      <c r="T744" t="s">
        <v>421</v>
      </c>
      <c r="W744">
        <v>23</v>
      </c>
      <c r="X744">
        <v>22</v>
      </c>
      <c r="AA744">
        <v>6.7826086956521738</v>
      </c>
      <c r="AB744">
        <v>8.8623643558750498</v>
      </c>
      <c r="AC744">
        <v>4.9090909090909092</v>
      </c>
      <c r="AD744">
        <v>5.7644980032468771</v>
      </c>
      <c r="AE744" t="s">
        <v>71</v>
      </c>
      <c r="AF744" t="s">
        <v>61</v>
      </c>
      <c r="AG744" t="s">
        <v>71</v>
      </c>
      <c r="AH744" t="s">
        <v>213</v>
      </c>
      <c r="AS744" t="s">
        <v>849</v>
      </c>
      <c r="AT744" t="s">
        <v>849</v>
      </c>
      <c r="AV744" t="s">
        <v>1803</v>
      </c>
      <c r="AW744" t="s">
        <v>1815</v>
      </c>
      <c r="AX744" t="s">
        <v>1821</v>
      </c>
      <c r="AY744" t="s">
        <v>1806</v>
      </c>
      <c r="AZ744" t="s">
        <v>76</v>
      </c>
    </row>
    <row r="745" spans="1:52" x14ac:dyDescent="0.2">
      <c r="A745" t="s">
        <v>1948</v>
      </c>
      <c r="B745" t="s">
        <v>1949</v>
      </c>
      <c r="C745" t="s">
        <v>2210</v>
      </c>
      <c r="D745">
        <v>2023</v>
      </c>
      <c r="E745" t="s">
        <v>2181</v>
      </c>
      <c r="F745" t="s">
        <v>2182</v>
      </c>
      <c r="G745" t="s">
        <v>2307</v>
      </c>
      <c r="H745" t="s">
        <v>2230</v>
      </c>
      <c r="I745" t="s">
        <v>1094</v>
      </c>
      <c r="J745" t="s">
        <v>31</v>
      </c>
      <c r="K745" t="s">
        <v>35</v>
      </c>
      <c r="L745" t="s">
        <v>11</v>
      </c>
      <c r="M745" t="s">
        <v>18</v>
      </c>
      <c r="N745">
        <v>0</v>
      </c>
      <c r="O745" s="18" t="s">
        <v>20</v>
      </c>
      <c r="P745" s="18" t="s">
        <v>2010</v>
      </c>
      <c r="S745" t="s">
        <v>47</v>
      </c>
      <c r="T745" t="s">
        <v>421</v>
      </c>
      <c r="W745">
        <v>23</v>
      </c>
      <c r="X745">
        <v>17</v>
      </c>
      <c r="AA745">
        <v>6.7826086956521738</v>
      </c>
      <c r="AB745">
        <v>8.8623643558750498</v>
      </c>
      <c r="AC745">
        <v>5.3529411764705879</v>
      </c>
      <c r="AD745">
        <v>6.6983316623487319</v>
      </c>
      <c r="AE745" t="s">
        <v>71</v>
      </c>
      <c r="AF745" t="s">
        <v>61</v>
      </c>
      <c r="AG745" t="s">
        <v>71</v>
      </c>
      <c r="AH745" t="s">
        <v>213</v>
      </c>
      <c r="AS745" t="s">
        <v>849</v>
      </c>
      <c r="AT745" t="s">
        <v>849</v>
      </c>
      <c r="AV745" t="s">
        <v>1803</v>
      </c>
      <c r="AW745" t="s">
        <v>1815</v>
      </c>
      <c r="AX745" t="s">
        <v>1821</v>
      </c>
      <c r="AY745" t="s">
        <v>1806</v>
      </c>
      <c r="AZ745" t="s">
        <v>76</v>
      </c>
    </row>
    <row r="746" spans="1:52" x14ac:dyDescent="0.2">
      <c r="A746" t="s">
        <v>1948</v>
      </c>
      <c r="B746" t="s">
        <v>1949</v>
      </c>
      <c r="C746" t="s">
        <v>2210</v>
      </c>
      <c r="D746">
        <v>2023</v>
      </c>
      <c r="E746" t="s">
        <v>2181</v>
      </c>
      <c r="F746" t="s">
        <v>2182</v>
      </c>
      <c r="G746" t="s">
        <v>2307</v>
      </c>
      <c r="H746" t="s">
        <v>2231</v>
      </c>
      <c r="I746" t="s">
        <v>1094</v>
      </c>
      <c r="J746" t="s">
        <v>31</v>
      </c>
      <c r="K746" t="s">
        <v>35</v>
      </c>
      <c r="L746" t="s">
        <v>11</v>
      </c>
      <c r="M746" t="s">
        <v>18</v>
      </c>
      <c r="N746">
        <v>0</v>
      </c>
      <c r="O746" s="18" t="s">
        <v>20</v>
      </c>
      <c r="P746" s="18" t="s">
        <v>2010</v>
      </c>
      <c r="S746" t="s">
        <v>47</v>
      </c>
      <c r="T746" t="s">
        <v>421</v>
      </c>
      <c r="W746">
        <v>23</v>
      </c>
      <c r="X746">
        <v>18</v>
      </c>
      <c r="AA746">
        <v>6.7826086956521738</v>
      </c>
      <c r="AB746">
        <v>8.8623643558750498</v>
      </c>
      <c r="AC746">
        <v>4.8888888888888893</v>
      </c>
      <c r="AD746">
        <v>4.0130506056364021</v>
      </c>
      <c r="AE746" t="s">
        <v>71</v>
      </c>
      <c r="AF746" t="s">
        <v>61</v>
      </c>
      <c r="AG746" t="s">
        <v>71</v>
      </c>
      <c r="AH746" t="s">
        <v>213</v>
      </c>
      <c r="AS746" t="s">
        <v>849</v>
      </c>
      <c r="AT746" t="s">
        <v>849</v>
      </c>
      <c r="AV746" t="s">
        <v>1803</v>
      </c>
      <c r="AW746" t="s">
        <v>1815</v>
      </c>
      <c r="AX746" t="s">
        <v>1821</v>
      </c>
      <c r="AY746" t="s">
        <v>1806</v>
      </c>
      <c r="AZ746" t="s">
        <v>76</v>
      </c>
    </row>
    <row r="747" spans="1:52" x14ac:dyDescent="0.2">
      <c r="A747" t="s">
        <v>1948</v>
      </c>
      <c r="B747" t="s">
        <v>1949</v>
      </c>
      <c r="C747" t="s">
        <v>2210</v>
      </c>
      <c r="D747">
        <v>2023</v>
      </c>
      <c r="E747" t="s">
        <v>2181</v>
      </c>
      <c r="F747" t="s">
        <v>2182</v>
      </c>
      <c r="G747" t="s">
        <v>2307</v>
      </c>
      <c r="H747" t="s">
        <v>2232</v>
      </c>
      <c r="I747" t="s">
        <v>1094</v>
      </c>
      <c r="J747" t="s">
        <v>31</v>
      </c>
      <c r="K747" t="s">
        <v>35</v>
      </c>
      <c r="L747" t="s">
        <v>11</v>
      </c>
      <c r="M747" t="s">
        <v>18</v>
      </c>
      <c r="N747">
        <v>0</v>
      </c>
      <c r="O747" s="18" t="s">
        <v>20</v>
      </c>
      <c r="P747" s="18" t="s">
        <v>2010</v>
      </c>
      <c r="S747" t="s">
        <v>47</v>
      </c>
      <c r="T747" t="s">
        <v>421</v>
      </c>
      <c r="W747">
        <v>23</v>
      </c>
      <c r="X747">
        <v>22</v>
      </c>
      <c r="AA747">
        <v>51.682869565217395</v>
      </c>
      <c r="AB747">
        <v>33.926197165591319</v>
      </c>
      <c r="AC747">
        <v>54.25781818181818</v>
      </c>
      <c r="AD747">
        <v>31.524865403793125</v>
      </c>
      <c r="AE747" t="s">
        <v>71</v>
      </c>
      <c r="AF747" t="s">
        <v>61</v>
      </c>
      <c r="AG747" t="s">
        <v>71</v>
      </c>
      <c r="AH747" t="s">
        <v>213</v>
      </c>
      <c r="AS747" t="s">
        <v>849</v>
      </c>
      <c r="AT747" t="s">
        <v>849</v>
      </c>
      <c r="AV747" t="s">
        <v>1803</v>
      </c>
      <c r="AW747" t="s">
        <v>1815</v>
      </c>
      <c r="AX747" t="s">
        <v>1821</v>
      </c>
      <c r="AY747" t="s">
        <v>1806</v>
      </c>
      <c r="AZ747" t="s">
        <v>76</v>
      </c>
    </row>
    <row r="748" spans="1:52" x14ac:dyDescent="0.2">
      <c r="A748" t="s">
        <v>1948</v>
      </c>
      <c r="B748" t="s">
        <v>1949</v>
      </c>
      <c r="C748" t="s">
        <v>2210</v>
      </c>
      <c r="D748">
        <v>2023</v>
      </c>
      <c r="E748" t="s">
        <v>2181</v>
      </c>
      <c r="F748" t="s">
        <v>2182</v>
      </c>
      <c r="G748" t="s">
        <v>2307</v>
      </c>
      <c r="H748" t="s">
        <v>2233</v>
      </c>
      <c r="I748" t="s">
        <v>1094</v>
      </c>
      <c r="J748" t="s">
        <v>31</v>
      </c>
      <c r="K748" t="s">
        <v>35</v>
      </c>
      <c r="L748" t="s">
        <v>11</v>
      </c>
      <c r="M748" t="s">
        <v>18</v>
      </c>
      <c r="N748">
        <v>0</v>
      </c>
      <c r="O748" s="18" t="s">
        <v>20</v>
      </c>
      <c r="P748" s="18" t="s">
        <v>2010</v>
      </c>
      <c r="S748" t="s">
        <v>47</v>
      </c>
      <c r="T748" t="s">
        <v>421</v>
      </c>
      <c r="W748">
        <v>23</v>
      </c>
      <c r="X748">
        <v>17</v>
      </c>
      <c r="AA748">
        <v>51.682869565217395</v>
      </c>
      <c r="AB748">
        <v>33.926197165591319</v>
      </c>
      <c r="AC748">
        <v>64.331235294117647</v>
      </c>
      <c r="AD748">
        <v>40.239257407302823</v>
      </c>
      <c r="AE748" t="s">
        <v>71</v>
      </c>
      <c r="AF748" t="s">
        <v>61</v>
      </c>
      <c r="AG748" t="s">
        <v>71</v>
      </c>
      <c r="AH748" t="s">
        <v>213</v>
      </c>
      <c r="AS748" t="s">
        <v>849</v>
      </c>
      <c r="AT748" t="s">
        <v>849</v>
      </c>
      <c r="AV748" t="s">
        <v>1803</v>
      </c>
      <c r="AW748" t="s">
        <v>1815</v>
      </c>
      <c r="AX748" t="s">
        <v>1821</v>
      </c>
      <c r="AY748" t="s">
        <v>1806</v>
      </c>
      <c r="AZ748" t="s">
        <v>76</v>
      </c>
    </row>
    <row r="749" spans="1:52" x14ac:dyDescent="0.2">
      <c r="A749" t="s">
        <v>1948</v>
      </c>
      <c r="B749" t="s">
        <v>1949</v>
      </c>
      <c r="C749" t="s">
        <v>2210</v>
      </c>
      <c r="D749">
        <v>2023</v>
      </c>
      <c r="E749" t="s">
        <v>2181</v>
      </c>
      <c r="F749" t="s">
        <v>2182</v>
      </c>
      <c r="G749" t="s">
        <v>2307</v>
      </c>
      <c r="H749" t="s">
        <v>2234</v>
      </c>
      <c r="I749" t="s">
        <v>1094</v>
      </c>
      <c r="J749" t="s">
        <v>31</v>
      </c>
      <c r="K749" t="s">
        <v>35</v>
      </c>
      <c r="L749" t="s">
        <v>11</v>
      </c>
      <c r="M749" t="s">
        <v>18</v>
      </c>
      <c r="N749">
        <v>0</v>
      </c>
      <c r="O749" s="18" t="s">
        <v>20</v>
      </c>
      <c r="P749" s="18" t="s">
        <v>2010</v>
      </c>
      <c r="S749" t="s">
        <v>47</v>
      </c>
      <c r="T749" t="s">
        <v>421</v>
      </c>
      <c r="W749">
        <v>23</v>
      </c>
      <c r="X749">
        <v>18</v>
      </c>
      <c r="AA749">
        <v>51.682869565217395</v>
      </c>
      <c r="AB749">
        <v>33.926197165591319</v>
      </c>
      <c r="AC749">
        <v>47.123833333333323</v>
      </c>
      <c r="AD749">
        <v>29.317881901765727</v>
      </c>
      <c r="AE749" t="s">
        <v>71</v>
      </c>
      <c r="AF749" t="s">
        <v>61</v>
      </c>
      <c r="AG749" t="s">
        <v>71</v>
      </c>
      <c r="AH749" t="s">
        <v>213</v>
      </c>
      <c r="AS749" t="s">
        <v>849</v>
      </c>
      <c r="AT749" t="s">
        <v>849</v>
      </c>
      <c r="AV749" t="s">
        <v>1803</v>
      </c>
      <c r="AW749" t="s">
        <v>1815</v>
      </c>
      <c r="AX749" t="s">
        <v>1821</v>
      </c>
      <c r="AY749" t="s">
        <v>1806</v>
      </c>
      <c r="AZ749" t="s">
        <v>76</v>
      </c>
    </row>
    <row r="750" spans="1:52" x14ac:dyDescent="0.2">
      <c r="A750" t="s">
        <v>1948</v>
      </c>
      <c r="B750" t="s">
        <v>1949</v>
      </c>
      <c r="C750" t="s">
        <v>2180</v>
      </c>
      <c r="D750">
        <v>2023</v>
      </c>
      <c r="E750" t="s">
        <v>2181</v>
      </c>
      <c r="F750" t="s">
        <v>2208</v>
      </c>
      <c r="G750" t="s">
        <v>2308</v>
      </c>
      <c r="H750" t="s">
        <v>2235</v>
      </c>
      <c r="I750" t="s">
        <v>1094</v>
      </c>
      <c r="J750" t="s">
        <v>31</v>
      </c>
      <c r="K750" t="s">
        <v>35</v>
      </c>
      <c r="L750" t="s">
        <v>11</v>
      </c>
      <c r="M750" t="s">
        <v>18</v>
      </c>
      <c r="N750">
        <v>0</v>
      </c>
      <c r="O750" s="18" t="s">
        <v>20</v>
      </c>
      <c r="P750" s="18" t="s">
        <v>2010</v>
      </c>
      <c r="S750" t="s">
        <v>47</v>
      </c>
      <c r="T750" t="s">
        <v>421</v>
      </c>
      <c r="W750">
        <v>23</v>
      </c>
      <c r="X750">
        <v>20</v>
      </c>
      <c r="Y750">
        <v>20</v>
      </c>
      <c r="Z750">
        <v>14</v>
      </c>
      <c r="AG750" t="s">
        <v>1790</v>
      </c>
      <c r="AH750" t="s">
        <v>213</v>
      </c>
      <c r="AS750" t="s">
        <v>849</v>
      </c>
      <c r="AT750" t="s">
        <v>849</v>
      </c>
      <c r="AV750" t="s">
        <v>1803</v>
      </c>
      <c r="AW750" t="s">
        <v>1815</v>
      </c>
      <c r="AX750" t="s">
        <v>1821</v>
      </c>
      <c r="AY750" t="s">
        <v>1806</v>
      </c>
      <c r="AZ750" t="s">
        <v>76</v>
      </c>
    </row>
    <row r="751" spans="1:52" x14ac:dyDescent="0.2">
      <c r="A751" t="s">
        <v>1948</v>
      </c>
      <c r="B751" t="s">
        <v>1949</v>
      </c>
      <c r="C751" t="s">
        <v>2209</v>
      </c>
      <c r="D751">
        <v>2023</v>
      </c>
      <c r="E751" t="s">
        <v>2181</v>
      </c>
      <c r="F751" t="s">
        <v>2208</v>
      </c>
      <c r="G751" t="s">
        <v>2308</v>
      </c>
      <c r="H751" t="s">
        <v>2236</v>
      </c>
      <c r="I751" t="s">
        <v>1094</v>
      </c>
      <c r="J751" t="s">
        <v>31</v>
      </c>
      <c r="K751" t="s">
        <v>35</v>
      </c>
      <c r="L751" t="s">
        <v>11</v>
      </c>
      <c r="M751" t="s">
        <v>18</v>
      </c>
      <c r="N751">
        <v>0</v>
      </c>
      <c r="O751" s="18" t="s">
        <v>20</v>
      </c>
      <c r="P751" s="18" t="s">
        <v>2010</v>
      </c>
      <c r="S751" t="s">
        <v>47</v>
      </c>
      <c r="T751" t="s">
        <v>421</v>
      </c>
      <c r="W751">
        <v>23</v>
      </c>
      <c r="X751">
        <v>22</v>
      </c>
      <c r="Y751">
        <v>20</v>
      </c>
      <c r="Z751">
        <v>17</v>
      </c>
      <c r="AG751" t="s">
        <v>1790</v>
      </c>
      <c r="AH751" t="s">
        <v>213</v>
      </c>
      <c r="AS751" t="s">
        <v>849</v>
      </c>
      <c r="AT751" t="s">
        <v>849</v>
      </c>
      <c r="AV751" t="s">
        <v>1803</v>
      </c>
      <c r="AW751" t="s">
        <v>1815</v>
      </c>
      <c r="AX751" t="s">
        <v>1821</v>
      </c>
      <c r="AY751" t="s">
        <v>1806</v>
      </c>
      <c r="AZ751" t="s">
        <v>76</v>
      </c>
    </row>
    <row r="752" spans="1:52" x14ac:dyDescent="0.2">
      <c r="A752" t="s">
        <v>1948</v>
      </c>
      <c r="B752" t="s">
        <v>1949</v>
      </c>
      <c r="C752" t="s">
        <v>2210</v>
      </c>
      <c r="D752">
        <v>2023</v>
      </c>
      <c r="E752" t="s">
        <v>2181</v>
      </c>
      <c r="F752" t="s">
        <v>2208</v>
      </c>
      <c r="G752" t="s">
        <v>2308</v>
      </c>
      <c r="H752" t="s">
        <v>2237</v>
      </c>
      <c r="I752" t="s">
        <v>1094</v>
      </c>
      <c r="J752" t="s">
        <v>31</v>
      </c>
      <c r="K752" t="s">
        <v>35</v>
      </c>
      <c r="L752" t="s">
        <v>11</v>
      </c>
      <c r="M752" t="s">
        <v>18</v>
      </c>
      <c r="N752">
        <v>0</v>
      </c>
      <c r="O752" s="18" t="s">
        <v>20</v>
      </c>
      <c r="P752" s="18" t="s">
        <v>2010</v>
      </c>
      <c r="S752" t="s">
        <v>47</v>
      </c>
      <c r="T752" t="s">
        <v>421</v>
      </c>
      <c r="W752">
        <v>23</v>
      </c>
      <c r="X752">
        <v>27</v>
      </c>
      <c r="Y752">
        <v>20</v>
      </c>
      <c r="Z752">
        <v>12</v>
      </c>
      <c r="AG752" t="s">
        <v>1790</v>
      </c>
      <c r="AH752" t="s">
        <v>213</v>
      </c>
      <c r="AS752" t="s">
        <v>849</v>
      </c>
      <c r="AT752" t="s">
        <v>849</v>
      </c>
      <c r="AV752" t="s">
        <v>1803</v>
      </c>
      <c r="AW752" t="s">
        <v>1815</v>
      </c>
      <c r="AX752" t="s">
        <v>1821</v>
      </c>
      <c r="AY752" t="s">
        <v>1806</v>
      </c>
      <c r="AZ752" t="s">
        <v>76</v>
      </c>
    </row>
    <row r="753" spans="1:52" x14ac:dyDescent="0.2">
      <c r="A753" t="s">
        <v>1948</v>
      </c>
      <c r="B753" t="s">
        <v>1949</v>
      </c>
      <c r="C753" t="s">
        <v>2211</v>
      </c>
      <c r="D753">
        <v>2023</v>
      </c>
      <c r="E753" t="s">
        <v>2181</v>
      </c>
      <c r="F753" t="s">
        <v>2208</v>
      </c>
      <c r="G753" t="s">
        <v>2308</v>
      </c>
      <c r="H753" t="s">
        <v>2238</v>
      </c>
      <c r="I753" t="s">
        <v>1094</v>
      </c>
      <c r="J753" t="s">
        <v>31</v>
      </c>
      <c r="K753" t="s">
        <v>35</v>
      </c>
      <c r="L753" t="s">
        <v>11</v>
      </c>
      <c r="M753" t="s">
        <v>18</v>
      </c>
      <c r="N753">
        <v>0</v>
      </c>
      <c r="O753" s="18" t="s">
        <v>20</v>
      </c>
      <c r="P753" s="18" t="s">
        <v>2010</v>
      </c>
      <c r="S753" t="s">
        <v>47</v>
      </c>
      <c r="T753" t="s">
        <v>421</v>
      </c>
      <c r="W753">
        <v>20</v>
      </c>
      <c r="X753">
        <v>14</v>
      </c>
      <c r="AA753">
        <v>6.8</v>
      </c>
      <c r="AB753">
        <v>4.0743097574926725</v>
      </c>
      <c r="AC753">
        <v>5.333333333333333</v>
      </c>
      <c r="AD753">
        <v>3.6514837167011076</v>
      </c>
      <c r="AE753" t="s">
        <v>71</v>
      </c>
      <c r="AF753" t="s">
        <v>61</v>
      </c>
      <c r="AG753" t="s">
        <v>71</v>
      </c>
      <c r="AH753" t="s">
        <v>213</v>
      </c>
      <c r="AS753" t="s">
        <v>849</v>
      </c>
      <c r="AT753" t="s">
        <v>222</v>
      </c>
      <c r="AV753" t="s">
        <v>1803</v>
      </c>
      <c r="AW753" t="s">
        <v>1815</v>
      </c>
      <c r="AX753" t="s">
        <v>1821</v>
      </c>
      <c r="AY753" t="s">
        <v>1806</v>
      </c>
      <c r="AZ753" t="s">
        <v>76</v>
      </c>
    </row>
    <row r="754" spans="1:52" x14ac:dyDescent="0.2">
      <c r="A754" t="s">
        <v>1948</v>
      </c>
      <c r="B754" t="s">
        <v>1949</v>
      </c>
      <c r="C754" t="s">
        <v>2212</v>
      </c>
      <c r="D754">
        <v>2023</v>
      </c>
      <c r="E754" t="s">
        <v>2181</v>
      </c>
      <c r="F754" t="s">
        <v>2208</v>
      </c>
      <c r="G754" t="s">
        <v>2308</v>
      </c>
      <c r="H754" t="s">
        <v>2239</v>
      </c>
      <c r="I754" t="s">
        <v>1094</v>
      </c>
      <c r="J754" t="s">
        <v>31</v>
      </c>
      <c r="K754" t="s">
        <v>35</v>
      </c>
      <c r="L754" t="s">
        <v>11</v>
      </c>
      <c r="M754" t="s">
        <v>18</v>
      </c>
      <c r="N754">
        <v>0</v>
      </c>
      <c r="O754" s="18" t="s">
        <v>20</v>
      </c>
      <c r="P754" s="18" t="s">
        <v>2010</v>
      </c>
      <c r="S754" t="s">
        <v>47</v>
      </c>
      <c r="T754" t="s">
        <v>421</v>
      </c>
      <c r="W754">
        <v>20</v>
      </c>
      <c r="X754">
        <v>17</v>
      </c>
      <c r="AA754">
        <v>6.8</v>
      </c>
      <c r="AB754">
        <v>4.0743097574926725</v>
      </c>
      <c r="AC754">
        <v>9.1999999999999993</v>
      </c>
      <c r="AD754">
        <v>6.8577380694053511</v>
      </c>
      <c r="AE754" t="s">
        <v>71</v>
      </c>
      <c r="AF754" t="s">
        <v>61</v>
      </c>
      <c r="AG754" t="s">
        <v>71</v>
      </c>
      <c r="AH754" t="s">
        <v>213</v>
      </c>
      <c r="AS754" t="s">
        <v>849</v>
      </c>
      <c r="AT754" t="s">
        <v>222</v>
      </c>
      <c r="AV754" t="s">
        <v>1803</v>
      </c>
      <c r="AW754" t="s">
        <v>1815</v>
      </c>
      <c r="AX754" t="s">
        <v>1821</v>
      </c>
      <c r="AY754" t="s">
        <v>1806</v>
      </c>
      <c r="AZ754" t="s">
        <v>76</v>
      </c>
    </row>
    <row r="755" spans="1:52" x14ac:dyDescent="0.2">
      <c r="A755" t="s">
        <v>1948</v>
      </c>
      <c r="B755" t="s">
        <v>1949</v>
      </c>
      <c r="C755" t="s">
        <v>2213</v>
      </c>
      <c r="D755">
        <v>2023</v>
      </c>
      <c r="E755" t="s">
        <v>2181</v>
      </c>
      <c r="F755" t="s">
        <v>2208</v>
      </c>
      <c r="G755" t="s">
        <v>2308</v>
      </c>
      <c r="H755" t="s">
        <v>2240</v>
      </c>
      <c r="I755" t="s">
        <v>1094</v>
      </c>
      <c r="J755" t="s">
        <v>31</v>
      </c>
      <c r="K755" t="s">
        <v>35</v>
      </c>
      <c r="L755" t="s">
        <v>11</v>
      </c>
      <c r="M755" t="s">
        <v>18</v>
      </c>
      <c r="N755">
        <v>0</v>
      </c>
      <c r="O755" s="18" t="s">
        <v>20</v>
      </c>
      <c r="P755" s="18" t="s">
        <v>2010</v>
      </c>
      <c r="S755" t="s">
        <v>47</v>
      </c>
      <c r="T755" t="s">
        <v>421</v>
      </c>
      <c r="W755">
        <v>20</v>
      </c>
      <c r="X755">
        <v>12</v>
      </c>
      <c r="AA755">
        <v>6.8</v>
      </c>
      <c r="AB755">
        <v>4.0743097574926725</v>
      </c>
      <c r="AC755">
        <v>5.1818181818181817</v>
      </c>
      <c r="AD755">
        <v>2.2279219832921355</v>
      </c>
      <c r="AE755" t="s">
        <v>71</v>
      </c>
      <c r="AF755" t="s">
        <v>61</v>
      </c>
      <c r="AG755" t="s">
        <v>71</v>
      </c>
      <c r="AH755" t="s">
        <v>213</v>
      </c>
      <c r="AS755" t="s">
        <v>849</v>
      </c>
      <c r="AT755" t="s">
        <v>222</v>
      </c>
      <c r="AV755" t="s">
        <v>1803</v>
      </c>
      <c r="AW755" t="s">
        <v>1815</v>
      </c>
      <c r="AX755" t="s">
        <v>1821</v>
      </c>
      <c r="AY755" t="s">
        <v>1806</v>
      </c>
      <c r="AZ755" t="s">
        <v>76</v>
      </c>
    </row>
    <row r="756" spans="1:52" x14ac:dyDescent="0.2">
      <c r="A756" t="s">
        <v>1948</v>
      </c>
      <c r="B756" t="s">
        <v>1949</v>
      </c>
      <c r="C756" t="s">
        <v>2214</v>
      </c>
      <c r="D756">
        <v>2023</v>
      </c>
      <c r="E756" t="s">
        <v>2181</v>
      </c>
      <c r="F756" t="s">
        <v>2208</v>
      </c>
      <c r="G756" t="s">
        <v>2308</v>
      </c>
      <c r="H756" t="s">
        <v>2241</v>
      </c>
      <c r="I756" t="s">
        <v>1094</v>
      </c>
      <c r="J756" t="s">
        <v>31</v>
      </c>
      <c r="K756" t="s">
        <v>35</v>
      </c>
      <c r="L756" t="s">
        <v>11</v>
      </c>
      <c r="M756" t="s">
        <v>18</v>
      </c>
      <c r="N756">
        <v>0</v>
      </c>
      <c r="O756" s="18" t="s">
        <v>20</v>
      </c>
      <c r="P756" s="18" t="s">
        <v>1824</v>
      </c>
      <c r="S756" t="s">
        <v>47</v>
      </c>
      <c r="T756" t="s">
        <v>421</v>
      </c>
      <c r="W756">
        <v>15</v>
      </c>
      <c r="X756">
        <v>11</v>
      </c>
      <c r="AA756">
        <v>7.4</v>
      </c>
      <c r="AB756">
        <v>4.4529284104476048</v>
      </c>
      <c r="AC756">
        <v>6.3636363636363633</v>
      </c>
      <c r="AD756">
        <v>3.6406792573015072</v>
      </c>
      <c r="AE756" t="s">
        <v>71</v>
      </c>
      <c r="AF756" t="s">
        <v>61</v>
      </c>
      <c r="AG756" t="s">
        <v>71</v>
      </c>
      <c r="AH756" t="s">
        <v>213</v>
      </c>
      <c r="AS756" t="s">
        <v>849</v>
      </c>
      <c r="AT756" t="s">
        <v>222</v>
      </c>
      <c r="AV756" t="s">
        <v>1803</v>
      </c>
      <c r="AW756" t="s">
        <v>1815</v>
      </c>
      <c r="AX756" t="s">
        <v>1821</v>
      </c>
      <c r="AY756" t="s">
        <v>1806</v>
      </c>
      <c r="AZ756" t="s">
        <v>76</v>
      </c>
    </row>
    <row r="757" spans="1:52" x14ac:dyDescent="0.2">
      <c r="A757" t="s">
        <v>1948</v>
      </c>
      <c r="B757" t="s">
        <v>1949</v>
      </c>
      <c r="C757" t="s">
        <v>2215</v>
      </c>
      <c r="D757">
        <v>2023</v>
      </c>
      <c r="E757" t="s">
        <v>2181</v>
      </c>
      <c r="F757" t="s">
        <v>2208</v>
      </c>
      <c r="G757" t="s">
        <v>2308</v>
      </c>
      <c r="H757" t="s">
        <v>2242</v>
      </c>
      <c r="I757" t="s">
        <v>1094</v>
      </c>
      <c r="J757" t="s">
        <v>31</v>
      </c>
      <c r="K757" t="s">
        <v>35</v>
      </c>
      <c r="L757" t="s">
        <v>11</v>
      </c>
      <c r="M757" t="s">
        <v>18</v>
      </c>
      <c r="N757">
        <v>0</v>
      </c>
      <c r="O757" s="18" t="s">
        <v>20</v>
      </c>
      <c r="P757" s="18" t="s">
        <v>1824</v>
      </c>
      <c r="S757" t="s">
        <v>47</v>
      </c>
      <c r="T757" t="s">
        <v>421</v>
      </c>
      <c r="W757">
        <v>15</v>
      </c>
      <c r="X757">
        <v>10</v>
      </c>
      <c r="AA757">
        <v>7.4</v>
      </c>
      <c r="AB757">
        <v>4.4529284104476048</v>
      </c>
      <c r="AC757">
        <v>6.3</v>
      </c>
      <c r="AD757">
        <v>4.6678569910494145</v>
      </c>
      <c r="AE757" t="s">
        <v>71</v>
      </c>
      <c r="AF757" t="s">
        <v>61</v>
      </c>
      <c r="AG757" t="s">
        <v>71</v>
      </c>
      <c r="AH757" t="s">
        <v>213</v>
      </c>
      <c r="AS757" t="s">
        <v>849</v>
      </c>
      <c r="AT757" t="s">
        <v>222</v>
      </c>
      <c r="AV757" t="s">
        <v>1803</v>
      </c>
      <c r="AW757" t="s">
        <v>1815</v>
      </c>
      <c r="AX757" t="s">
        <v>1821</v>
      </c>
      <c r="AY757" t="s">
        <v>1806</v>
      </c>
      <c r="AZ757" t="s">
        <v>76</v>
      </c>
    </row>
    <row r="758" spans="1:52" x14ac:dyDescent="0.2">
      <c r="A758" t="s">
        <v>1948</v>
      </c>
      <c r="B758" t="s">
        <v>1949</v>
      </c>
      <c r="C758" t="s">
        <v>2216</v>
      </c>
      <c r="D758">
        <v>2023</v>
      </c>
      <c r="E758" t="s">
        <v>2181</v>
      </c>
      <c r="F758" t="s">
        <v>2208</v>
      </c>
      <c r="G758" t="s">
        <v>2308</v>
      </c>
      <c r="H758" t="s">
        <v>2243</v>
      </c>
      <c r="I758" t="s">
        <v>1094</v>
      </c>
      <c r="J758" t="s">
        <v>31</v>
      </c>
      <c r="K758" t="s">
        <v>35</v>
      </c>
      <c r="L758" t="s">
        <v>11</v>
      </c>
      <c r="M758" t="s">
        <v>18</v>
      </c>
      <c r="N758">
        <v>0</v>
      </c>
      <c r="O758" s="18" t="s">
        <v>20</v>
      </c>
      <c r="P758" s="18" t="s">
        <v>1824</v>
      </c>
      <c r="S758" t="s">
        <v>47</v>
      </c>
      <c r="T758" t="s">
        <v>421</v>
      </c>
      <c r="W758">
        <v>15</v>
      </c>
      <c r="X758">
        <v>6</v>
      </c>
      <c r="AA758">
        <v>7.4</v>
      </c>
      <c r="AB758">
        <v>4.4529284104476048</v>
      </c>
      <c r="AC758">
        <v>7.166666666666667</v>
      </c>
      <c r="AD758">
        <v>2.5625508125043419</v>
      </c>
      <c r="AE758" t="s">
        <v>71</v>
      </c>
      <c r="AF758" t="s">
        <v>61</v>
      </c>
      <c r="AG758" t="s">
        <v>71</v>
      </c>
      <c r="AH758" t="s">
        <v>213</v>
      </c>
      <c r="AS758" t="s">
        <v>849</v>
      </c>
      <c r="AT758" t="s">
        <v>222</v>
      </c>
      <c r="AV758" t="s">
        <v>1803</v>
      </c>
      <c r="AW758" t="s">
        <v>1815</v>
      </c>
      <c r="AX758" t="s">
        <v>1821</v>
      </c>
      <c r="AY758" t="s">
        <v>1806</v>
      </c>
      <c r="AZ758" t="s">
        <v>76</v>
      </c>
    </row>
    <row r="759" spans="1:52" x14ac:dyDescent="0.2">
      <c r="A759" t="s">
        <v>1948</v>
      </c>
      <c r="B759" t="s">
        <v>1949</v>
      </c>
      <c r="C759" t="s">
        <v>2217</v>
      </c>
      <c r="D759">
        <v>2023</v>
      </c>
      <c r="E759" t="s">
        <v>2181</v>
      </c>
      <c r="F759" t="s">
        <v>2208</v>
      </c>
      <c r="G759" t="s">
        <v>2308</v>
      </c>
      <c r="H759" t="s">
        <v>2244</v>
      </c>
      <c r="I759" t="s">
        <v>1094</v>
      </c>
      <c r="J759" t="s">
        <v>31</v>
      </c>
      <c r="K759" t="s">
        <v>35</v>
      </c>
      <c r="L759" t="s">
        <v>11</v>
      </c>
      <c r="M759" t="s">
        <v>18</v>
      </c>
      <c r="N759">
        <v>0</v>
      </c>
      <c r="O759" s="18" t="s">
        <v>76</v>
      </c>
      <c r="P759" s="18" t="s">
        <v>646</v>
      </c>
      <c r="S759" t="s">
        <v>47</v>
      </c>
      <c r="T759" t="s">
        <v>421</v>
      </c>
      <c r="W759">
        <v>7</v>
      </c>
      <c r="X759">
        <v>4</v>
      </c>
      <c r="AA759">
        <v>0.23250007328571429</v>
      </c>
      <c r="AB759">
        <v>0.1126280255802546</v>
      </c>
      <c r="AC759">
        <v>0.29733165574999998</v>
      </c>
      <c r="AD759">
        <v>0.1645328281113454</v>
      </c>
      <c r="AE759" t="s">
        <v>71</v>
      </c>
      <c r="AF759" t="s">
        <v>62</v>
      </c>
      <c r="AG759" t="s">
        <v>71</v>
      </c>
      <c r="AH759" t="s">
        <v>213</v>
      </c>
      <c r="AS759" t="s">
        <v>849</v>
      </c>
      <c r="AT759" t="s">
        <v>849</v>
      </c>
      <c r="AV759" t="s">
        <v>1803</v>
      </c>
      <c r="AW759" t="s">
        <v>1815</v>
      </c>
      <c r="AX759" t="s">
        <v>1821</v>
      </c>
      <c r="AY759" t="s">
        <v>1806</v>
      </c>
      <c r="AZ759" t="s">
        <v>76</v>
      </c>
    </row>
    <row r="760" spans="1:52" x14ac:dyDescent="0.2">
      <c r="A760" t="s">
        <v>1948</v>
      </c>
      <c r="B760" t="s">
        <v>1949</v>
      </c>
      <c r="C760" t="s">
        <v>2218</v>
      </c>
      <c r="D760">
        <v>2023</v>
      </c>
      <c r="E760" t="s">
        <v>2181</v>
      </c>
      <c r="F760" t="s">
        <v>2208</v>
      </c>
      <c r="G760" t="s">
        <v>2308</v>
      </c>
      <c r="H760" t="s">
        <v>2245</v>
      </c>
      <c r="I760" t="s">
        <v>1094</v>
      </c>
      <c r="J760" t="s">
        <v>31</v>
      </c>
      <c r="K760" t="s">
        <v>35</v>
      </c>
      <c r="L760" t="s">
        <v>11</v>
      </c>
      <c r="M760" t="s">
        <v>18</v>
      </c>
      <c r="N760">
        <v>0</v>
      </c>
      <c r="O760" s="18" t="s">
        <v>76</v>
      </c>
      <c r="P760" s="18" t="s">
        <v>646</v>
      </c>
      <c r="S760" t="s">
        <v>47</v>
      </c>
      <c r="T760" t="s">
        <v>421</v>
      </c>
      <c r="W760">
        <v>7</v>
      </c>
      <c r="X760">
        <v>3</v>
      </c>
      <c r="AA760">
        <v>0.23250007328571429</v>
      </c>
      <c r="AB760">
        <v>0.1126280255802546</v>
      </c>
      <c r="AC760">
        <v>0.48278545133333328</v>
      </c>
      <c r="AD760">
        <v>0.13983097736120059</v>
      </c>
      <c r="AE760" t="s">
        <v>71</v>
      </c>
      <c r="AF760" t="s">
        <v>62</v>
      </c>
      <c r="AG760" t="s">
        <v>71</v>
      </c>
      <c r="AH760" t="s">
        <v>213</v>
      </c>
      <c r="AS760" t="s">
        <v>849</v>
      </c>
      <c r="AT760" t="s">
        <v>849</v>
      </c>
      <c r="AV760" t="s">
        <v>1803</v>
      </c>
      <c r="AW760" t="s">
        <v>1815</v>
      </c>
      <c r="AX760" t="s">
        <v>1821</v>
      </c>
      <c r="AY760" t="s">
        <v>1806</v>
      </c>
      <c r="AZ760" t="s">
        <v>76</v>
      </c>
    </row>
    <row r="761" spans="1:52" x14ac:dyDescent="0.2">
      <c r="A761" t="s">
        <v>1948</v>
      </c>
      <c r="B761" t="s">
        <v>1949</v>
      </c>
      <c r="C761" t="s">
        <v>2219</v>
      </c>
      <c r="D761">
        <v>2023</v>
      </c>
      <c r="E761" t="s">
        <v>2181</v>
      </c>
      <c r="F761" t="s">
        <v>2208</v>
      </c>
      <c r="G761" t="s">
        <v>2308</v>
      </c>
      <c r="H761" t="s">
        <v>2246</v>
      </c>
      <c r="I761" t="s">
        <v>1094</v>
      </c>
      <c r="J761" t="s">
        <v>31</v>
      </c>
      <c r="K761" t="s">
        <v>35</v>
      </c>
      <c r="L761" t="s">
        <v>11</v>
      </c>
      <c r="M761" t="s">
        <v>18</v>
      </c>
      <c r="N761">
        <v>0</v>
      </c>
      <c r="O761" s="18" t="s">
        <v>76</v>
      </c>
      <c r="P761" s="18" t="s">
        <v>646</v>
      </c>
      <c r="S761" t="s">
        <v>47</v>
      </c>
      <c r="T761" t="s">
        <v>421</v>
      </c>
      <c r="W761">
        <v>7</v>
      </c>
      <c r="X761">
        <v>5</v>
      </c>
      <c r="AA761">
        <v>0.23250007328571429</v>
      </c>
      <c r="AB761">
        <v>0.1126280255802546</v>
      </c>
      <c r="AC761">
        <v>0.37917276599999999</v>
      </c>
      <c r="AD761">
        <v>0.1442668074941075</v>
      </c>
      <c r="AE761" t="s">
        <v>71</v>
      </c>
      <c r="AF761" t="s">
        <v>62</v>
      </c>
      <c r="AG761" t="s">
        <v>71</v>
      </c>
      <c r="AH761" t="s">
        <v>213</v>
      </c>
      <c r="AS761" t="s">
        <v>849</v>
      </c>
      <c r="AT761" t="s">
        <v>849</v>
      </c>
      <c r="AV761" t="s">
        <v>1803</v>
      </c>
      <c r="AW761" t="s">
        <v>1815</v>
      </c>
      <c r="AX761" t="s">
        <v>1821</v>
      </c>
      <c r="AY761" t="s">
        <v>1806</v>
      </c>
      <c r="AZ761" t="s">
        <v>76</v>
      </c>
    </row>
    <row r="762" spans="1:52" x14ac:dyDescent="0.2">
      <c r="A762" t="s">
        <v>1948</v>
      </c>
      <c r="B762" t="s">
        <v>1949</v>
      </c>
      <c r="C762" t="s">
        <v>2220</v>
      </c>
      <c r="D762">
        <v>2023</v>
      </c>
      <c r="E762" t="s">
        <v>2181</v>
      </c>
      <c r="F762" t="s">
        <v>2208</v>
      </c>
      <c r="G762" t="s">
        <v>2308</v>
      </c>
      <c r="H762" t="s">
        <v>2247</v>
      </c>
      <c r="I762" t="s">
        <v>1094</v>
      </c>
      <c r="J762" t="s">
        <v>31</v>
      </c>
      <c r="K762" t="s">
        <v>35</v>
      </c>
      <c r="L762" t="s">
        <v>11</v>
      </c>
      <c r="M762" t="s">
        <v>18</v>
      </c>
      <c r="N762">
        <v>0</v>
      </c>
      <c r="O762" s="18" t="s">
        <v>20</v>
      </c>
      <c r="P762" s="18" t="s">
        <v>1824</v>
      </c>
      <c r="S762" t="s">
        <v>47</v>
      </c>
      <c r="T762" t="s">
        <v>421</v>
      </c>
      <c r="W762">
        <v>15</v>
      </c>
      <c r="X762">
        <v>11</v>
      </c>
      <c r="AA762">
        <v>11.66666666666667</v>
      </c>
      <c r="AB762">
        <v>1.4331672107497619</v>
      </c>
      <c r="AC762">
        <v>10.45454545454546</v>
      </c>
      <c r="AD762">
        <v>1.1783164906196111</v>
      </c>
      <c r="AE762" t="s">
        <v>71</v>
      </c>
      <c r="AF762" t="s">
        <v>62</v>
      </c>
      <c r="AG762" t="s">
        <v>71</v>
      </c>
      <c r="AH762" t="s">
        <v>213</v>
      </c>
      <c r="AS762" t="s">
        <v>849</v>
      </c>
      <c r="AT762" t="s">
        <v>222</v>
      </c>
      <c r="AV762" t="s">
        <v>1803</v>
      </c>
      <c r="AW762" t="s">
        <v>1815</v>
      </c>
      <c r="AX762" t="s">
        <v>1821</v>
      </c>
      <c r="AY762" t="s">
        <v>1806</v>
      </c>
      <c r="AZ762" t="s">
        <v>76</v>
      </c>
    </row>
    <row r="763" spans="1:52" x14ac:dyDescent="0.2">
      <c r="A763" t="s">
        <v>1948</v>
      </c>
      <c r="B763" t="s">
        <v>1949</v>
      </c>
      <c r="C763" t="s">
        <v>2221</v>
      </c>
      <c r="D763">
        <v>2023</v>
      </c>
      <c r="E763" t="s">
        <v>2181</v>
      </c>
      <c r="F763" t="s">
        <v>2208</v>
      </c>
      <c r="G763" t="s">
        <v>2308</v>
      </c>
      <c r="H763" t="s">
        <v>2248</v>
      </c>
      <c r="I763" t="s">
        <v>1094</v>
      </c>
      <c r="J763" t="s">
        <v>31</v>
      </c>
      <c r="K763" t="s">
        <v>35</v>
      </c>
      <c r="L763" t="s">
        <v>11</v>
      </c>
      <c r="M763" t="s">
        <v>18</v>
      </c>
      <c r="N763">
        <v>0</v>
      </c>
      <c r="O763" s="18" t="s">
        <v>20</v>
      </c>
      <c r="P763" s="18" t="s">
        <v>1824</v>
      </c>
      <c r="S763" t="s">
        <v>47</v>
      </c>
      <c r="T763" t="s">
        <v>421</v>
      </c>
      <c r="W763">
        <v>15</v>
      </c>
      <c r="X763">
        <v>10</v>
      </c>
      <c r="AA763">
        <v>11.66666666666667</v>
      </c>
      <c r="AB763">
        <v>1.4331672107497619</v>
      </c>
      <c r="AC763">
        <v>10.4</v>
      </c>
      <c r="AD763">
        <v>1.681269361722465</v>
      </c>
      <c r="AE763" t="s">
        <v>71</v>
      </c>
      <c r="AF763" t="s">
        <v>62</v>
      </c>
      <c r="AG763" t="s">
        <v>71</v>
      </c>
      <c r="AH763" t="s">
        <v>213</v>
      </c>
      <c r="AS763" t="s">
        <v>849</v>
      </c>
      <c r="AT763" t="s">
        <v>222</v>
      </c>
      <c r="AV763" t="s">
        <v>1803</v>
      </c>
      <c r="AW763" t="s">
        <v>1815</v>
      </c>
      <c r="AX763" t="s">
        <v>1821</v>
      </c>
      <c r="AY763" t="s">
        <v>1806</v>
      </c>
      <c r="AZ763" t="s">
        <v>76</v>
      </c>
    </row>
    <row r="764" spans="1:52" x14ac:dyDescent="0.2">
      <c r="A764" t="s">
        <v>1948</v>
      </c>
      <c r="B764" t="s">
        <v>1949</v>
      </c>
      <c r="C764" t="s">
        <v>2222</v>
      </c>
      <c r="D764">
        <v>2023</v>
      </c>
      <c r="E764" t="s">
        <v>2181</v>
      </c>
      <c r="F764" t="s">
        <v>2208</v>
      </c>
      <c r="G764" t="s">
        <v>2308</v>
      </c>
      <c r="H764" t="s">
        <v>2249</v>
      </c>
      <c r="I764" t="s">
        <v>1094</v>
      </c>
      <c r="J764" t="s">
        <v>31</v>
      </c>
      <c r="K764" t="s">
        <v>35</v>
      </c>
      <c r="L764" t="s">
        <v>11</v>
      </c>
      <c r="M764" t="s">
        <v>18</v>
      </c>
      <c r="N764">
        <v>0</v>
      </c>
      <c r="O764" s="18" t="s">
        <v>20</v>
      </c>
      <c r="P764" s="18" t="s">
        <v>1824</v>
      </c>
      <c r="S764" t="s">
        <v>47</v>
      </c>
      <c r="T764" t="s">
        <v>421</v>
      </c>
      <c r="W764">
        <v>15</v>
      </c>
      <c r="X764">
        <v>6</v>
      </c>
      <c r="AA764">
        <v>11.66666666666667</v>
      </c>
      <c r="AB764">
        <v>1.4331672107497619</v>
      </c>
      <c r="AC764">
        <v>10.66666666666667</v>
      </c>
      <c r="AD764">
        <v>1.173787790777268</v>
      </c>
      <c r="AE764" t="s">
        <v>71</v>
      </c>
      <c r="AF764" t="s">
        <v>62</v>
      </c>
      <c r="AG764" t="s">
        <v>71</v>
      </c>
      <c r="AH764" t="s">
        <v>213</v>
      </c>
      <c r="AS764" t="s">
        <v>849</v>
      </c>
      <c r="AT764" t="s">
        <v>222</v>
      </c>
      <c r="AV764" t="s">
        <v>1803</v>
      </c>
      <c r="AW764" t="s">
        <v>1815</v>
      </c>
      <c r="AX764" t="s">
        <v>1821</v>
      </c>
      <c r="AY764" t="s">
        <v>1806</v>
      </c>
      <c r="AZ764" t="s">
        <v>76</v>
      </c>
    </row>
    <row r="765" spans="1:52" x14ac:dyDescent="0.2">
      <c r="A765" t="s">
        <v>1948</v>
      </c>
      <c r="B765" t="s">
        <v>1949</v>
      </c>
      <c r="C765" t="s">
        <v>2223</v>
      </c>
      <c r="D765">
        <v>2023</v>
      </c>
      <c r="E765" t="s">
        <v>2181</v>
      </c>
      <c r="F765" t="s">
        <v>2208</v>
      </c>
      <c r="G765" t="s">
        <v>2308</v>
      </c>
      <c r="H765" t="s">
        <v>2250</v>
      </c>
      <c r="I765" t="s">
        <v>1094</v>
      </c>
      <c r="J765" t="s">
        <v>31</v>
      </c>
      <c r="K765" t="s">
        <v>35</v>
      </c>
      <c r="L765" t="s">
        <v>11</v>
      </c>
      <c r="M765" t="s">
        <v>18</v>
      </c>
      <c r="N765">
        <v>0</v>
      </c>
      <c r="O765" s="18" t="s">
        <v>21</v>
      </c>
      <c r="P765" s="18" t="s">
        <v>2205</v>
      </c>
      <c r="S765" t="s">
        <v>47</v>
      </c>
      <c r="T765" t="s">
        <v>421</v>
      </c>
      <c r="W765">
        <v>18</v>
      </c>
      <c r="X765">
        <v>14</v>
      </c>
      <c r="AA765">
        <v>1.7016666666666671E-3</v>
      </c>
      <c r="AB765">
        <v>6.2015441888933913E-5</v>
      </c>
      <c r="AC765">
        <v>1.811428571428571E-3</v>
      </c>
      <c r="AD765">
        <v>7.8690219890634571E-5</v>
      </c>
      <c r="AE765" t="s">
        <v>71</v>
      </c>
      <c r="AF765" t="s">
        <v>62</v>
      </c>
      <c r="AG765" t="s">
        <v>71</v>
      </c>
      <c r="AH765" t="s">
        <v>213</v>
      </c>
      <c r="AS765" t="s">
        <v>849</v>
      </c>
      <c r="AT765" t="s">
        <v>849</v>
      </c>
      <c r="AV765" t="s">
        <v>1803</v>
      </c>
      <c r="AW765" t="s">
        <v>1815</v>
      </c>
      <c r="AX765" t="s">
        <v>1821</v>
      </c>
      <c r="AY765" t="s">
        <v>1806</v>
      </c>
      <c r="AZ765" t="s">
        <v>76</v>
      </c>
    </row>
    <row r="766" spans="1:52" x14ac:dyDescent="0.2">
      <c r="A766" t="s">
        <v>1948</v>
      </c>
      <c r="B766" t="s">
        <v>1949</v>
      </c>
      <c r="C766" t="s">
        <v>2224</v>
      </c>
      <c r="D766">
        <v>2023</v>
      </c>
      <c r="E766" t="s">
        <v>2181</v>
      </c>
      <c r="F766" t="s">
        <v>2208</v>
      </c>
      <c r="G766" t="s">
        <v>2308</v>
      </c>
      <c r="H766" t="s">
        <v>2251</v>
      </c>
      <c r="I766" t="s">
        <v>1094</v>
      </c>
      <c r="J766" t="s">
        <v>31</v>
      </c>
      <c r="K766" t="s">
        <v>35</v>
      </c>
      <c r="L766" t="s">
        <v>11</v>
      </c>
      <c r="M766" t="s">
        <v>18</v>
      </c>
      <c r="N766">
        <v>0</v>
      </c>
      <c r="O766" s="18" t="s">
        <v>21</v>
      </c>
      <c r="P766" s="18" t="s">
        <v>2205</v>
      </c>
      <c r="S766" t="s">
        <v>47</v>
      </c>
      <c r="T766" t="s">
        <v>421</v>
      </c>
      <c r="W766">
        <v>18</v>
      </c>
      <c r="X766">
        <v>15</v>
      </c>
      <c r="AA766">
        <v>1.7016666666666671E-3</v>
      </c>
      <c r="AB766">
        <v>6.2015441888933913E-5</v>
      </c>
      <c r="AC766">
        <v>1.7326666666666671E-3</v>
      </c>
      <c r="AD766">
        <v>6.4398067603858359E-5</v>
      </c>
      <c r="AE766" t="s">
        <v>71</v>
      </c>
      <c r="AF766" t="s">
        <v>62</v>
      </c>
      <c r="AG766" t="s">
        <v>71</v>
      </c>
      <c r="AH766" t="s">
        <v>213</v>
      </c>
      <c r="AS766" t="s">
        <v>849</v>
      </c>
      <c r="AT766" t="s">
        <v>849</v>
      </c>
      <c r="AV766" t="s">
        <v>1803</v>
      </c>
      <c r="AW766" t="s">
        <v>1815</v>
      </c>
      <c r="AX766" t="s">
        <v>1821</v>
      </c>
      <c r="AY766" t="s">
        <v>1806</v>
      </c>
      <c r="AZ766" t="s">
        <v>76</v>
      </c>
    </row>
    <row r="767" spans="1:52" x14ac:dyDescent="0.2">
      <c r="A767" t="s">
        <v>1948</v>
      </c>
      <c r="B767" t="s">
        <v>1949</v>
      </c>
      <c r="C767" t="s">
        <v>2225</v>
      </c>
      <c r="D767">
        <v>2023</v>
      </c>
      <c r="E767" t="s">
        <v>2181</v>
      </c>
      <c r="F767" t="s">
        <v>2208</v>
      </c>
      <c r="G767" t="s">
        <v>2308</v>
      </c>
      <c r="H767" t="s">
        <v>2252</v>
      </c>
      <c r="I767" t="s">
        <v>1094</v>
      </c>
      <c r="J767" t="s">
        <v>31</v>
      </c>
      <c r="K767" t="s">
        <v>35</v>
      </c>
      <c r="L767" t="s">
        <v>11</v>
      </c>
      <c r="M767" t="s">
        <v>18</v>
      </c>
      <c r="N767">
        <v>0</v>
      </c>
      <c r="O767" s="18" t="s">
        <v>21</v>
      </c>
      <c r="P767" s="18" t="s">
        <v>2205</v>
      </c>
      <c r="S767" t="s">
        <v>47</v>
      </c>
      <c r="T767" t="s">
        <v>421</v>
      </c>
      <c r="W767">
        <v>18</v>
      </c>
      <c r="X767">
        <v>14</v>
      </c>
      <c r="AA767">
        <v>1.7016666666666671E-3</v>
      </c>
      <c r="AB767">
        <v>6.2015441888933913E-5</v>
      </c>
      <c r="AC767">
        <v>1.81E-3</v>
      </c>
      <c r="AD767">
        <v>6.9724733499228694E-5</v>
      </c>
      <c r="AE767" t="s">
        <v>71</v>
      </c>
      <c r="AF767" t="s">
        <v>62</v>
      </c>
      <c r="AG767" t="s">
        <v>71</v>
      </c>
      <c r="AH767" t="s">
        <v>213</v>
      </c>
      <c r="AS767" t="s">
        <v>849</v>
      </c>
      <c r="AT767" t="s">
        <v>849</v>
      </c>
      <c r="AV767" t="s">
        <v>1803</v>
      </c>
      <c r="AW767" t="s">
        <v>1815</v>
      </c>
      <c r="AX767" t="s">
        <v>1821</v>
      </c>
      <c r="AY767" t="s">
        <v>1806</v>
      </c>
      <c r="AZ767" t="s">
        <v>76</v>
      </c>
    </row>
    <row r="768" spans="1:52" x14ac:dyDescent="0.2">
      <c r="A768" t="s">
        <v>1948</v>
      </c>
      <c r="B768" t="s">
        <v>1949</v>
      </c>
      <c r="C768" t="s">
        <v>2226</v>
      </c>
      <c r="D768">
        <v>2023</v>
      </c>
      <c r="E768" t="s">
        <v>2181</v>
      </c>
      <c r="F768" t="s">
        <v>2208</v>
      </c>
      <c r="G768" t="s">
        <v>2308</v>
      </c>
      <c r="H768" t="s">
        <v>2253</v>
      </c>
      <c r="I768" t="s">
        <v>1094</v>
      </c>
      <c r="J768" t="s">
        <v>31</v>
      </c>
      <c r="K768" t="s">
        <v>35</v>
      </c>
      <c r="L768" t="s">
        <v>11</v>
      </c>
      <c r="M768" t="s">
        <v>18</v>
      </c>
      <c r="N768">
        <v>0</v>
      </c>
      <c r="O768" s="18" t="s">
        <v>20</v>
      </c>
      <c r="P768" s="18" t="s">
        <v>27</v>
      </c>
      <c r="S768" t="s">
        <v>47</v>
      </c>
      <c r="T768" t="s">
        <v>421</v>
      </c>
      <c r="W768">
        <v>23</v>
      </c>
      <c r="X768">
        <v>19</v>
      </c>
      <c r="AA768">
        <v>1.4782608695652173</v>
      </c>
      <c r="AB768">
        <v>0.66534783913046047</v>
      </c>
      <c r="AC768">
        <v>1.4736842105263157</v>
      </c>
      <c r="AD768">
        <v>0.61177529032149802</v>
      </c>
      <c r="AE768" t="s">
        <v>71</v>
      </c>
      <c r="AF768" t="s">
        <v>61</v>
      </c>
      <c r="AG768" t="s">
        <v>71</v>
      </c>
      <c r="AH768" t="s">
        <v>213</v>
      </c>
      <c r="AS768" t="s">
        <v>849</v>
      </c>
      <c r="AT768" t="s">
        <v>849</v>
      </c>
      <c r="AV768" t="s">
        <v>1803</v>
      </c>
      <c r="AW768" t="s">
        <v>1815</v>
      </c>
      <c r="AX768" t="s">
        <v>1821</v>
      </c>
      <c r="AY768" t="s">
        <v>1806</v>
      </c>
      <c r="AZ768" t="s">
        <v>76</v>
      </c>
    </row>
    <row r="769" spans="1:52" x14ac:dyDescent="0.2">
      <c r="A769" t="s">
        <v>1948</v>
      </c>
      <c r="B769" t="s">
        <v>1949</v>
      </c>
      <c r="C769" t="s">
        <v>2227</v>
      </c>
      <c r="D769">
        <v>2023</v>
      </c>
      <c r="E769" t="s">
        <v>2181</v>
      </c>
      <c r="F769" t="s">
        <v>2208</v>
      </c>
      <c r="G769" t="s">
        <v>2308</v>
      </c>
      <c r="H769" t="s">
        <v>2254</v>
      </c>
      <c r="I769" t="s">
        <v>1094</v>
      </c>
      <c r="J769" t="s">
        <v>31</v>
      </c>
      <c r="K769" t="s">
        <v>35</v>
      </c>
      <c r="L769" t="s">
        <v>11</v>
      </c>
      <c r="M769" t="s">
        <v>18</v>
      </c>
      <c r="N769">
        <v>0</v>
      </c>
      <c r="O769" s="18" t="s">
        <v>20</v>
      </c>
      <c r="P769" s="18" t="s">
        <v>27</v>
      </c>
      <c r="S769" t="s">
        <v>47</v>
      </c>
      <c r="T769" t="s">
        <v>421</v>
      </c>
      <c r="W769">
        <v>23</v>
      </c>
      <c r="X769">
        <v>19</v>
      </c>
      <c r="AA769">
        <v>1.4782608695652173</v>
      </c>
      <c r="AB769">
        <v>0.66534783913046047</v>
      </c>
      <c r="AC769">
        <v>1.3157894736842106</v>
      </c>
      <c r="AD769">
        <v>0.67103829820720284</v>
      </c>
      <c r="AE769" t="s">
        <v>71</v>
      </c>
      <c r="AF769" t="s">
        <v>61</v>
      </c>
      <c r="AG769" t="s">
        <v>71</v>
      </c>
      <c r="AH769" t="s">
        <v>213</v>
      </c>
      <c r="AS769" t="s">
        <v>849</v>
      </c>
      <c r="AT769" t="s">
        <v>849</v>
      </c>
      <c r="AV769" t="s">
        <v>1803</v>
      </c>
      <c r="AW769" t="s">
        <v>1815</v>
      </c>
      <c r="AX769" t="s">
        <v>1821</v>
      </c>
      <c r="AY769" t="s">
        <v>1806</v>
      </c>
      <c r="AZ769" t="s">
        <v>76</v>
      </c>
    </row>
    <row r="770" spans="1:52" x14ac:dyDescent="0.2">
      <c r="A770" t="s">
        <v>1948</v>
      </c>
      <c r="B770" t="s">
        <v>1949</v>
      </c>
      <c r="C770" t="s">
        <v>2228</v>
      </c>
      <c r="D770">
        <v>2023</v>
      </c>
      <c r="E770" t="s">
        <v>2181</v>
      </c>
      <c r="F770" t="s">
        <v>2208</v>
      </c>
      <c r="G770" t="s">
        <v>2308</v>
      </c>
      <c r="H770" t="s">
        <v>2255</v>
      </c>
      <c r="I770" t="s">
        <v>1094</v>
      </c>
      <c r="J770" t="s">
        <v>31</v>
      </c>
      <c r="K770" t="s">
        <v>35</v>
      </c>
      <c r="L770" t="s">
        <v>11</v>
      </c>
      <c r="M770" t="s">
        <v>18</v>
      </c>
      <c r="N770">
        <v>0</v>
      </c>
      <c r="O770" s="18" t="s">
        <v>20</v>
      </c>
      <c r="P770" s="18" t="s">
        <v>27</v>
      </c>
      <c r="S770" t="s">
        <v>47</v>
      </c>
      <c r="T770" t="s">
        <v>421</v>
      </c>
      <c r="W770">
        <v>23</v>
      </c>
      <c r="X770">
        <v>19</v>
      </c>
      <c r="AA770">
        <v>1.4782608695652173</v>
      </c>
      <c r="AB770">
        <v>0.66534783913046047</v>
      </c>
      <c r="AC770">
        <v>1.1052631578947369</v>
      </c>
      <c r="AD770">
        <v>0.73746840550820014</v>
      </c>
      <c r="AE770" t="s">
        <v>71</v>
      </c>
      <c r="AF770" t="s">
        <v>61</v>
      </c>
      <c r="AG770" t="s">
        <v>71</v>
      </c>
      <c r="AH770" t="s">
        <v>213</v>
      </c>
      <c r="AS770" t="s">
        <v>849</v>
      </c>
      <c r="AT770" t="s">
        <v>849</v>
      </c>
      <c r="AV770" t="s">
        <v>1803</v>
      </c>
      <c r="AW770" t="s">
        <v>1815</v>
      </c>
      <c r="AX770" t="s">
        <v>1821</v>
      </c>
      <c r="AY770" t="s">
        <v>1806</v>
      </c>
      <c r="AZ770" t="s">
        <v>76</v>
      </c>
    </row>
    <row r="771" spans="1:52" x14ac:dyDescent="0.2">
      <c r="A771" t="s">
        <v>1948</v>
      </c>
      <c r="B771" t="s">
        <v>1949</v>
      </c>
      <c r="C771" t="s">
        <v>2226</v>
      </c>
      <c r="D771">
        <v>2023</v>
      </c>
      <c r="E771" t="s">
        <v>2181</v>
      </c>
      <c r="F771" t="s">
        <v>2208</v>
      </c>
      <c r="G771" t="s">
        <v>2308</v>
      </c>
      <c r="H771" t="s">
        <v>2256</v>
      </c>
      <c r="I771" t="s">
        <v>1094</v>
      </c>
      <c r="J771" t="s">
        <v>31</v>
      </c>
      <c r="K771" t="s">
        <v>35</v>
      </c>
      <c r="L771" t="s">
        <v>11</v>
      </c>
      <c r="M771" t="s">
        <v>18</v>
      </c>
      <c r="N771">
        <v>0</v>
      </c>
      <c r="O771" s="18" t="s">
        <v>20</v>
      </c>
      <c r="P771" s="18" t="s">
        <v>2010</v>
      </c>
      <c r="S771" t="s">
        <v>47</v>
      </c>
      <c r="T771" t="s">
        <v>421</v>
      </c>
      <c r="W771">
        <v>20</v>
      </c>
      <c r="X771">
        <v>30</v>
      </c>
      <c r="AA771">
        <v>5.4</v>
      </c>
      <c r="AB771">
        <v>4.3455966824264518</v>
      </c>
      <c r="AC771">
        <v>4.5333333333333332</v>
      </c>
      <c r="AD771">
        <v>4.9461467645119424</v>
      </c>
      <c r="AE771" t="s">
        <v>71</v>
      </c>
      <c r="AF771" t="s">
        <v>61</v>
      </c>
      <c r="AG771" t="s">
        <v>71</v>
      </c>
      <c r="AH771" t="s">
        <v>213</v>
      </c>
      <c r="AS771" t="s">
        <v>849</v>
      </c>
      <c r="AT771" t="s">
        <v>849</v>
      </c>
      <c r="AV771" t="s">
        <v>1803</v>
      </c>
      <c r="AW771" t="s">
        <v>1815</v>
      </c>
      <c r="AX771" t="s">
        <v>1821</v>
      </c>
      <c r="AY771" t="s">
        <v>1806</v>
      </c>
      <c r="AZ771" t="s">
        <v>76</v>
      </c>
    </row>
    <row r="772" spans="1:52" x14ac:dyDescent="0.2">
      <c r="A772" t="s">
        <v>1948</v>
      </c>
      <c r="B772" t="s">
        <v>1949</v>
      </c>
      <c r="C772" t="s">
        <v>2227</v>
      </c>
      <c r="D772">
        <v>2023</v>
      </c>
      <c r="E772" t="s">
        <v>2181</v>
      </c>
      <c r="F772" t="s">
        <v>2208</v>
      </c>
      <c r="G772" t="s">
        <v>2308</v>
      </c>
      <c r="H772" t="s">
        <v>2257</v>
      </c>
      <c r="I772" t="s">
        <v>1094</v>
      </c>
      <c r="J772" t="s">
        <v>31</v>
      </c>
      <c r="K772" t="s">
        <v>35</v>
      </c>
      <c r="L772" t="s">
        <v>11</v>
      </c>
      <c r="M772" t="s">
        <v>18</v>
      </c>
      <c r="N772">
        <v>0</v>
      </c>
      <c r="O772" s="18" t="s">
        <v>20</v>
      </c>
      <c r="P772" s="18" t="s">
        <v>2010</v>
      </c>
      <c r="S772" t="s">
        <v>47</v>
      </c>
      <c r="T772" t="s">
        <v>421</v>
      </c>
      <c r="W772">
        <v>20</v>
      </c>
      <c r="X772">
        <v>31</v>
      </c>
      <c r="AA772">
        <v>5.4</v>
      </c>
      <c r="AB772">
        <v>4.3455966824264518</v>
      </c>
      <c r="AC772">
        <v>5.612903225806452</v>
      </c>
      <c r="AD772">
        <v>6.5912943562188593</v>
      </c>
      <c r="AE772" t="s">
        <v>71</v>
      </c>
      <c r="AF772" t="s">
        <v>61</v>
      </c>
      <c r="AG772" t="s">
        <v>71</v>
      </c>
      <c r="AH772" t="s">
        <v>213</v>
      </c>
      <c r="AS772" t="s">
        <v>849</v>
      </c>
      <c r="AT772" t="s">
        <v>849</v>
      </c>
      <c r="AV772" t="s">
        <v>1803</v>
      </c>
      <c r="AW772" t="s">
        <v>1815</v>
      </c>
      <c r="AX772" t="s">
        <v>1821</v>
      </c>
      <c r="AY772" t="s">
        <v>1806</v>
      </c>
      <c r="AZ772" t="s">
        <v>76</v>
      </c>
    </row>
    <row r="773" spans="1:52" x14ac:dyDescent="0.2">
      <c r="A773" t="s">
        <v>1948</v>
      </c>
      <c r="B773" t="s">
        <v>1949</v>
      </c>
      <c r="C773" t="s">
        <v>2228</v>
      </c>
      <c r="D773">
        <v>2023</v>
      </c>
      <c r="E773" t="s">
        <v>2181</v>
      </c>
      <c r="F773" t="s">
        <v>2208</v>
      </c>
      <c r="G773" t="s">
        <v>2308</v>
      </c>
      <c r="H773" t="s">
        <v>2258</v>
      </c>
      <c r="I773" t="s">
        <v>1094</v>
      </c>
      <c r="J773" t="s">
        <v>31</v>
      </c>
      <c r="K773" t="s">
        <v>35</v>
      </c>
      <c r="L773" t="s">
        <v>11</v>
      </c>
      <c r="M773" t="s">
        <v>18</v>
      </c>
      <c r="N773">
        <v>0</v>
      </c>
      <c r="O773" s="18" t="s">
        <v>20</v>
      </c>
      <c r="P773" s="18" t="s">
        <v>2010</v>
      </c>
      <c r="S773" t="s">
        <v>47</v>
      </c>
      <c r="T773" t="s">
        <v>421</v>
      </c>
      <c r="W773">
        <v>20</v>
      </c>
      <c r="X773">
        <v>24</v>
      </c>
      <c r="AA773">
        <v>5.4</v>
      </c>
      <c r="AB773">
        <v>4.3455966824264518</v>
      </c>
      <c r="AC773">
        <v>6.541666666666667</v>
      </c>
      <c r="AD773">
        <v>11.336662980623172</v>
      </c>
      <c r="AE773" t="s">
        <v>71</v>
      </c>
      <c r="AF773" t="s">
        <v>61</v>
      </c>
      <c r="AG773" t="s">
        <v>71</v>
      </c>
      <c r="AH773" t="s">
        <v>213</v>
      </c>
      <c r="AS773" t="s">
        <v>849</v>
      </c>
      <c r="AT773" t="s">
        <v>849</v>
      </c>
      <c r="AV773" t="s">
        <v>1803</v>
      </c>
      <c r="AW773" t="s">
        <v>1815</v>
      </c>
      <c r="AX773" t="s">
        <v>1821</v>
      </c>
      <c r="AY773" t="s">
        <v>1806</v>
      </c>
      <c r="AZ773" t="s">
        <v>76</v>
      </c>
    </row>
    <row r="774" spans="1:52" x14ac:dyDescent="0.2">
      <c r="A774" t="s">
        <v>1948</v>
      </c>
      <c r="B774" t="s">
        <v>1949</v>
      </c>
      <c r="C774" t="s">
        <v>2228</v>
      </c>
      <c r="D774">
        <v>2023</v>
      </c>
      <c r="E774" t="s">
        <v>2181</v>
      </c>
      <c r="F774" t="s">
        <v>2208</v>
      </c>
      <c r="G774" t="s">
        <v>2308</v>
      </c>
      <c r="H774" t="s">
        <v>2259</v>
      </c>
      <c r="I774" t="s">
        <v>1094</v>
      </c>
      <c r="J774" t="s">
        <v>31</v>
      </c>
      <c r="K774" t="s">
        <v>35</v>
      </c>
      <c r="L774" t="s">
        <v>11</v>
      </c>
      <c r="M774" t="s">
        <v>18</v>
      </c>
      <c r="N774">
        <v>0</v>
      </c>
      <c r="O774" s="18" t="s">
        <v>20</v>
      </c>
      <c r="P774" s="18" t="s">
        <v>2010</v>
      </c>
      <c r="S774" t="s">
        <v>47</v>
      </c>
      <c r="T774" t="s">
        <v>421</v>
      </c>
      <c r="W774">
        <v>20</v>
      </c>
      <c r="X774">
        <v>30</v>
      </c>
      <c r="AA774">
        <v>43.876349999999995</v>
      </c>
      <c r="AB774">
        <v>20.757700537581112</v>
      </c>
      <c r="AC774">
        <v>64.996100000000013</v>
      </c>
      <c r="AD774">
        <v>23.975094071729444</v>
      </c>
      <c r="AE774" t="s">
        <v>71</v>
      </c>
      <c r="AF774" t="s">
        <v>61</v>
      </c>
      <c r="AG774" t="s">
        <v>71</v>
      </c>
      <c r="AH774" t="s">
        <v>213</v>
      </c>
      <c r="AS774" t="s">
        <v>849</v>
      </c>
      <c r="AT774" t="s">
        <v>849</v>
      </c>
      <c r="AV774" t="s">
        <v>1803</v>
      </c>
      <c r="AW774" t="s">
        <v>1815</v>
      </c>
      <c r="AX774" t="s">
        <v>1821</v>
      </c>
      <c r="AY774" t="s">
        <v>1806</v>
      </c>
      <c r="AZ774" t="s">
        <v>76</v>
      </c>
    </row>
    <row r="775" spans="1:52" x14ac:dyDescent="0.2">
      <c r="A775" t="s">
        <v>1948</v>
      </c>
      <c r="B775" t="s">
        <v>1949</v>
      </c>
      <c r="C775" t="s">
        <v>2228</v>
      </c>
      <c r="D775">
        <v>2023</v>
      </c>
      <c r="E775" t="s">
        <v>2181</v>
      </c>
      <c r="F775" t="s">
        <v>2208</v>
      </c>
      <c r="G775" t="s">
        <v>2308</v>
      </c>
      <c r="H775" t="s">
        <v>2260</v>
      </c>
      <c r="I775" t="s">
        <v>1094</v>
      </c>
      <c r="J775" t="s">
        <v>31</v>
      </c>
      <c r="K775" t="s">
        <v>35</v>
      </c>
      <c r="L775" t="s">
        <v>11</v>
      </c>
      <c r="M775" t="s">
        <v>18</v>
      </c>
      <c r="N775">
        <v>0</v>
      </c>
      <c r="O775" s="18" t="s">
        <v>20</v>
      </c>
      <c r="P775" s="18" t="s">
        <v>2010</v>
      </c>
      <c r="S775" t="s">
        <v>47</v>
      </c>
      <c r="T775" t="s">
        <v>421</v>
      </c>
      <c r="W775">
        <v>20</v>
      </c>
      <c r="X775">
        <v>31</v>
      </c>
      <c r="AA775">
        <v>43.876349999999995</v>
      </c>
      <c r="AB775">
        <v>20.757700537581112</v>
      </c>
      <c r="AC775">
        <v>53.907516129032267</v>
      </c>
      <c r="AD775">
        <v>31.065038844195854</v>
      </c>
      <c r="AE775" t="s">
        <v>71</v>
      </c>
      <c r="AF775" t="s">
        <v>61</v>
      </c>
      <c r="AG775" t="s">
        <v>71</v>
      </c>
      <c r="AH775" t="s">
        <v>213</v>
      </c>
      <c r="AS775" t="s">
        <v>849</v>
      </c>
      <c r="AT775" t="s">
        <v>849</v>
      </c>
      <c r="AV775" t="s">
        <v>1803</v>
      </c>
      <c r="AW775" t="s">
        <v>1815</v>
      </c>
      <c r="AX775" t="s">
        <v>1821</v>
      </c>
      <c r="AY775" t="s">
        <v>1806</v>
      </c>
      <c r="AZ775" t="s">
        <v>76</v>
      </c>
    </row>
    <row r="776" spans="1:52" x14ac:dyDescent="0.2">
      <c r="A776" t="s">
        <v>1948</v>
      </c>
      <c r="B776" t="s">
        <v>1949</v>
      </c>
      <c r="C776" t="s">
        <v>2228</v>
      </c>
      <c r="D776">
        <v>2023</v>
      </c>
      <c r="E776" t="s">
        <v>2181</v>
      </c>
      <c r="F776" t="s">
        <v>2208</v>
      </c>
      <c r="G776" t="s">
        <v>2308</v>
      </c>
      <c r="H776" t="s">
        <v>2261</v>
      </c>
      <c r="I776" t="s">
        <v>1094</v>
      </c>
      <c r="J776" t="s">
        <v>31</v>
      </c>
      <c r="K776" t="s">
        <v>35</v>
      </c>
      <c r="L776" t="s">
        <v>11</v>
      </c>
      <c r="M776" t="s">
        <v>18</v>
      </c>
      <c r="N776">
        <v>0</v>
      </c>
      <c r="O776" s="18" t="s">
        <v>20</v>
      </c>
      <c r="P776" s="18" t="s">
        <v>2010</v>
      </c>
      <c r="S776" t="s">
        <v>47</v>
      </c>
      <c r="T776" t="s">
        <v>421</v>
      </c>
      <c r="W776">
        <v>20</v>
      </c>
      <c r="X776">
        <v>24</v>
      </c>
      <c r="AA776">
        <v>43.876349999999995</v>
      </c>
      <c r="AB776">
        <v>20.757700537581112</v>
      </c>
      <c r="AC776">
        <v>53.258208333333329</v>
      </c>
      <c r="AD776">
        <v>30.842795432404412</v>
      </c>
      <c r="AE776" t="s">
        <v>71</v>
      </c>
      <c r="AF776" t="s">
        <v>61</v>
      </c>
      <c r="AG776" t="s">
        <v>71</v>
      </c>
      <c r="AH776" t="s">
        <v>213</v>
      </c>
      <c r="AS776" t="s">
        <v>849</v>
      </c>
      <c r="AT776" t="s">
        <v>849</v>
      </c>
      <c r="AV776" t="s">
        <v>1803</v>
      </c>
      <c r="AW776" t="s">
        <v>1815</v>
      </c>
      <c r="AX776" t="s">
        <v>1821</v>
      </c>
      <c r="AY776" t="s">
        <v>1806</v>
      </c>
      <c r="AZ776" t="s">
        <v>76</v>
      </c>
    </row>
    <row r="777" spans="1:52" x14ac:dyDescent="0.2">
      <c r="A777" t="s">
        <v>2023</v>
      </c>
      <c r="B777" t="s">
        <v>1159</v>
      </c>
      <c r="C777" t="s">
        <v>2024</v>
      </c>
      <c r="D777">
        <v>2021</v>
      </c>
      <c r="E777" t="s">
        <v>2282</v>
      </c>
      <c r="F777" t="s">
        <v>2283</v>
      </c>
      <c r="G777" t="s">
        <v>2309</v>
      </c>
      <c r="H777" t="s">
        <v>2284</v>
      </c>
      <c r="I777" t="s">
        <v>1161</v>
      </c>
      <c r="J777" t="s">
        <v>33</v>
      </c>
      <c r="K777" t="s">
        <v>35</v>
      </c>
      <c r="L777" t="s">
        <v>11</v>
      </c>
      <c r="M777" t="s">
        <v>15</v>
      </c>
      <c r="N777">
        <v>1</v>
      </c>
      <c r="O777" s="18" t="s">
        <v>20</v>
      </c>
      <c r="P777" s="18" t="s">
        <v>2010</v>
      </c>
      <c r="S777" t="s">
        <v>47</v>
      </c>
      <c r="T777" t="s">
        <v>421</v>
      </c>
      <c r="W777">
        <v>12</v>
      </c>
      <c r="X777">
        <v>18</v>
      </c>
      <c r="AA777" s="14">
        <v>2.3410429411764708</v>
      </c>
      <c r="AB777" s="14">
        <v>1.3275005437404079</v>
      </c>
      <c r="AC777" s="14">
        <v>2.8738310606060606</v>
      </c>
      <c r="AD777" s="14">
        <v>1.2050792008440263</v>
      </c>
      <c r="AE777" t="s">
        <v>71</v>
      </c>
      <c r="AF777" t="s">
        <v>61</v>
      </c>
      <c r="AG777" t="s">
        <v>71</v>
      </c>
      <c r="AH777" t="s">
        <v>213</v>
      </c>
      <c r="AS777" t="s">
        <v>849</v>
      </c>
      <c r="AT777" t="s">
        <v>849</v>
      </c>
      <c r="AV777" t="s">
        <v>1812</v>
      </c>
      <c r="AW777" t="s">
        <v>1807</v>
      </c>
      <c r="AX777" t="s">
        <v>1808</v>
      </c>
      <c r="AZ777" t="s">
        <v>1813</v>
      </c>
    </row>
    <row r="778" spans="1:52" x14ac:dyDescent="0.2">
      <c r="A778" t="s">
        <v>2023</v>
      </c>
      <c r="B778" t="s">
        <v>1159</v>
      </c>
      <c r="C778" t="s">
        <v>2024</v>
      </c>
      <c r="D778">
        <v>2021</v>
      </c>
      <c r="E778" t="s">
        <v>2282</v>
      </c>
      <c r="F778" t="s">
        <v>2283</v>
      </c>
      <c r="G778" t="s">
        <v>2309</v>
      </c>
      <c r="H778" t="s">
        <v>2285</v>
      </c>
      <c r="I778" t="s">
        <v>1161</v>
      </c>
      <c r="J778" t="s">
        <v>33</v>
      </c>
      <c r="K778" t="s">
        <v>35</v>
      </c>
      <c r="L778" t="s">
        <v>11</v>
      </c>
      <c r="M778" t="s">
        <v>15</v>
      </c>
      <c r="N778">
        <v>1</v>
      </c>
      <c r="O778" s="18" t="s">
        <v>20</v>
      </c>
      <c r="P778" s="18" t="s">
        <v>2010</v>
      </c>
      <c r="S778" t="s">
        <v>48</v>
      </c>
      <c r="T778" t="s">
        <v>421</v>
      </c>
      <c r="W778">
        <v>12</v>
      </c>
      <c r="X778">
        <v>6</v>
      </c>
      <c r="AA778" s="14">
        <v>2.3410429411764708</v>
      </c>
      <c r="AB778" s="14">
        <v>1.3275005437404079</v>
      </c>
      <c r="AC778" s="14">
        <v>3.1465333333333336</v>
      </c>
      <c r="AD778" s="14">
        <v>1.5423401955037881</v>
      </c>
      <c r="AE778" t="s">
        <v>71</v>
      </c>
      <c r="AF778" t="s">
        <v>61</v>
      </c>
      <c r="AG778" t="s">
        <v>71</v>
      </c>
      <c r="AH778" t="s">
        <v>213</v>
      </c>
      <c r="AS778" t="s">
        <v>849</v>
      </c>
      <c r="AT778" t="s">
        <v>849</v>
      </c>
      <c r="AV778" t="s">
        <v>1812</v>
      </c>
      <c r="AW778" t="s">
        <v>1807</v>
      </c>
      <c r="AX778" t="s">
        <v>1808</v>
      </c>
      <c r="AZ778" t="s">
        <v>1813</v>
      </c>
    </row>
    <row r="779" spans="1:52" x14ac:dyDescent="0.2">
      <c r="A779" t="s">
        <v>2023</v>
      </c>
      <c r="B779" t="s">
        <v>1159</v>
      </c>
      <c r="C779" t="s">
        <v>2024</v>
      </c>
      <c r="D779">
        <v>2021</v>
      </c>
      <c r="E779" t="s">
        <v>2282</v>
      </c>
      <c r="F779" t="s">
        <v>2283</v>
      </c>
      <c r="G779" t="s">
        <v>2309</v>
      </c>
      <c r="H779" t="s">
        <v>2286</v>
      </c>
      <c r="I779" t="s">
        <v>1161</v>
      </c>
      <c r="J779" t="s">
        <v>33</v>
      </c>
      <c r="K779" t="s">
        <v>35</v>
      </c>
      <c r="L779" t="s">
        <v>11</v>
      </c>
      <c r="M779" t="s">
        <v>15</v>
      </c>
      <c r="N779">
        <v>1</v>
      </c>
      <c r="O779" s="18" t="s">
        <v>20</v>
      </c>
      <c r="P779" s="18" t="s">
        <v>2010</v>
      </c>
      <c r="S779" t="s">
        <v>47</v>
      </c>
      <c r="T779" t="s">
        <v>421</v>
      </c>
      <c r="W779">
        <v>12</v>
      </c>
      <c r="X779">
        <v>18</v>
      </c>
      <c r="AA779" s="14">
        <v>74.488974999999996</v>
      </c>
      <c r="AB779" s="14">
        <v>25.831407600900551</v>
      </c>
      <c r="AC779" s="14">
        <v>86.533899999999988</v>
      </c>
      <c r="AD779" s="14">
        <v>41.251427797863613</v>
      </c>
      <c r="AE779" t="s">
        <v>71</v>
      </c>
      <c r="AF779" t="s">
        <v>61</v>
      </c>
      <c r="AG779" t="s">
        <v>71</v>
      </c>
      <c r="AH779" t="s">
        <v>213</v>
      </c>
      <c r="AS779" t="s">
        <v>849</v>
      </c>
      <c r="AT779" t="s">
        <v>849</v>
      </c>
      <c r="AV779" t="s">
        <v>1812</v>
      </c>
      <c r="AW779" t="s">
        <v>1807</v>
      </c>
      <c r="AX779" t="s">
        <v>1808</v>
      </c>
      <c r="AZ779" t="s">
        <v>1813</v>
      </c>
    </row>
    <row r="780" spans="1:52" x14ac:dyDescent="0.2">
      <c r="A780" t="s">
        <v>2023</v>
      </c>
      <c r="B780" t="s">
        <v>1159</v>
      </c>
      <c r="C780" t="s">
        <v>2024</v>
      </c>
      <c r="D780">
        <v>2021</v>
      </c>
      <c r="E780" t="s">
        <v>2282</v>
      </c>
      <c r="F780" t="s">
        <v>2283</v>
      </c>
      <c r="G780" t="s">
        <v>2309</v>
      </c>
      <c r="H780" t="s">
        <v>2287</v>
      </c>
      <c r="I780" t="s">
        <v>1161</v>
      </c>
      <c r="J780" t="s">
        <v>33</v>
      </c>
      <c r="K780" t="s">
        <v>35</v>
      </c>
      <c r="L780" t="s">
        <v>11</v>
      </c>
      <c r="M780" t="s">
        <v>15</v>
      </c>
      <c r="N780">
        <v>1</v>
      </c>
      <c r="O780" s="18" t="s">
        <v>20</v>
      </c>
      <c r="P780" s="18" t="s">
        <v>2010</v>
      </c>
      <c r="S780" t="s">
        <v>48</v>
      </c>
      <c r="T780" t="s">
        <v>421</v>
      </c>
      <c r="W780">
        <v>12</v>
      </c>
      <c r="X780">
        <v>6</v>
      </c>
      <c r="AA780" s="14">
        <v>74.488974999999996</v>
      </c>
      <c r="AB780" s="14">
        <v>25.831407600900551</v>
      </c>
      <c r="AC780" s="14">
        <v>23.605283333333333</v>
      </c>
      <c r="AD780" s="14">
        <v>12.590744969447462</v>
      </c>
      <c r="AE780" t="s">
        <v>71</v>
      </c>
      <c r="AF780" t="s">
        <v>61</v>
      </c>
      <c r="AG780" t="s">
        <v>71</v>
      </c>
      <c r="AH780" t="s">
        <v>213</v>
      </c>
      <c r="AS780" t="s">
        <v>849</v>
      </c>
      <c r="AT780" t="s">
        <v>849</v>
      </c>
      <c r="AV780" t="s">
        <v>1812</v>
      </c>
      <c r="AW780" t="s">
        <v>1807</v>
      </c>
      <c r="AX780" t="s">
        <v>1808</v>
      </c>
      <c r="AZ780" t="s">
        <v>1813</v>
      </c>
    </row>
    <row r="781" spans="1:52" x14ac:dyDescent="0.2">
      <c r="A781" t="s">
        <v>2023</v>
      </c>
      <c r="B781" t="s">
        <v>1159</v>
      </c>
      <c r="C781" t="s">
        <v>2024</v>
      </c>
      <c r="D781">
        <v>2021</v>
      </c>
      <c r="E781" t="s">
        <v>2282</v>
      </c>
      <c r="F781" t="s">
        <v>2283</v>
      </c>
      <c r="G781" t="s">
        <v>2309</v>
      </c>
      <c r="H781" t="s">
        <v>2288</v>
      </c>
      <c r="I781" t="s">
        <v>1161</v>
      </c>
      <c r="J781" t="s">
        <v>33</v>
      </c>
      <c r="K781" t="s">
        <v>35</v>
      </c>
      <c r="L781" t="s">
        <v>11</v>
      </c>
      <c r="M781" t="s">
        <v>15</v>
      </c>
      <c r="N781">
        <v>1</v>
      </c>
      <c r="O781" s="18" t="s">
        <v>20</v>
      </c>
      <c r="P781" s="18" t="s">
        <v>2010</v>
      </c>
      <c r="S781" t="s">
        <v>47</v>
      </c>
      <c r="T781" t="s">
        <v>421</v>
      </c>
      <c r="W781">
        <v>4</v>
      </c>
      <c r="X781">
        <v>10</v>
      </c>
      <c r="AA781" s="14">
        <v>2.5846776248725787</v>
      </c>
      <c r="AB781" s="14">
        <v>0.87967486967854369</v>
      </c>
      <c r="AC781" s="14">
        <v>2.116463467088467</v>
      </c>
      <c r="AD781" s="14">
        <v>0.61557887517063148</v>
      </c>
      <c r="AE781" t="s">
        <v>71</v>
      </c>
      <c r="AF781" t="s">
        <v>61</v>
      </c>
      <c r="AG781" t="s">
        <v>71</v>
      </c>
      <c r="AH781" t="s">
        <v>213</v>
      </c>
      <c r="AS781" t="s">
        <v>849</v>
      </c>
      <c r="AT781" t="s">
        <v>849</v>
      </c>
      <c r="AV781" t="s">
        <v>1812</v>
      </c>
      <c r="AW781" t="s">
        <v>1807</v>
      </c>
      <c r="AX781" t="s">
        <v>1808</v>
      </c>
      <c r="AZ781" t="s">
        <v>1813</v>
      </c>
    </row>
    <row r="782" spans="1:52" x14ac:dyDescent="0.2">
      <c r="A782" t="s">
        <v>2023</v>
      </c>
      <c r="B782" t="s">
        <v>1159</v>
      </c>
      <c r="C782" t="s">
        <v>2024</v>
      </c>
      <c r="D782">
        <v>2021</v>
      </c>
      <c r="E782" t="s">
        <v>2282</v>
      </c>
      <c r="F782" t="s">
        <v>2283</v>
      </c>
      <c r="G782" t="s">
        <v>2309</v>
      </c>
      <c r="H782" t="s">
        <v>2289</v>
      </c>
      <c r="I782" t="s">
        <v>1161</v>
      </c>
      <c r="J782" t="s">
        <v>33</v>
      </c>
      <c r="K782" t="s">
        <v>35</v>
      </c>
      <c r="L782" t="s">
        <v>11</v>
      </c>
      <c r="M782" t="s">
        <v>15</v>
      </c>
      <c r="N782">
        <v>1</v>
      </c>
      <c r="O782" s="18" t="s">
        <v>20</v>
      </c>
      <c r="P782" s="18" t="s">
        <v>2010</v>
      </c>
      <c r="S782" t="s">
        <v>47</v>
      </c>
      <c r="T782" t="s">
        <v>421</v>
      </c>
      <c r="W782">
        <v>4</v>
      </c>
      <c r="X782">
        <v>6</v>
      </c>
      <c r="AA782" s="14">
        <v>2.5846776248725787</v>
      </c>
      <c r="AB782" s="14">
        <v>0.87967486967854369</v>
      </c>
      <c r="AC782" s="14">
        <v>1.2663296850830068</v>
      </c>
      <c r="AD782" s="14">
        <v>0.53199742896994684</v>
      </c>
      <c r="AE782" t="s">
        <v>71</v>
      </c>
      <c r="AF782" t="s">
        <v>61</v>
      </c>
      <c r="AG782" t="s">
        <v>71</v>
      </c>
      <c r="AH782" t="s">
        <v>213</v>
      </c>
      <c r="AS782" t="s">
        <v>849</v>
      </c>
      <c r="AT782" t="s">
        <v>849</v>
      </c>
      <c r="AV782" t="s">
        <v>1812</v>
      </c>
      <c r="AW782" t="s">
        <v>1807</v>
      </c>
      <c r="AX782" t="s">
        <v>1808</v>
      </c>
      <c r="AZ782" t="s">
        <v>1813</v>
      </c>
    </row>
    <row r="783" spans="1:52" x14ac:dyDescent="0.2">
      <c r="A783" t="s">
        <v>2023</v>
      </c>
      <c r="B783" t="s">
        <v>1159</v>
      </c>
      <c r="C783" t="s">
        <v>2024</v>
      </c>
      <c r="D783">
        <v>2021</v>
      </c>
      <c r="E783" t="s">
        <v>2282</v>
      </c>
      <c r="F783" t="s">
        <v>2283</v>
      </c>
      <c r="G783" t="s">
        <v>2309</v>
      </c>
      <c r="H783" t="s">
        <v>2290</v>
      </c>
      <c r="I783" t="s">
        <v>1161</v>
      </c>
      <c r="J783" t="s">
        <v>33</v>
      </c>
      <c r="K783" t="s">
        <v>35</v>
      </c>
      <c r="L783" t="s">
        <v>11</v>
      </c>
      <c r="M783" t="s">
        <v>15</v>
      </c>
      <c r="N783">
        <v>1</v>
      </c>
      <c r="O783" s="18" t="s">
        <v>20</v>
      </c>
      <c r="P783" s="18" t="s">
        <v>27</v>
      </c>
      <c r="S783" t="s">
        <v>47</v>
      </c>
      <c r="T783" t="s">
        <v>421</v>
      </c>
      <c r="W783">
        <v>12</v>
      </c>
      <c r="X783">
        <v>18</v>
      </c>
      <c r="Y783">
        <v>9</v>
      </c>
      <c r="Z783">
        <v>17</v>
      </c>
      <c r="AG783" t="s">
        <v>1790</v>
      </c>
      <c r="AH783" t="s">
        <v>213</v>
      </c>
      <c r="AS783" t="s">
        <v>849</v>
      </c>
      <c r="AT783" t="s">
        <v>849</v>
      </c>
      <c r="AV783" t="s">
        <v>1812</v>
      </c>
      <c r="AW783" t="s">
        <v>1807</v>
      </c>
      <c r="AX783" t="s">
        <v>1808</v>
      </c>
      <c r="AZ783" t="s">
        <v>1813</v>
      </c>
    </row>
    <row r="784" spans="1:52" x14ac:dyDescent="0.2">
      <c r="A784" t="s">
        <v>2023</v>
      </c>
      <c r="B784" t="s">
        <v>1159</v>
      </c>
      <c r="C784" t="s">
        <v>2024</v>
      </c>
      <c r="D784">
        <v>2021</v>
      </c>
      <c r="E784" t="s">
        <v>2282</v>
      </c>
      <c r="F784" t="s">
        <v>2283</v>
      </c>
      <c r="G784" t="s">
        <v>2309</v>
      </c>
      <c r="H784" t="s">
        <v>2291</v>
      </c>
      <c r="I784" t="s">
        <v>1161</v>
      </c>
      <c r="J784" t="s">
        <v>33</v>
      </c>
      <c r="K784" t="s">
        <v>35</v>
      </c>
      <c r="L784" t="s">
        <v>11</v>
      </c>
      <c r="M784" t="s">
        <v>15</v>
      </c>
      <c r="N784">
        <v>1</v>
      </c>
      <c r="O784" s="18" t="s">
        <v>20</v>
      </c>
      <c r="P784" s="18" t="s">
        <v>27</v>
      </c>
      <c r="S784" t="s">
        <v>48</v>
      </c>
      <c r="T784" t="s">
        <v>421</v>
      </c>
      <c r="W784">
        <v>12</v>
      </c>
      <c r="X784">
        <v>6</v>
      </c>
      <c r="Y784">
        <v>9</v>
      </c>
      <c r="Z784">
        <v>3</v>
      </c>
      <c r="AG784" t="s">
        <v>1790</v>
      </c>
      <c r="AH784" t="s">
        <v>213</v>
      </c>
      <c r="AS784" t="s">
        <v>849</v>
      </c>
      <c r="AT784" t="s">
        <v>849</v>
      </c>
      <c r="AV784" t="s">
        <v>1812</v>
      </c>
      <c r="AW784" t="s">
        <v>1807</v>
      </c>
      <c r="AX784" t="s">
        <v>1808</v>
      </c>
      <c r="AZ784" t="s">
        <v>1813</v>
      </c>
    </row>
  </sheetData>
  <autoFilter ref="A1:BD784" xr:uid="{00000000-0001-0000-0100-000000000000}"/>
  <phoneticPr fontId="3" type="noConversion"/>
  <conditionalFormatting sqref="H1:H1048576">
    <cfRule type="duplicateValues" dxfId="0" priority="1"/>
  </conditionalFormatting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Yong Zhi Foo</cp:lastModifiedBy>
  <dcterms:created xsi:type="dcterms:W3CDTF">2020-04-17T09:52:55Z</dcterms:created>
  <dcterms:modified xsi:type="dcterms:W3CDTF">2026-03-27T08:39:38Z</dcterms:modified>
</cp:coreProperties>
</file>
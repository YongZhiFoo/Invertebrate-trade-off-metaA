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yongzhi/Library/CloudStorage/Dropbox/Yong and Kath/6. Manuscript preparation/Analysis and dataset/"/>
    </mc:Choice>
  </mc:AlternateContent>
  <xr:revisionPtr revIDLastSave="0" documentId="13_ncr:1_{F3C65E19-25E9-FC45-B002-5185FE803D6A}" xr6:coauthVersionLast="47" xr6:coauthVersionMax="47" xr10:uidLastSave="{00000000-0000-0000-0000-000000000000}"/>
  <bookViews>
    <workbookView xWindow="0" yWindow="660" windowWidth="38400" windowHeight="20940" xr2:uid="{00000000-000D-0000-FFFF-FFFF00000000}"/>
  </bookViews>
  <sheets>
    <sheet name="data" sheetId="2" r:id="rId1"/>
  </sheets>
  <definedNames>
    <definedName name="_xlnm._FilterDatabase" localSheetId="0" hidden="1">data!$A$1:$AY$784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240" i="2" l="1"/>
  <c r="AH239" i="2"/>
  <c r="AH228" i="2"/>
  <c r="AH227" i="2"/>
  <c r="AH226" i="2"/>
  <c r="AH225" i="2"/>
  <c r="AH220" i="2"/>
  <c r="AH219" i="2"/>
  <c r="AH53" i="2"/>
  <c r="AH31" i="2"/>
  <c r="AH30" i="2"/>
  <c r="AH3" i="2"/>
  <c r="AH2" i="2"/>
  <c r="AH587" i="2" l="1"/>
  <c r="AH10" i="2"/>
  <c r="AH14" i="2"/>
  <c r="AH15" i="2"/>
  <c r="AH16" i="2"/>
  <c r="AH25" i="2"/>
  <c r="AH26" i="2"/>
  <c r="AH27" i="2"/>
  <c r="AH28" i="2"/>
  <c r="AH29" i="2"/>
  <c r="AH32" i="2"/>
  <c r="AH34" i="2"/>
  <c r="AH35" i="2"/>
  <c r="AH36" i="2"/>
  <c r="AH37" i="2"/>
  <c r="AH38" i="2"/>
  <c r="AH39" i="2"/>
  <c r="AH40" i="2"/>
  <c r="AH41" i="2"/>
  <c r="AH42" i="2"/>
  <c r="AH43" i="2"/>
  <c r="AH44" i="2"/>
  <c r="AH62" i="2"/>
  <c r="AH63" i="2"/>
  <c r="AH67" i="2"/>
  <c r="AH68" i="2"/>
  <c r="AH69" i="2"/>
  <c r="AH70" i="2"/>
  <c r="AH71" i="2"/>
  <c r="AH72" i="2"/>
  <c r="AH73" i="2"/>
  <c r="AH76" i="2"/>
  <c r="AH77" i="2"/>
  <c r="AH80" i="2"/>
  <c r="AH81" i="2"/>
  <c r="AH87" i="2"/>
  <c r="AH117" i="2"/>
  <c r="AH118" i="2"/>
  <c r="AH119" i="2"/>
  <c r="AH120" i="2"/>
  <c r="AH121" i="2"/>
  <c r="AH122" i="2"/>
  <c r="AH123" i="2"/>
  <c r="AH124" i="2"/>
  <c r="AH125" i="2"/>
  <c r="AH131" i="2"/>
  <c r="AH132" i="2"/>
  <c r="AH133" i="2"/>
  <c r="AH134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51" i="2"/>
  <c r="AH152" i="2"/>
  <c r="AH153" i="2"/>
  <c r="AH157" i="2"/>
  <c r="AH160" i="2"/>
  <c r="AH172" i="2"/>
  <c r="AH173" i="2"/>
  <c r="AH174" i="2"/>
  <c r="AH175" i="2"/>
  <c r="AH176" i="2"/>
  <c r="AH177" i="2"/>
  <c r="AH178" i="2"/>
  <c r="AH179" i="2"/>
  <c r="AH180" i="2"/>
  <c r="AH182" i="2"/>
  <c r="AH183" i="2"/>
  <c r="AH184" i="2"/>
  <c r="AH185" i="2"/>
  <c r="AH186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8" i="2"/>
  <c r="AH209" i="2"/>
  <c r="AH210" i="2"/>
  <c r="AH211" i="2"/>
  <c r="AH212" i="2"/>
  <c r="AH215" i="2"/>
  <c r="AH216" i="2"/>
  <c r="AH217" i="2"/>
  <c r="AH221" i="2"/>
  <c r="AH222" i="2"/>
  <c r="AH229" i="2"/>
  <c r="AH230" i="2"/>
  <c r="AH231" i="2"/>
  <c r="AH232" i="2"/>
  <c r="AH236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84" i="2"/>
  <c r="AH285" i="2"/>
  <c r="AH286" i="2"/>
  <c r="AH289" i="2"/>
  <c r="AH290" i="2"/>
  <c r="AH291" i="2"/>
  <c r="AH292" i="2"/>
  <c r="AH299" i="2"/>
  <c r="AH318" i="2"/>
  <c r="AH319" i="2"/>
  <c r="AH320" i="2"/>
  <c r="AH322" i="2"/>
  <c r="AH324" i="2"/>
  <c r="AH326" i="2"/>
  <c r="AH327" i="2"/>
  <c r="AH328" i="2"/>
  <c r="AH329" i="2"/>
  <c r="AH330" i="2"/>
  <c r="AH331" i="2"/>
  <c r="AH333" i="2"/>
  <c r="AH334" i="2"/>
  <c r="AH335" i="2"/>
  <c r="AH336" i="2"/>
  <c r="AH337" i="2"/>
  <c r="AH338" i="2"/>
  <c r="AH339" i="2"/>
  <c r="AH341" i="2"/>
  <c r="AH342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1" i="2"/>
  <c r="AH362" i="2"/>
  <c r="AH363" i="2"/>
  <c r="AH378" i="2"/>
  <c r="AH379" i="2"/>
  <c r="AH380" i="2"/>
  <c r="AH381" i="2"/>
  <c r="AH384" i="2"/>
  <c r="AH385" i="2"/>
  <c r="AH388" i="2"/>
  <c r="AH389" i="2"/>
  <c r="AH390" i="2"/>
  <c r="AH391" i="2"/>
  <c r="AH395" i="2"/>
  <c r="AH408" i="2"/>
  <c r="AH409" i="2"/>
  <c r="AH411" i="2"/>
  <c r="AH412" i="2"/>
  <c r="AH417" i="2"/>
  <c r="AH418" i="2"/>
  <c r="AH424" i="2"/>
  <c r="AH425" i="2"/>
  <c r="AH427" i="2"/>
  <c r="AH428" i="2"/>
  <c r="AH430" i="2"/>
  <c r="AH451" i="2"/>
  <c r="AH452" i="2"/>
  <c r="AH453" i="2"/>
  <c r="AH454" i="2"/>
  <c r="AH455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70" i="2"/>
  <c r="AH471" i="2"/>
  <c r="AH475" i="2"/>
  <c r="AH485" i="2"/>
  <c r="AH486" i="2"/>
  <c r="AH487" i="2"/>
  <c r="AH488" i="2"/>
  <c r="AH489" i="2"/>
  <c r="AH490" i="2"/>
  <c r="AH491" i="2"/>
  <c r="AH500" i="2"/>
  <c r="AH501" i="2"/>
  <c r="AH510" i="2"/>
  <c r="AH511" i="2"/>
  <c r="AH512" i="2"/>
  <c r="AH513" i="2"/>
  <c r="AH514" i="2"/>
  <c r="AH515" i="2"/>
  <c r="AH544" i="2"/>
  <c r="AH545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Z304" i="2"/>
  <c r="Z303" i="2"/>
  <c r="AA304" i="2"/>
  <c r="AA303" i="2"/>
  <c r="Z301" i="2"/>
  <c r="AA301" i="2"/>
  <c r="Z302" i="2"/>
  <c r="AA302" i="2"/>
  <c r="Z300" i="2"/>
  <c r="AA300" i="2"/>
  <c r="Z298" i="2"/>
  <c r="AA298" i="2"/>
  <c r="Z297" i="2"/>
  <c r="AA297" i="2"/>
  <c r="AA296" i="2"/>
  <c r="Z296" i="2"/>
  <c r="AA295" i="2"/>
  <c r="Z295" i="2"/>
  <c r="AA294" i="2"/>
  <c r="Z294" i="2"/>
  <c r="Z293" i="2"/>
  <c r="AA293" i="2"/>
</calcChain>
</file>

<file path=xl/sharedStrings.xml><?xml version="1.0" encoding="utf-8"?>
<sst xmlns="http://schemas.openxmlformats.org/spreadsheetml/2006/main" count="19893" uniqueCount="2310">
  <si>
    <t>species</t>
  </si>
  <si>
    <t>authors</t>
  </si>
  <si>
    <t>doi</t>
  </si>
  <si>
    <t>order</t>
  </si>
  <si>
    <t>r</t>
  </si>
  <si>
    <t>paper_title</t>
  </si>
  <si>
    <t>paperid</t>
  </si>
  <si>
    <t>esid</t>
  </si>
  <si>
    <t>studyid</t>
  </si>
  <si>
    <t>year_published</t>
  </si>
  <si>
    <t>immunity_or_reproduction</t>
  </si>
  <si>
    <t>immunity</t>
  </si>
  <si>
    <t>reproduction</t>
  </si>
  <si>
    <t>immunity_upregulated_downregulated</t>
  </si>
  <si>
    <t>upregulated</t>
  </si>
  <si>
    <t>endoparasite</t>
  </si>
  <si>
    <t>fungus</t>
  </si>
  <si>
    <t>live bacteria</t>
  </si>
  <si>
    <t>heat-killed bacteria</t>
  </si>
  <si>
    <t>ectoparasite</t>
  </si>
  <si>
    <t>LPS</t>
  </si>
  <si>
    <t>other</t>
  </si>
  <si>
    <t>precopulatory</t>
  </si>
  <si>
    <t>postcopulatory</t>
  </si>
  <si>
    <t>precopulatory_postcopulatory</t>
  </si>
  <si>
    <t>correlational_experimental</t>
  </si>
  <si>
    <t>chemical</t>
  </si>
  <si>
    <t>auditory</t>
  </si>
  <si>
    <t>visual</t>
  </si>
  <si>
    <t>dominance</t>
  </si>
  <si>
    <t>mating success</t>
  </si>
  <si>
    <t>SS_assayed</t>
  </si>
  <si>
    <t>Odonata</t>
  </si>
  <si>
    <t>Dermaptera</t>
  </si>
  <si>
    <t>Orthoptera</t>
  </si>
  <si>
    <t>Hemiptera</t>
  </si>
  <si>
    <t>Araneae</t>
  </si>
  <si>
    <t>correlational</t>
  </si>
  <si>
    <t>experimental</t>
  </si>
  <si>
    <t>constitutive_induced</t>
  </si>
  <si>
    <t>constitutive</t>
  </si>
  <si>
    <t>induced</t>
  </si>
  <si>
    <t>PO</t>
  </si>
  <si>
    <t>lytic</t>
  </si>
  <si>
    <t>survival</t>
  </si>
  <si>
    <t>haemocytes</t>
  </si>
  <si>
    <t>encapsulation</t>
  </si>
  <si>
    <t>parasite presence</t>
  </si>
  <si>
    <t>parasite load</t>
  </si>
  <si>
    <t>developmental_stage</t>
  </si>
  <si>
    <t>adult</t>
  </si>
  <si>
    <t>juvenile</t>
  </si>
  <si>
    <t>figure</t>
  </si>
  <si>
    <t>table</t>
  </si>
  <si>
    <t>text</t>
  </si>
  <si>
    <t>supplementary material</t>
  </si>
  <si>
    <t>source data</t>
  </si>
  <si>
    <t>data_source</t>
  </si>
  <si>
    <t>fig_table_page_number</t>
  </si>
  <si>
    <t>n_control</t>
  </si>
  <si>
    <t>dispersion_control</t>
  </si>
  <si>
    <t>n_experimental</t>
  </si>
  <si>
    <t>dispersion_experimental</t>
  </si>
  <si>
    <t>dispersion_stats</t>
  </si>
  <si>
    <t>sd</t>
  </si>
  <si>
    <t>se</t>
  </si>
  <si>
    <t>IQ</t>
  </si>
  <si>
    <t>n_correlation</t>
  </si>
  <si>
    <t>success_control</t>
  </si>
  <si>
    <t>success_experimental</t>
  </si>
  <si>
    <t>t</t>
  </si>
  <si>
    <t>df</t>
  </si>
  <si>
    <t>value_control</t>
  </si>
  <si>
    <t>value_experimental</t>
  </si>
  <si>
    <t>mean</t>
  </si>
  <si>
    <t>median</t>
  </si>
  <si>
    <t>value_stats</t>
  </si>
  <si>
    <t>sperm competitiveness</t>
  </si>
  <si>
    <t>nuptial gift</t>
  </si>
  <si>
    <t>both</t>
  </si>
  <si>
    <t>figure_table_referencenumber</t>
  </si>
  <si>
    <t>ejaculate traits</t>
  </si>
  <si>
    <t>experimental_immune_elicitor</t>
  </si>
  <si>
    <t>r2</t>
  </si>
  <si>
    <t>Hymenoptera</t>
  </si>
  <si>
    <t>Coleoptera</t>
  </si>
  <si>
    <t>Diptera</t>
  </si>
  <si>
    <t>Labidomera clivicollis</t>
  </si>
  <si>
    <t>Sexually Transmitted Parasites and Sexual Selection in the Milkweed Leaf Beetle, Labidomera clivicollis</t>
  </si>
  <si>
    <t>Abbot&amp;Dill</t>
  </si>
  <si>
    <t>experiment</t>
  </si>
  <si>
    <t>Table 3</t>
  </si>
  <si>
    <t>Table 2</t>
  </si>
  <si>
    <t xml:space="preserve">Effects of water mites on the damselfly Ceriagrion tenellum </t>
  </si>
  <si>
    <t>Andres&amp;Cordero</t>
  </si>
  <si>
    <t>Table 1</t>
  </si>
  <si>
    <t xml:space="preserve">Table 4 </t>
  </si>
  <si>
    <t>n</t>
  </si>
  <si>
    <t xml:space="preserve">Beyond species recognition: somatic state affects long-distance sex pheromone communication </t>
  </si>
  <si>
    <t>Chemnitz_et_al</t>
  </si>
  <si>
    <t xml:space="preserve">10.1098/rspb.2015.0832 </t>
  </si>
  <si>
    <t>1g</t>
  </si>
  <si>
    <t>2d</t>
  </si>
  <si>
    <t xml:space="preserve">Ectoparasites and mating success of male Enallagma ebrium damselflies (Odonata: Coenagrionidae </t>
  </si>
  <si>
    <t>Forbes</t>
  </si>
  <si>
    <t>Enallagma ebrium</t>
  </si>
  <si>
    <t>paper10</t>
  </si>
  <si>
    <t>1h</t>
  </si>
  <si>
    <t>es10</t>
  </si>
  <si>
    <t>10.2307/3545076</t>
  </si>
  <si>
    <t>es11</t>
  </si>
  <si>
    <t>es12</t>
  </si>
  <si>
    <t>es13</t>
  </si>
  <si>
    <t>es14</t>
  </si>
  <si>
    <t>es15</t>
  </si>
  <si>
    <t>es16</t>
  </si>
  <si>
    <t>es17</t>
  </si>
  <si>
    <t>es26</t>
  </si>
  <si>
    <t>es27</t>
  </si>
  <si>
    <t>es28</t>
  </si>
  <si>
    <t>es29</t>
  </si>
  <si>
    <t>es32</t>
  </si>
  <si>
    <t>es33</t>
  </si>
  <si>
    <t>es34</t>
  </si>
  <si>
    <t>es35</t>
  </si>
  <si>
    <t>es36</t>
  </si>
  <si>
    <t>es37</t>
  </si>
  <si>
    <t>es38</t>
  </si>
  <si>
    <t>es39</t>
  </si>
  <si>
    <t>es40</t>
  </si>
  <si>
    <t>es41</t>
  </si>
  <si>
    <t>es42</t>
  </si>
  <si>
    <t>es43</t>
  </si>
  <si>
    <t>es47</t>
  </si>
  <si>
    <t>es48</t>
  </si>
  <si>
    <t>Wing pigmentation in territorial male damselflies, Calopteryx haemorrhoidalis: a possible relation to sexual selection</t>
  </si>
  <si>
    <t>Córdoba-Aguilar</t>
  </si>
  <si>
    <t>Amphipoda</t>
  </si>
  <si>
    <t xml:space="preserve">10.1006/anbe.2001.1974 </t>
  </si>
  <si>
    <t>es49</t>
  </si>
  <si>
    <t>es50</t>
  </si>
  <si>
    <t>es51</t>
  </si>
  <si>
    <t xml:space="preserve">The effects of two acanthocephalan parasites, Pomphorhynchus laevis and Polmorphus minutus, on pairing success in male Gammarus pulex (Crustacea: Amphipoda) </t>
  </si>
  <si>
    <t>Bollache_et_al</t>
  </si>
  <si>
    <t xml:space="preserve">10. 1007/s002650000300 </t>
  </si>
  <si>
    <t>Gammarus pulex</t>
  </si>
  <si>
    <t>Fig. 3</t>
  </si>
  <si>
    <t>Table</t>
  </si>
  <si>
    <t>Table 5</t>
  </si>
  <si>
    <t xml:space="preserve">The costs of the immune memory within generations </t>
  </si>
  <si>
    <t>Contreras_Garduno_et_al</t>
  </si>
  <si>
    <t xml:space="preserve">10.1007/s00114-019-1657-2 </t>
  </si>
  <si>
    <t>Immune melanization ability and male territorial status in Erythemis vesiculosa (Fabricius) (Anisoptera: Libellulidae)</t>
  </si>
  <si>
    <t>Cordoba-Aguilar</t>
  </si>
  <si>
    <t>Erythemis vesiculosa</t>
  </si>
  <si>
    <t xml:space="preserve">Interaction Between Gammarinema gammari (Nematoda), Microphallus papillorobustus (Trematoda) and Their Common Host Gammarus insensibilis (Amphipoda) </t>
  </si>
  <si>
    <t>Fauchier&amp;Thomas</t>
  </si>
  <si>
    <t xml:space="preserve">10.1645/0022- 3395(2001)087[1479:IBGGNM]2.0.CO;2 </t>
  </si>
  <si>
    <t xml:space="preserve">Immune system activation affects male sexual signal and reproductive potential in crickets </t>
  </si>
  <si>
    <t>Fedorka&amp;Mosseau</t>
  </si>
  <si>
    <t xml:space="preserve">10.1093/beheco/arl067 </t>
  </si>
  <si>
    <t xml:space="preserve">Pairing success and sperm reserve of male Gammarus pulex infected by Cyathocephalus truncatus (Cestoda: Spathebothriidea) </t>
  </si>
  <si>
    <t xml:space="preserve">10.1017/S0031182011001247 </t>
  </si>
  <si>
    <t>Galipaud_et_al</t>
  </si>
  <si>
    <t>1431-2</t>
  </si>
  <si>
    <t>Parasitism and Male Mating Success in Drosophila testacea</t>
  </si>
  <si>
    <t>Jaenike_et_al</t>
  </si>
  <si>
    <t>Drosophila testacea</t>
  </si>
  <si>
    <t xml:space="preserve">Nosema ceranae, Fipronil and their combination compromise honey bee reproduction via changes in male physiology </t>
  </si>
  <si>
    <t>Kairo_et_al</t>
  </si>
  <si>
    <t>2c</t>
  </si>
  <si>
    <t>paper01</t>
  </si>
  <si>
    <t>paper02</t>
  </si>
  <si>
    <t>paper04</t>
  </si>
  <si>
    <t>paper05</t>
  </si>
  <si>
    <t>paper06</t>
  </si>
  <si>
    <t>paper07</t>
  </si>
  <si>
    <t>paper09</t>
  </si>
  <si>
    <t>paper11</t>
  </si>
  <si>
    <t>paper12</t>
  </si>
  <si>
    <t>paper13</t>
  </si>
  <si>
    <t>paper14</t>
  </si>
  <si>
    <t>paper15</t>
  </si>
  <si>
    <t>es01</t>
  </si>
  <si>
    <t>es02</t>
  </si>
  <si>
    <t>es03</t>
  </si>
  <si>
    <t>es06</t>
  </si>
  <si>
    <t>es07</t>
  </si>
  <si>
    <t>es08</t>
  </si>
  <si>
    <t>es09</t>
  </si>
  <si>
    <t>es52</t>
  </si>
  <si>
    <t>es53</t>
  </si>
  <si>
    <t>es54</t>
  </si>
  <si>
    <t>es55</t>
  </si>
  <si>
    <t>es56</t>
  </si>
  <si>
    <t>es57</t>
  </si>
  <si>
    <t>es58</t>
  </si>
  <si>
    <t>es59</t>
  </si>
  <si>
    <t>es60</t>
  </si>
  <si>
    <t>es61</t>
  </si>
  <si>
    <t>es62</t>
  </si>
  <si>
    <t>es63</t>
  </si>
  <si>
    <t>es64</t>
  </si>
  <si>
    <t>es65</t>
  </si>
  <si>
    <t>es67</t>
  </si>
  <si>
    <t>es68</t>
  </si>
  <si>
    <t>es69</t>
  </si>
  <si>
    <t>es70</t>
  </si>
  <si>
    <t>es71</t>
  </si>
  <si>
    <t>es72</t>
  </si>
  <si>
    <t>es73</t>
  </si>
  <si>
    <t>es74</t>
  </si>
  <si>
    <t>es75</t>
  </si>
  <si>
    <t>es76</t>
  </si>
  <si>
    <t>es77</t>
  </si>
  <si>
    <t>immune_response_type</t>
  </si>
  <si>
    <t>study01</t>
  </si>
  <si>
    <t>study02</t>
  </si>
  <si>
    <t>study03</t>
  </si>
  <si>
    <t>study04</t>
  </si>
  <si>
    <t>study05</t>
  </si>
  <si>
    <t>study06</t>
  </si>
  <si>
    <t>negative</t>
  </si>
  <si>
    <t>Fig. 1a</t>
  </si>
  <si>
    <t>Fig. 1b</t>
  </si>
  <si>
    <t>10.1038/s41598-017-08380-5</t>
  </si>
  <si>
    <t>Simmons</t>
  </si>
  <si>
    <t>paper16</t>
  </si>
  <si>
    <t xml:space="preserve">Post-copulatory guarding, female choice and the levels of gregarine infections in the field cricket, Gryllus bimaculatus </t>
  </si>
  <si>
    <t>es78</t>
  </si>
  <si>
    <t>Gryllus bimaculatus</t>
  </si>
  <si>
    <t xml:space="preserve">Some constraints on reproduction for male bushcrickets, Requena verticalis(Orthoptera: Tettigoniidae): diet, size and parasite load </t>
  </si>
  <si>
    <t>paper17</t>
  </si>
  <si>
    <t>es79</t>
  </si>
  <si>
    <t>Requena verticalis</t>
  </si>
  <si>
    <t>Courtship role reversal in bush crickets: another role for parasites?</t>
  </si>
  <si>
    <t>paper18</t>
  </si>
  <si>
    <t>es80</t>
  </si>
  <si>
    <t>es81</t>
  </si>
  <si>
    <t>es82</t>
  </si>
  <si>
    <t>es83</t>
  </si>
  <si>
    <t>es84</t>
  </si>
  <si>
    <t>es85</t>
  </si>
  <si>
    <t>es86</t>
  </si>
  <si>
    <t>es87</t>
  </si>
  <si>
    <t>es88</t>
  </si>
  <si>
    <t>es89</t>
  </si>
  <si>
    <t>Fig5</t>
  </si>
  <si>
    <t>paper19</t>
  </si>
  <si>
    <t>es90</t>
  </si>
  <si>
    <t>es91</t>
  </si>
  <si>
    <t>es92</t>
  </si>
  <si>
    <t>es94</t>
  </si>
  <si>
    <t>es95</t>
  </si>
  <si>
    <t>es96</t>
  </si>
  <si>
    <t>es97</t>
  </si>
  <si>
    <t>es98</t>
  </si>
  <si>
    <t>es99</t>
  </si>
  <si>
    <t>es100</t>
  </si>
  <si>
    <t>es101</t>
  </si>
  <si>
    <t>es102</t>
  </si>
  <si>
    <t>es103</t>
  </si>
  <si>
    <t>es104</t>
  </si>
  <si>
    <t>es105</t>
  </si>
  <si>
    <t>es106</t>
  </si>
  <si>
    <t>es107</t>
  </si>
  <si>
    <t>es108</t>
  </si>
  <si>
    <t>es109</t>
  </si>
  <si>
    <t>es110</t>
  </si>
  <si>
    <t>es111</t>
  </si>
  <si>
    <t>es112</t>
  </si>
  <si>
    <t>es115</t>
  </si>
  <si>
    <t>es116</t>
  </si>
  <si>
    <t>es117</t>
  </si>
  <si>
    <t xml:space="preserve">Assortative pairing by parasitic prevalence in Gammarus insensibilis (Amphipoda): patterns and processes </t>
  </si>
  <si>
    <t>Thomas_et_al</t>
  </si>
  <si>
    <t>study10</t>
  </si>
  <si>
    <t>study11</t>
  </si>
  <si>
    <t>study12</t>
  </si>
  <si>
    <t>study13</t>
  </si>
  <si>
    <t>study14</t>
  </si>
  <si>
    <t>study16</t>
  </si>
  <si>
    <t>study17</t>
  </si>
  <si>
    <t>study18</t>
  </si>
  <si>
    <t>study19</t>
  </si>
  <si>
    <t>study20</t>
  </si>
  <si>
    <t>study21</t>
  </si>
  <si>
    <t>study22</t>
  </si>
  <si>
    <t>study23</t>
  </si>
  <si>
    <t>study24</t>
  </si>
  <si>
    <t>study26</t>
  </si>
  <si>
    <t>study27</t>
  </si>
  <si>
    <t>study28</t>
  </si>
  <si>
    <t>study29</t>
  </si>
  <si>
    <t>study30</t>
  </si>
  <si>
    <t>study31</t>
  </si>
  <si>
    <t>study32</t>
  </si>
  <si>
    <t>study33</t>
  </si>
  <si>
    <t>study34</t>
  </si>
  <si>
    <t>Parasitoid Infection and Sexual Selection in the Beetle Timarcha maritima Perris (Coleoptera: Chrysomelidae)</t>
  </si>
  <si>
    <t>paper20</t>
  </si>
  <si>
    <t>study35</t>
  </si>
  <si>
    <t>Timarcha maritima</t>
  </si>
  <si>
    <t>Assortative pairing with respect to parasite load in the beetle Timarcha maritima (Chrysomelidae)</t>
  </si>
  <si>
    <t>paper21</t>
  </si>
  <si>
    <t>study36</t>
  </si>
  <si>
    <t>Influence of Microphallus hoffmanni (Trematoda, Microphallidae) on the survival, sexual selection, and fecundity of Gammarus aequicauda (Amphipoda)</t>
  </si>
  <si>
    <t>paper22</t>
  </si>
  <si>
    <t>study37</t>
  </si>
  <si>
    <t>Gammarus aequicauda</t>
  </si>
  <si>
    <t>Fighting while Parasitized: Can Nematode Infections Affect the Outcome of Staged Combat in Beetles?</t>
  </si>
  <si>
    <t>Vasquez_et_al</t>
  </si>
  <si>
    <t>paper23</t>
  </si>
  <si>
    <t>study38</t>
  </si>
  <si>
    <t xml:space="preserve">Effect of immune challenge on aggressive behaviour: how to fight two battles at once </t>
  </si>
  <si>
    <t>Adamo_et_al</t>
  </si>
  <si>
    <t>paper24</t>
  </si>
  <si>
    <t>study39</t>
  </si>
  <si>
    <t>Fig 1</t>
  </si>
  <si>
    <t>study40</t>
  </si>
  <si>
    <t xml:space="preserve">A trade-off between sexual signalling and immune function in a natural population of the drumming wolf spider Hygrolycosa rubrofasciata </t>
  </si>
  <si>
    <t>paper25</t>
  </si>
  <si>
    <t>study41</t>
  </si>
  <si>
    <t>Fig 2</t>
  </si>
  <si>
    <t xml:space="preserve">Female spotted cucumber beetles use own cuticular hydrocarbon signature to choose immunocompatible mates </t>
  </si>
  <si>
    <t>paper26</t>
  </si>
  <si>
    <t>study42</t>
  </si>
  <si>
    <t>Ali&amp;Tallamy</t>
  </si>
  <si>
    <t>When do trade-offs occur? The roles of evnerg10.1111/jeb.13221y constraints and trait flexibility in bushcricket populations</t>
  </si>
  <si>
    <t>Barbosa_et_al</t>
  </si>
  <si>
    <t xml:space="preserve">10.1111/jeb.13221 </t>
  </si>
  <si>
    <t>paper28</t>
  </si>
  <si>
    <t>study44</t>
  </si>
  <si>
    <t>study45</t>
  </si>
  <si>
    <t>study46</t>
  </si>
  <si>
    <t>study47</t>
  </si>
  <si>
    <t>study48</t>
  </si>
  <si>
    <t>study49</t>
  </si>
  <si>
    <t>study50</t>
  </si>
  <si>
    <t>study51</t>
  </si>
  <si>
    <t>es118</t>
  </si>
  <si>
    <t>es119</t>
  </si>
  <si>
    <t>es120</t>
  </si>
  <si>
    <t>es121</t>
  </si>
  <si>
    <t>es122</t>
  </si>
  <si>
    <t>es123</t>
  </si>
  <si>
    <t>es124</t>
  </si>
  <si>
    <t>es125</t>
  </si>
  <si>
    <t>es126</t>
  </si>
  <si>
    <t>es127</t>
  </si>
  <si>
    <t>es128</t>
  </si>
  <si>
    <t>es129</t>
  </si>
  <si>
    <t>es130</t>
  </si>
  <si>
    <t>es131</t>
  </si>
  <si>
    <t>es132</t>
  </si>
  <si>
    <t>es133</t>
  </si>
  <si>
    <t>es134</t>
  </si>
  <si>
    <t>es135</t>
  </si>
  <si>
    <t>paper29</t>
  </si>
  <si>
    <t>study52</t>
  </si>
  <si>
    <t>study53</t>
  </si>
  <si>
    <t>study54</t>
  </si>
  <si>
    <t>study55</t>
  </si>
  <si>
    <t>study56</t>
  </si>
  <si>
    <t>study57</t>
  </si>
  <si>
    <t>study58</t>
  </si>
  <si>
    <t xml:space="preserve">A link between heritable parasite resistance and mate choice in dung beetles </t>
  </si>
  <si>
    <t>Buzatto_et_al</t>
  </si>
  <si>
    <t xml:space="preserve">10.1093/beheco/arz089 </t>
  </si>
  <si>
    <t>study59</t>
  </si>
  <si>
    <t>parasite resistance</t>
  </si>
  <si>
    <t>Supplementary material</t>
  </si>
  <si>
    <t>Immunity and reproduction during colony foundation in the dampwood termite, Zootermopsis angusticollis</t>
  </si>
  <si>
    <t>Calleri II_et_al</t>
  </si>
  <si>
    <t xml:space="preserve">10.1111/j.1365-3032.2007.00559.x </t>
  </si>
  <si>
    <t>paper30</t>
  </si>
  <si>
    <t xml:space="preserve">	Blattodea</t>
  </si>
  <si>
    <t>paper31</t>
  </si>
  <si>
    <t>es138</t>
  </si>
  <si>
    <t xml:space="preserve">The expression of a sexually selected trait correlates with different immune defense components and survival in males of the American rubyspot </t>
  </si>
  <si>
    <t>Contreras-Garduno_et_al</t>
  </si>
  <si>
    <t xml:space="preserve">10.1016/j.jinsphys.2007.03.003 </t>
  </si>
  <si>
    <t>es139</t>
  </si>
  <si>
    <t>es140</t>
  </si>
  <si>
    <t>es141</t>
  </si>
  <si>
    <t>es142</t>
  </si>
  <si>
    <t>es143</t>
  </si>
  <si>
    <t>es144</t>
  </si>
  <si>
    <t>es145</t>
  </si>
  <si>
    <t>es146</t>
  </si>
  <si>
    <t>es147</t>
  </si>
  <si>
    <t>es148</t>
  </si>
  <si>
    <t>es149</t>
  </si>
  <si>
    <t>es150</t>
  </si>
  <si>
    <t>es151</t>
  </si>
  <si>
    <t>es152</t>
  </si>
  <si>
    <t>es153</t>
  </si>
  <si>
    <t>hydrolitic enzyme</t>
  </si>
  <si>
    <t>Figure</t>
  </si>
  <si>
    <t>Variation in sex pheromone emission does not reflect immunocompetence but affects attractiveness of male burying beetles—a combination of laboratory and field experiments</t>
  </si>
  <si>
    <t xml:space="preserve">10.1007/s00114-017-1473-5 </t>
  </si>
  <si>
    <t>paper32</t>
  </si>
  <si>
    <t>es154</t>
  </si>
  <si>
    <t>es155</t>
  </si>
  <si>
    <t>es156</t>
  </si>
  <si>
    <t>es157</t>
  </si>
  <si>
    <t>es158</t>
  </si>
  <si>
    <t>es159</t>
  </si>
  <si>
    <t>es160</t>
  </si>
  <si>
    <t>es161</t>
  </si>
  <si>
    <t>es162</t>
  </si>
  <si>
    <t>es163</t>
  </si>
  <si>
    <t>es164</t>
  </si>
  <si>
    <t>es165</t>
  </si>
  <si>
    <t>es166</t>
  </si>
  <si>
    <t>Supplementary</t>
  </si>
  <si>
    <t>paper33</t>
  </si>
  <si>
    <t xml:space="preserve">The influence of male age and simulated pathogenic infection on producing a dishonest sexual signal </t>
  </si>
  <si>
    <t>Copeland_at_al</t>
  </si>
  <si>
    <t xml:space="preserve">10.1098/rspb.2012.1914 </t>
  </si>
  <si>
    <t>es167</t>
  </si>
  <si>
    <t>Excel</t>
  </si>
  <si>
    <t xml:space="preserve">Male morph predicts investment in larval immune function in the dung beetle, Onthophagus taurus </t>
  </si>
  <si>
    <t>Cotter_et_al</t>
  </si>
  <si>
    <t xml:space="preserve">10.1093/beheco/arm137 </t>
  </si>
  <si>
    <t xml:space="preserve">Sex, War, and Disease: The Role of Parasite Infection on Weapon Development and Mating Success in a Horned Beetle (Gnatocerus cornutus) </t>
  </si>
  <si>
    <t>Demuth_et_al</t>
  </si>
  <si>
    <t xml:space="preserve">10.1371/journal.pone.0028690 </t>
  </si>
  <si>
    <t>paper34</t>
  </si>
  <si>
    <t>es168</t>
  </si>
  <si>
    <t>paper35</t>
  </si>
  <si>
    <t xml:space="preserve">IMMUNE SUPPRESSION AND THE COST OF REPRODUCTION IN THE GROUND CRICKET, ALLONEMOBIUS SOCIUS </t>
  </si>
  <si>
    <t>Fedorka_et_al</t>
  </si>
  <si>
    <t>Allonemobius socius</t>
  </si>
  <si>
    <t xml:space="preserve">Give ‘til it hurts: trade-offs between immunity and male reproductive effort in the decorated cricket, Gryllodes sigillatus </t>
  </si>
  <si>
    <t>Gershman_et_al</t>
  </si>
  <si>
    <t>10.1111/j.1420-9101.2010.01951.x</t>
  </si>
  <si>
    <t>paper38</t>
  </si>
  <si>
    <t>study60</t>
  </si>
  <si>
    <t>es189</t>
  </si>
  <si>
    <t>Gryllodes sigillatus</t>
  </si>
  <si>
    <t xml:space="preserve">Sex-specific differences in immunological costs of multiple mating in Gryllus vocalis field crickets </t>
  </si>
  <si>
    <t>Gershman</t>
  </si>
  <si>
    <t xml:space="preserve">10.1093/beheco/arn040 </t>
  </si>
  <si>
    <t>paper39</t>
  </si>
  <si>
    <t>study62</t>
  </si>
  <si>
    <t>es196</t>
  </si>
  <si>
    <t>es197</t>
  </si>
  <si>
    <t>es198</t>
  </si>
  <si>
    <t>es199</t>
  </si>
  <si>
    <t>es200</t>
  </si>
  <si>
    <t>es201</t>
  </si>
  <si>
    <t>es202</t>
  </si>
  <si>
    <t xml:space="preserve">Gender-related variations in hemolymph parameters of Carabus lefebvrei (Coleoptera: Carabidae): HPLC analysis and phenoloxidase activity </t>
  </si>
  <si>
    <t>Giglio_et_al</t>
  </si>
  <si>
    <t>paper40</t>
  </si>
  <si>
    <t>study63</t>
  </si>
  <si>
    <t>es203</t>
  </si>
  <si>
    <t>es204</t>
  </si>
  <si>
    <t>es205</t>
  </si>
  <si>
    <t>es206</t>
  </si>
  <si>
    <t>es207</t>
  </si>
  <si>
    <t>es208</t>
  </si>
  <si>
    <t>es209</t>
  </si>
  <si>
    <t>Courtship and male ornaments as honest indicators of immune function</t>
  </si>
  <si>
    <t>Gilbert&amp;Uetz</t>
  </si>
  <si>
    <t xml:space="preserve">10.1016/j.anbehav.2016.04.013 </t>
  </si>
  <si>
    <t>paper41</t>
  </si>
  <si>
    <t>study64</t>
  </si>
  <si>
    <t>paper42</t>
  </si>
  <si>
    <t>study65</t>
  </si>
  <si>
    <t xml:space="preserve">Phenoloxidase activity and melanization do not always covary with sexual trait expression in Hetaerina damselflies (Insecta: Calopterygidae) </t>
  </si>
  <si>
    <t xml:space="preserve">González-Santoyo </t>
  </si>
  <si>
    <t>10.1163/000579510X516777</t>
  </si>
  <si>
    <t>Hetaerina americana</t>
  </si>
  <si>
    <t>es210</t>
  </si>
  <si>
    <t>es211</t>
  </si>
  <si>
    <t>es212</t>
  </si>
  <si>
    <t>es213</t>
  </si>
  <si>
    <t>es214</t>
  </si>
  <si>
    <t>es215</t>
  </si>
  <si>
    <t>es216</t>
  </si>
  <si>
    <t>es217</t>
  </si>
  <si>
    <t>study66</t>
  </si>
  <si>
    <t>study67</t>
  </si>
  <si>
    <t>study68</t>
  </si>
  <si>
    <t>study69</t>
  </si>
  <si>
    <t>study70</t>
  </si>
  <si>
    <t>study71</t>
  </si>
  <si>
    <t>study72</t>
  </si>
  <si>
    <t>study73</t>
  </si>
  <si>
    <t>study74</t>
  </si>
  <si>
    <t>study75</t>
  </si>
  <si>
    <t>k</t>
  </si>
  <si>
    <t xml:space="preserve">Infection effects on feeding and territorial behaviour in a predatory insect in the wild </t>
  </si>
  <si>
    <t>González-Tokman_et_al</t>
  </si>
  <si>
    <t>10.1016/j.anbehav.2011.02.027</t>
  </si>
  <si>
    <t>paper43</t>
  </si>
  <si>
    <t>study78</t>
  </si>
  <si>
    <t>es222</t>
  </si>
  <si>
    <t>es223</t>
  </si>
  <si>
    <t>es224</t>
  </si>
  <si>
    <t>es225</t>
  </si>
  <si>
    <t>es226</t>
  </si>
  <si>
    <t>es227</t>
  </si>
  <si>
    <t>es228</t>
  </si>
  <si>
    <t>es229</t>
  </si>
  <si>
    <t>es230</t>
  </si>
  <si>
    <t>Gupta_et_al</t>
  </si>
  <si>
    <t xml:space="preserve">Sexual activity increases resistance against Pseudomonas entomophila in male Drosophila melanogaster </t>
  </si>
  <si>
    <t>es232</t>
  </si>
  <si>
    <t>es234</t>
  </si>
  <si>
    <t>Drosophila melanogaster</t>
  </si>
  <si>
    <t>10.1186/1471-2148-13-185</t>
  </si>
  <si>
    <t>Tribolium castaneum</t>
  </si>
  <si>
    <t xml:space="preserve">Mating status, immune defence, and multi-parasite burden in the damselfly Coenagrion armatum </t>
  </si>
  <si>
    <t>Honkavaara_et_al</t>
  </si>
  <si>
    <t xml:space="preserve">10.1111/j.1570-7458.2009.00877.x </t>
  </si>
  <si>
    <t>paper45</t>
  </si>
  <si>
    <t>study80</t>
  </si>
  <si>
    <t xml:space="preserve">10.1554/03-660 </t>
  </si>
  <si>
    <t>Jacot_et_al</t>
  </si>
  <si>
    <t>paper46</t>
  </si>
  <si>
    <t>study81</t>
  </si>
  <si>
    <t>Gryllus campestris</t>
  </si>
  <si>
    <t>Costs of an induced immune response on sexual display and longevity in field crickets</t>
  </si>
  <si>
    <t>es237</t>
  </si>
  <si>
    <t>es238</t>
  </si>
  <si>
    <t>2b</t>
  </si>
  <si>
    <t>es239</t>
  </si>
  <si>
    <t>es240</t>
  </si>
  <si>
    <t>Fat and sassy: factors underlying male mating success in a butterfly</t>
  </si>
  <si>
    <t>Kehl_et_al</t>
  </si>
  <si>
    <t xml:space="preserve">10.1111/eea.12305 </t>
  </si>
  <si>
    <t>paper47</t>
  </si>
  <si>
    <t>study82</t>
  </si>
  <si>
    <t>Lepidoptera</t>
  </si>
  <si>
    <t xml:space="preserve">Sexually dimorphic immune response in the harem polygynous Wellington tree weta Hemideina crassidens </t>
  </si>
  <si>
    <t>Kelly_et_al</t>
  </si>
  <si>
    <t xml:space="preserve">10.1111/j.1365-3032.2009.00671.x </t>
  </si>
  <si>
    <t>paper48</t>
  </si>
  <si>
    <t>study83</t>
  </si>
  <si>
    <t>es241</t>
  </si>
  <si>
    <t>es242</t>
  </si>
  <si>
    <t>es243</t>
  </si>
  <si>
    <t>es244</t>
  </si>
  <si>
    <t>es245</t>
  </si>
  <si>
    <t>es246</t>
  </si>
  <si>
    <t>Effect of an immune challenge on the functional performance of male weaponry</t>
  </si>
  <si>
    <t xml:space="preserve">10.1016/j.beproc.2014.11.001 </t>
  </si>
  <si>
    <t>paper49</t>
  </si>
  <si>
    <t>study84</t>
  </si>
  <si>
    <t xml:space="preserve">Experimentally induced spermatophore production and immune responses reveal a trade-off in crickets </t>
  </si>
  <si>
    <t>Kerr_et_al</t>
  </si>
  <si>
    <t xml:space="preserve">10.1093/beheco/arq035 </t>
  </si>
  <si>
    <t>paper50</t>
  </si>
  <si>
    <t>study85</t>
  </si>
  <si>
    <t>es247</t>
  </si>
  <si>
    <t>es248</t>
  </si>
  <si>
    <t>es249</t>
  </si>
  <si>
    <t>3a</t>
  </si>
  <si>
    <t>3b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</si>
  <si>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</si>
  <si>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</si>
  <si>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</si>
  <si>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</si>
  <si>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</si>
  <si>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</si>
  <si>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</si>
  <si>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</si>
  <si>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es258</t>
  </si>
  <si>
    <t xml:space="preserve">Age-dependent trade-offs between immunity and male, but not female, reproduction </t>
  </si>
  <si>
    <t>McNamara_et_al</t>
  </si>
  <si>
    <t xml:space="preserve">10.1111/j.1365-2656.2012.02018.x </t>
  </si>
  <si>
    <t>paper51</t>
  </si>
  <si>
    <t>study86</t>
  </si>
  <si>
    <t>Helicoverpa armigera</t>
  </si>
  <si>
    <t>my notes</t>
  </si>
  <si>
    <t xml:space="preserve">Evaluating the costs of a sexually selected weapon: big horns at a small price </t>
  </si>
  <si>
    <t>McCullough_et_al</t>
  </si>
  <si>
    <t>10.1016/j.anbehav.2013.08.017</t>
  </si>
  <si>
    <t>paper52</t>
  </si>
  <si>
    <t>study87</t>
  </si>
  <si>
    <t>es259</t>
  </si>
  <si>
    <t>es260</t>
  </si>
  <si>
    <t>es261</t>
  </si>
  <si>
    <t>es262</t>
  </si>
  <si>
    <t>es263</t>
  </si>
  <si>
    <t xml:space="preserve">10.1038/s41598-017-08339-6 </t>
  </si>
  <si>
    <t>paper53</t>
  </si>
  <si>
    <t>study88</t>
  </si>
  <si>
    <t>es264</t>
  </si>
  <si>
    <t>es265</t>
  </si>
  <si>
    <t>es266</t>
  </si>
  <si>
    <t>es267</t>
  </si>
  <si>
    <t>es268</t>
  </si>
  <si>
    <t>es269</t>
  </si>
  <si>
    <t>es270</t>
  </si>
  <si>
    <t>es271</t>
  </si>
  <si>
    <t xml:space="preserve">Male mealworm beetles increase resting metabolic rate under terminal investment </t>
  </si>
  <si>
    <t>Krams_et_al</t>
  </si>
  <si>
    <t xml:space="preserve">10.1111/jeb.12318 </t>
  </si>
  <si>
    <t>study89</t>
  </si>
  <si>
    <t xml:space="preserve">Reproduction is costly in an infected aquatic insect </t>
  </si>
  <si>
    <t>10.1080/03949370.2015.1089943</t>
  </si>
  <si>
    <t>paper54</t>
  </si>
  <si>
    <t>study90</t>
  </si>
  <si>
    <t xml:space="preserve">Reproductive status of Tribolium castaneum (Coleoptera: Tenebrionidae) affects its response to infection by Steinernema feltiae (Rhabditida: Steinernematidae) </t>
  </si>
  <si>
    <t>Kramarz_et_al</t>
  </si>
  <si>
    <t xml:space="preserve">10.14411/eje.2016.039 </t>
  </si>
  <si>
    <t>paper55</t>
  </si>
  <si>
    <t>study91</t>
  </si>
  <si>
    <t xml:space="preserve">Lovesick: immunological costs of mating to male sagebrush crickets </t>
  </si>
  <si>
    <t>Leman_et_al</t>
  </si>
  <si>
    <t xml:space="preserve">10.1111/j.1420-9101.2008.01636.x </t>
  </si>
  <si>
    <t>paper56</t>
  </si>
  <si>
    <t>study92</t>
  </si>
  <si>
    <t>es273</t>
  </si>
  <si>
    <t>es274</t>
  </si>
  <si>
    <t>es275</t>
  </si>
  <si>
    <t>es276</t>
  </si>
  <si>
    <t>es277</t>
  </si>
  <si>
    <t>study93</t>
  </si>
  <si>
    <t>study94</t>
  </si>
  <si>
    <t>study95</t>
  </si>
  <si>
    <t>McKean&amp;Nunney</t>
  </si>
  <si>
    <t>bacterial load</t>
  </si>
  <si>
    <t xml:space="preserve">Intrasexual selection favours an immune-correlated colour ornament in a dragonfly </t>
  </si>
  <si>
    <t>Moore&amp;Martin</t>
  </si>
  <si>
    <t xml:space="preserve">10.1111/jeb.12953 </t>
  </si>
  <si>
    <t>paper58</t>
  </si>
  <si>
    <t>study97</t>
  </si>
  <si>
    <t>Dryad</t>
  </si>
  <si>
    <t>es278</t>
  </si>
  <si>
    <t>es279</t>
  </si>
  <si>
    <t xml:space="preserve">Terminal investment in multiple sexual signals: immune-challenged males produce more attractive pheromones  </t>
  </si>
  <si>
    <t xml:space="preserve">10.1111/j.1365-2435.2011.01914.x </t>
  </si>
  <si>
    <t>paper59</t>
  </si>
  <si>
    <t>study98</t>
  </si>
  <si>
    <t xml:space="preserve">Transgenerational plasticity following a dual pathogen and stress challenge in fruit flies </t>
  </si>
  <si>
    <t>Nystrand_et_al</t>
  </si>
  <si>
    <t xml:space="preserve">10.1186/s12862-016-0737-6 </t>
  </si>
  <si>
    <t>paper60</t>
  </si>
  <si>
    <t>study99</t>
  </si>
  <si>
    <t>es280</t>
  </si>
  <si>
    <t>es281</t>
  </si>
  <si>
    <t>reproductive output</t>
  </si>
  <si>
    <t>paper61</t>
  </si>
  <si>
    <t>study100</t>
  </si>
  <si>
    <t xml:space="preserve">Immune activation decreases sperm viability in both sexes and influences </t>
  </si>
  <si>
    <t>Radhakrishnan_et_al</t>
  </si>
  <si>
    <t xml:space="preserve">10.1098/rspb.2012.0654 </t>
  </si>
  <si>
    <t xml:space="preserve">Immunity and the expression of a secondary sexual trait in a horned beetle </t>
  </si>
  <si>
    <t>Pomfret&amp;Knell</t>
  </si>
  <si>
    <t xml:space="preserve">10.1093/beheco/arj050 </t>
  </si>
  <si>
    <t>paper62</t>
  </si>
  <si>
    <t>study101</t>
  </si>
  <si>
    <t xml:space="preserve">Do pheromones reveal male immunocompetence? </t>
  </si>
  <si>
    <t>Rantala_et_al</t>
  </si>
  <si>
    <t xml:space="preserve">10.1098/rspb.2002.2056 </t>
  </si>
  <si>
    <t>paper63</t>
  </si>
  <si>
    <t>study102</t>
  </si>
  <si>
    <t>es282</t>
  </si>
  <si>
    <t>es283</t>
  </si>
  <si>
    <t xml:space="preserve">Male dominance and immunocompetence in a field cricket </t>
  </si>
  <si>
    <t>Rantala&amp;Kortet</t>
  </si>
  <si>
    <t xml:space="preserve">10.1093/beheco/arg103 </t>
  </si>
  <si>
    <t>paper64</t>
  </si>
  <si>
    <t>study103</t>
  </si>
  <si>
    <t>es284</t>
  </si>
  <si>
    <t>es285</t>
  </si>
  <si>
    <t>1a</t>
  </si>
  <si>
    <t>1b</t>
  </si>
  <si>
    <t>paper65</t>
  </si>
  <si>
    <t xml:space="preserve">Male calling song provides a reliable signal of immune function in a cricket </t>
  </si>
  <si>
    <t>Ryder&amp;Siva-Jothy</t>
  </si>
  <si>
    <t>paper66</t>
  </si>
  <si>
    <t>study105</t>
  </si>
  <si>
    <t>es290</t>
  </si>
  <si>
    <t>Acheta domesticus</t>
  </si>
  <si>
    <t xml:space="preserve">Contest dynamics for food and reproductive resources are defined by health condition in a dung beetle </t>
  </si>
  <si>
    <t>Salomao_et_al</t>
  </si>
  <si>
    <t xml:space="preserve">10.1111/eth.12858 </t>
  </si>
  <si>
    <t>Canthon cyanelllus</t>
  </si>
  <si>
    <t xml:space="preserve">Humoral immunocompetence shifts in response to developmental stage change and mating access in Bactrocera dorsalis Hendel (Diptera: Tephritidae) </t>
  </si>
  <si>
    <t>Shi_et_al</t>
  </si>
  <si>
    <t xml:space="preserve">10.1017/S0007485314000911 </t>
  </si>
  <si>
    <t>es291</t>
  </si>
  <si>
    <t>Bacterial immunity traded for sperm viability in male crickets</t>
  </si>
  <si>
    <t>10.1126/science.1114500</t>
  </si>
  <si>
    <t>study106</t>
  </si>
  <si>
    <t>es292</t>
  </si>
  <si>
    <t>study107</t>
  </si>
  <si>
    <t>es293</t>
  </si>
  <si>
    <t>es294</t>
  </si>
  <si>
    <t>es295</t>
  </si>
  <si>
    <t>es296</t>
  </si>
  <si>
    <t xml:space="preserve">Resource allocation trade-off between sperm quality and immunity in the field cricket, Teleogryllus oceanicus </t>
  </si>
  <si>
    <t>Simmons_et_al</t>
  </si>
  <si>
    <t xml:space="preserve">10.1093/beheco/arr170 </t>
  </si>
  <si>
    <t>paper67</t>
  </si>
  <si>
    <t>es298</t>
  </si>
  <si>
    <t>A mechanistic link between parasite resistance and expression of a sexually selected trait in a damselfly</t>
  </si>
  <si>
    <t>Siva-Jothy</t>
  </si>
  <si>
    <t xml:space="preserve">10.1098/rspb.2000.1315 </t>
  </si>
  <si>
    <t>paper68</t>
  </si>
  <si>
    <t>study108</t>
  </si>
  <si>
    <t>paper69</t>
  </si>
  <si>
    <t>study109</t>
  </si>
  <si>
    <t xml:space="preserve">Do male mealworm beetles, Tenebrio molitor, sustain the honesty of pheromone signals under immune challenge? </t>
  </si>
  <si>
    <t>Vainikka_et_al</t>
  </si>
  <si>
    <t xml:space="preserve">10.1007/s10211-007-0031-0 </t>
  </si>
  <si>
    <t>es302</t>
  </si>
  <si>
    <t>es305</t>
  </si>
  <si>
    <t xml:space="preserve">Females prefer noninfected males as mates in the grain beetle Tenebrio molitor: evidence in pre- and postcopulatory behaviours </t>
  </si>
  <si>
    <t>Worden&amp;Parker</t>
  </si>
  <si>
    <t xml:space="preserve">10.1016/j.anbehav.2005.01.023 </t>
  </si>
  <si>
    <t>paper70</t>
  </si>
  <si>
    <t>study110</t>
  </si>
  <si>
    <t>es306</t>
  </si>
  <si>
    <t>es307</t>
  </si>
  <si>
    <t>es308</t>
  </si>
  <si>
    <t>es309</t>
  </si>
  <si>
    <t xml:space="preserve">Sex-biased immunity is driven by relative differences in reproductive investment </t>
  </si>
  <si>
    <t>Vincent&amp;Gwynne</t>
  </si>
  <si>
    <t xml:space="preserve">10.1098/rspb.2014.0333 </t>
  </si>
  <si>
    <t>paper71</t>
  </si>
  <si>
    <t>study111</t>
  </si>
  <si>
    <t>es310</t>
  </si>
  <si>
    <t>es311</t>
  </si>
  <si>
    <t>paper74</t>
  </si>
  <si>
    <t>study115</t>
  </si>
  <si>
    <t>es315</t>
  </si>
  <si>
    <t>es316</t>
  </si>
  <si>
    <t>es317</t>
  </si>
  <si>
    <t>es318</t>
  </si>
  <si>
    <t>es319</t>
  </si>
  <si>
    <t>es320</t>
  </si>
  <si>
    <t>es321</t>
  </si>
  <si>
    <t>es322</t>
  </si>
  <si>
    <t>es323</t>
  </si>
  <si>
    <t>es324</t>
  </si>
  <si>
    <t>es325</t>
  </si>
  <si>
    <t>es326</t>
  </si>
  <si>
    <t>es327</t>
  </si>
  <si>
    <t>es328</t>
  </si>
  <si>
    <t>es329</t>
  </si>
  <si>
    <t>es330</t>
  </si>
  <si>
    <t>es331</t>
  </si>
  <si>
    <t>es332</t>
  </si>
  <si>
    <t>es333</t>
  </si>
  <si>
    <t>es334</t>
  </si>
  <si>
    <t>Simmons&amp;Robert</t>
  </si>
  <si>
    <t>es336</t>
  </si>
  <si>
    <t>es337</t>
  </si>
  <si>
    <t>Condition-Dependent Trade-Off Between Weapon Size and Immunity in Males of the European Earwig</t>
  </si>
  <si>
    <t>Korner_et_al</t>
  </si>
  <si>
    <t>paper75</t>
  </si>
  <si>
    <t>study116</t>
  </si>
  <si>
    <t>es338</t>
  </si>
  <si>
    <t>es339</t>
  </si>
  <si>
    <t>es340</t>
  </si>
  <si>
    <t>es341</t>
  </si>
  <si>
    <t>es342</t>
  </si>
  <si>
    <t>es343</t>
  </si>
  <si>
    <t>es344</t>
  </si>
  <si>
    <t>es345</t>
  </si>
  <si>
    <t>es346</t>
  </si>
  <si>
    <t>es347</t>
  </si>
  <si>
    <t>es348</t>
  </si>
  <si>
    <t xml:space="preserve">THE GENETIC ARCHITECTURE OF IMMUNE DEFENSE AND REPRODUCTION IN MALE BOMBUS TERRESTRIS BUMBLEBEES </t>
  </si>
  <si>
    <t>Wilfert_et_al</t>
  </si>
  <si>
    <t xml:space="preserve">10.1111/j.1558-5646.2007.00079.x </t>
  </si>
  <si>
    <t>paper76</t>
  </si>
  <si>
    <t>study117</t>
  </si>
  <si>
    <t>es349</t>
  </si>
  <si>
    <t>paper77</t>
  </si>
  <si>
    <t>study118</t>
  </si>
  <si>
    <t>es350</t>
  </si>
  <si>
    <t xml:space="preserve">Female preference for male courtship song and its role as a signal of immune function and condition </t>
  </si>
  <si>
    <t>Tregenza_et_al</t>
  </si>
  <si>
    <t xml:space="preserve">10.1016/j.anbehav.2006.01.019 </t>
  </si>
  <si>
    <t>paper78</t>
  </si>
  <si>
    <t>study119</t>
  </si>
  <si>
    <t>es351</t>
  </si>
  <si>
    <t>es352</t>
  </si>
  <si>
    <t xml:space="preserve">Sex differences in immunity and rapid upregulation of immune defence during parental care in the burying beetle, Nicrophorus orbicollis </t>
  </si>
  <si>
    <t>Steiger_et_al</t>
  </si>
  <si>
    <t>10.1111/j.1365-2435.2011.01895.x</t>
  </si>
  <si>
    <t>paper79</t>
  </si>
  <si>
    <t>study120</t>
  </si>
  <si>
    <t>es353</t>
  </si>
  <si>
    <t>es355</t>
  </si>
  <si>
    <t>es357</t>
  </si>
  <si>
    <t>paper80</t>
  </si>
  <si>
    <t>study121</t>
  </si>
  <si>
    <t>es359</t>
  </si>
  <si>
    <t xml:space="preserve">Immunosenescence and the ability to survive bacterial infection in the red flour beetle Tribolium castaneum </t>
  </si>
  <si>
    <t xml:space="preserve">10.1111/1365-2656.12433 </t>
  </si>
  <si>
    <t>paper81</t>
  </si>
  <si>
    <t>study122</t>
  </si>
  <si>
    <t>es360</t>
  </si>
  <si>
    <t>es361</t>
  </si>
  <si>
    <t>es362</t>
  </si>
  <si>
    <t>es363</t>
  </si>
  <si>
    <t>es364</t>
  </si>
  <si>
    <t>es365</t>
  </si>
  <si>
    <t>es366</t>
  </si>
  <si>
    <t>es367</t>
  </si>
  <si>
    <t>es368</t>
  </si>
  <si>
    <t>Khan_et_al</t>
  </si>
  <si>
    <t>paper82</t>
  </si>
  <si>
    <t>study123</t>
  </si>
  <si>
    <t>es369</t>
  </si>
  <si>
    <t>es370</t>
  </si>
  <si>
    <t>es371</t>
  </si>
  <si>
    <t>es372</t>
  </si>
  <si>
    <t>es373</t>
  </si>
  <si>
    <t>es374</t>
  </si>
  <si>
    <t>study124</t>
  </si>
  <si>
    <t>study125</t>
  </si>
  <si>
    <t>colony forming units</t>
  </si>
  <si>
    <t>es375</t>
  </si>
  <si>
    <t>es376</t>
  </si>
  <si>
    <t xml:space="preserve">Terminal investment in the gustatory appeal of nuptial food gifts in crickets </t>
  </si>
  <si>
    <t>Duffield_et_al</t>
  </si>
  <si>
    <t xml:space="preserve">10.1111/jeb.12703 </t>
  </si>
  <si>
    <t>paper83</t>
  </si>
  <si>
    <t xml:space="preserve">Condition-dependence and sexual ornamentation: Effects of immune challenges on a highly sexually dimorphic grasshopper </t>
  </si>
  <si>
    <t>Valverde_et_al</t>
  </si>
  <si>
    <t xml:space="preserve">10.1111/1744-7917.12448 </t>
  </si>
  <si>
    <t>es377</t>
  </si>
  <si>
    <t>S4</t>
  </si>
  <si>
    <t>es378</t>
  </si>
  <si>
    <t>es379</t>
  </si>
  <si>
    <t>es380</t>
  </si>
  <si>
    <t>es381</t>
  </si>
  <si>
    <t>es382</t>
  </si>
  <si>
    <t>es383</t>
  </si>
  <si>
    <t>es384</t>
  </si>
  <si>
    <t>es385</t>
  </si>
  <si>
    <t>es386</t>
  </si>
  <si>
    <t>es387</t>
  </si>
  <si>
    <t>study126</t>
  </si>
  <si>
    <t>es388</t>
  </si>
  <si>
    <t>es389</t>
  </si>
  <si>
    <t>es391</t>
  </si>
  <si>
    <t>es392</t>
  </si>
  <si>
    <t>es393</t>
  </si>
  <si>
    <t>positive</t>
  </si>
  <si>
    <t>reproduction_direction</t>
  </si>
  <si>
    <t>immunity_direction</t>
  </si>
  <si>
    <t xml:space="preserve">10.1645/+43:450022- 3395(2001)087[1479:IBGGNM]2.0.CO;2 </t>
  </si>
  <si>
    <t>experiment1</t>
  </si>
  <si>
    <t>experiment2</t>
  </si>
  <si>
    <t>experiment3</t>
  </si>
  <si>
    <t>experiment4</t>
  </si>
  <si>
    <t>experiment5</t>
  </si>
  <si>
    <t>experiment6</t>
  </si>
  <si>
    <t>experiment7</t>
  </si>
  <si>
    <t>experiment8</t>
  </si>
  <si>
    <t>experiment9</t>
  </si>
  <si>
    <t>experiment13</t>
  </si>
  <si>
    <t>experiment14</t>
  </si>
  <si>
    <t>experiment15</t>
  </si>
  <si>
    <t>experiment16</t>
  </si>
  <si>
    <t>experiment17</t>
  </si>
  <si>
    <t>experiment18</t>
  </si>
  <si>
    <t>experiment19</t>
  </si>
  <si>
    <t>experiment20</t>
  </si>
  <si>
    <t>experiment21</t>
  </si>
  <si>
    <t>experiment25</t>
  </si>
  <si>
    <t>experiment26</t>
  </si>
  <si>
    <t>experiment27</t>
  </si>
  <si>
    <t>experiment28</t>
  </si>
  <si>
    <t>experiment29</t>
  </si>
  <si>
    <t>experiment30</t>
  </si>
  <si>
    <t>experiment31</t>
  </si>
  <si>
    <t>experiment32</t>
  </si>
  <si>
    <t>experiment33</t>
  </si>
  <si>
    <t>experiment34</t>
  </si>
  <si>
    <t>experiment35</t>
  </si>
  <si>
    <t>experiment37</t>
  </si>
  <si>
    <t>experiment38</t>
  </si>
  <si>
    <t>experiment39</t>
  </si>
  <si>
    <t>experiment40</t>
  </si>
  <si>
    <t>experiment41</t>
  </si>
  <si>
    <t>experiment42</t>
  </si>
  <si>
    <t>experiment43</t>
  </si>
  <si>
    <t>experiment44</t>
  </si>
  <si>
    <t>experiment45</t>
  </si>
  <si>
    <t>experiment46</t>
  </si>
  <si>
    <t>experiment47</t>
  </si>
  <si>
    <t>experiment48</t>
  </si>
  <si>
    <t>experiment49</t>
  </si>
  <si>
    <t>experiment50</t>
  </si>
  <si>
    <t>experiment51</t>
  </si>
  <si>
    <t>experiment52</t>
  </si>
  <si>
    <t>experiment53</t>
  </si>
  <si>
    <t>experiment54</t>
  </si>
  <si>
    <t>experiment55</t>
  </si>
  <si>
    <t>experiment56</t>
  </si>
  <si>
    <t>experiment57</t>
  </si>
  <si>
    <t>experiment58</t>
  </si>
  <si>
    <t>experiment59</t>
  </si>
  <si>
    <t>experiment60</t>
  </si>
  <si>
    <t>experiment61</t>
  </si>
  <si>
    <t>experiment62</t>
  </si>
  <si>
    <t>experiment63</t>
  </si>
  <si>
    <t>experiment64</t>
  </si>
  <si>
    <t>experiment65</t>
  </si>
  <si>
    <t>experiment66</t>
  </si>
  <si>
    <t>experiment67</t>
  </si>
  <si>
    <t>experiment68</t>
  </si>
  <si>
    <t>experiment69</t>
  </si>
  <si>
    <t>experiment70</t>
  </si>
  <si>
    <t>experiment71</t>
  </si>
  <si>
    <t>experiment72</t>
  </si>
  <si>
    <t>experiment73</t>
  </si>
  <si>
    <t>experiment74</t>
  </si>
  <si>
    <t>experiment75</t>
  </si>
  <si>
    <t>experiment76</t>
  </si>
  <si>
    <t>experiment77</t>
  </si>
  <si>
    <t>experiment78</t>
  </si>
  <si>
    <t>experiment79</t>
  </si>
  <si>
    <t>experiment80</t>
  </si>
  <si>
    <t>experiment81</t>
  </si>
  <si>
    <t>experiment82</t>
  </si>
  <si>
    <t>experiment83</t>
  </si>
  <si>
    <t>experiment84</t>
  </si>
  <si>
    <t>experiment85</t>
  </si>
  <si>
    <t>experiment86</t>
  </si>
  <si>
    <t>experiment87</t>
  </si>
  <si>
    <t>experiment88</t>
  </si>
  <si>
    <t>experiment89</t>
  </si>
  <si>
    <t>experiment90</t>
  </si>
  <si>
    <t>experiment91</t>
  </si>
  <si>
    <t>experiment92</t>
  </si>
  <si>
    <t>experiment93</t>
  </si>
  <si>
    <t>experiment94</t>
  </si>
  <si>
    <t>experiment95</t>
  </si>
  <si>
    <t>experiment96</t>
  </si>
  <si>
    <t>experiment97</t>
  </si>
  <si>
    <t>experiment98</t>
  </si>
  <si>
    <t>experiment99</t>
  </si>
  <si>
    <t>experiment100</t>
  </si>
  <si>
    <t>experiment107</t>
  </si>
  <si>
    <t>experiment108</t>
  </si>
  <si>
    <t>experiment109</t>
  </si>
  <si>
    <t>experiment110</t>
  </si>
  <si>
    <t>experiment111</t>
  </si>
  <si>
    <t>experiment112</t>
  </si>
  <si>
    <t>experiment113</t>
  </si>
  <si>
    <t>experiment114</t>
  </si>
  <si>
    <t>experiment115</t>
  </si>
  <si>
    <t>experiment116</t>
  </si>
  <si>
    <t>experiment117</t>
  </si>
  <si>
    <t>experiment118</t>
  </si>
  <si>
    <t>experiment119</t>
  </si>
  <si>
    <t>experiment120</t>
  </si>
  <si>
    <t>experiment121</t>
  </si>
  <si>
    <t>experiment122</t>
  </si>
  <si>
    <t>experiment123</t>
  </si>
  <si>
    <t>experiment124</t>
  </si>
  <si>
    <t>experiment125</t>
  </si>
  <si>
    <t>experiment126</t>
  </si>
  <si>
    <t>experiment127</t>
  </si>
  <si>
    <t>experiment128</t>
  </si>
  <si>
    <t>experiment130</t>
  </si>
  <si>
    <t>experiment131</t>
  </si>
  <si>
    <t>experiment132</t>
  </si>
  <si>
    <t>experiment133</t>
  </si>
  <si>
    <t>experiment134</t>
  </si>
  <si>
    <t>experiment135</t>
  </si>
  <si>
    <t>experiment136</t>
  </si>
  <si>
    <t>experiment137</t>
  </si>
  <si>
    <t>experiment138</t>
  </si>
  <si>
    <t>experiment139</t>
  </si>
  <si>
    <t>experiment140</t>
  </si>
  <si>
    <t>experiment141</t>
  </si>
  <si>
    <t>experiment142</t>
  </si>
  <si>
    <t>experiment143</t>
  </si>
  <si>
    <t>experiment144</t>
  </si>
  <si>
    <t>experiment145</t>
  </si>
  <si>
    <t>experiment146</t>
  </si>
  <si>
    <t>experiment147</t>
  </si>
  <si>
    <t>experiment148</t>
  </si>
  <si>
    <t>experiment149</t>
  </si>
  <si>
    <t>experiment150</t>
  </si>
  <si>
    <t>experiment151</t>
  </si>
  <si>
    <t>experiment153</t>
  </si>
  <si>
    <t>experiment154</t>
  </si>
  <si>
    <t>experiment155</t>
  </si>
  <si>
    <t>experiment156</t>
  </si>
  <si>
    <t>experiment157</t>
  </si>
  <si>
    <t>experiment158</t>
  </si>
  <si>
    <t>experiment159</t>
  </si>
  <si>
    <t>experiment160</t>
  </si>
  <si>
    <t>experiment161</t>
  </si>
  <si>
    <t>experiment162</t>
  </si>
  <si>
    <t>experiment163</t>
  </si>
  <si>
    <t>experiment164</t>
  </si>
  <si>
    <t>experiment165</t>
  </si>
  <si>
    <t>experiment166</t>
  </si>
  <si>
    <t>experiment167</t>
  </si>
  <si>
    <t>experiment168</t>
  </si>
  <si>
    <t>experiment169</t>
  </si>
  <si>
    <t>experiment170</t>
  </si>
  <si>
    <t>experiment171</t>
  </si>
  <si>
    <t>experiment172</t>
  </si>
  <si>
    <t>experiment173</t>
  </si>
  <si>
    <t>experiment174</t>
  </si>
  <si>
    <t>experiment176</t>
  </si>
  <si>
    <t>experiment177</t>
  </si>
  <si>
    <t>experiment178</t>
  </si>
  <si>
    <t>experiment179</t>
  </si>
  <si>
    <t>experiment180</t>
  </si>
  <si>
    <t>experiment181</t>
  </si>
  <si>
    <t>experiment182</t>
  </si>
  <si>
    <t>experiment183</t>
  </si>
  <si>
    <t>experiment184</t>
  </si>
  <si>
    <t>experiment185</t>
  </si>
  <si>
    <t>experiment186</t>
  </si>
  <si>
    <t>experiment187</t>
  </si>
  <si>
    <t>experiment188</t>
  </si>
  <si>
    <t>experiment189</t>
  </si>
  <si>
    <t>experiment190</t>
  </si>
  <si>
    <t>experiment191</t>
  </si>
  <si>
    <t>experiment192</t>
  </si>
  <si>
    <t>experiment193</t>
  </si>
  <si>
    <t>experiment194</t>
  </si>
  <si>
    <t>experiment195</t>
  </si>
  <si>
    <t>experiment196</t>
  </si>
  <si>
    <t>experiment197</t>
  </si>
  <si>
    <t>experiment198</t>
  </si>
  <si>
    <t>experiment199</t>
  </si>
  <si>
    <t>experiment200</t>
  </si>
  <si>
    <t>experiment201</t>
  </si>
  <si>
    <t>experiment202</t>
  </si>
  <si>
    <t>experiment203</t>
  </si>
  <si>
    <t>experiment204</t>
  </si>
  <si>
    <t>experiment205</t>
  </si>
  <si>
    <t xml:space="preserve">Assortative pairing in the amphipod Paracalliope fluviatilis: a role for parasites? </t>
  </si>
  <si>
    <t>Lefebvre et al</t>
  </si>
  <si>
    <t xml:space="preserve">10.1007/s10750-005-2211-0 </t>
  </si>
  <si>
    <t xml:space="preserve">Increased sexual activity reduces male immune function in Drosophila melanogaster </t>
  </si>
  <si>
    <t>10.1073 pnas.131216398</t>
  </si>
  <si>
    <t>Bateman's principle and immunity: phenotypically plastic reproductive strategies predict changes in immunological sex differences</t>
  </si>
  <si>
    <t>10.1554/04-657</t>
  </si>
  <si>
    <t>Sexual selection under scramble competition: mate location and mate choice in the eucalypt leaf beetle Chrysophtharta agricola (Chapuis) in the field</t>
  </si>
  <si>
    <t>Nahrung&amp;Allen</t>
  </si>
  <si>
    <t>10.1023/B:JOIR.0000031536.59988.0d</t>
  </si>
  <si>
    <t xml:space="preserve"> </t>
  </si>
  <si>
    <t>Effects of tapeworm infection on male reproductive success and mating vigor in the red flour beetle, Tribolium castaneum</t>
  </si>
  <si>
    <t>Pai&amp;Yan</t>
  </si>
  <si>
    <t>10.1645/0022-3395(2003)089[0516:EOTIOM]2.0.CO;2</t>
  </si>
  <si>
    <t>mating effort</t>
  </si>
  <si>
    <t xml:space="preserve">Effect of Ectoparasitic Mites on Sexual Selection in a Sonoran Desert Fruit Fly </t>
  </si>
  <si>
    <t>Polak&amp;Markow</t>
  </si>
  <si>
    <t>10.1111/j.1558-5646.1995.tb02302.x</t>
  </si>
  <si>
    <t>Drosophila nigrospiracula</t>
  </si>
  <si>
    <t>Parasite-induced risk of mortality elevates reproductive effort in male Drosophila</t>
  </si>
  <si>
    <t>Polak&amp;Starmer</t>
  </si>
  <si>
    <t>10.1098/rspb.1998.0559</t>
  </si>
  <si>
    <t>2a</t>
  </si>
  <si>
    <t>Immune system activation interacts with territory-holding potential and increases predation of the damselfly Calopteryx splendens by birds</t>
  </si>
  <si>
    <t>Rantala&amp;Vonkavaara</t>
  </si>
  <si>
    <t xml:space="preserve">10.1007/s00442-010-1582-8 </t>
  </si>
  <si>
    <t>Calopteryx splendens</t>
  </si>
  <si>
    <t>No Correlation Between Ectoparasitism and Male Mating Success in a Damselfly: Why Parasite Behavior Matters</t>
  </si>
  <si>
    <t>Rolff et al</t>
  </si>
  <si>
    <t>10.1023/A:1007867719887</t>
  </si>
  <si>
    <t>Coenagrion puella</t>
  </si>
  <si>
    <t xml:space="preserve">The effect of parasites on sex differences in selection </t>
  </si>
  <si>
    <t>Sharp&amp;Vincent</t>
  </si>
  <si>
    <t>10.1038/hdy.2014.110</t>
  </si>
  <si>
    <t>Variability in call structure and pairing successof male field crickets,
Variability in call structure and pairing successof male field crickets, Gryllus bimaculatus:the effects of age,size and parasite load</t>
  </si>
  <si>
    <t>Simmons&amp;Zuk</t>
  </si>
  <si>
    <t>10.1016/S0003-3472(05)80326-4</t>
  </si>
  <si>
    <t xml:space="preserve">Lack of parasite-mediated sexual selection in a ladybird/sexually transmitted disease system </t>
  </si>
  <si>
    <t>Webberley et al</t>
  </si>
  <si>
    <t>10.1006/anbe.2001.1877</t>
  </si>
  <si>
    <t>Adalia bipunctata</t>
  </si>
  <si>
    <t>10.1006/anbe.2001.1878</t>
  </si>
  <si>
    <t>10.1006/anbe.2001.1879</t>
  </si>
  <si>
    <t>10.1006/anbe.2001.1880</t>
  </si>
  <si>
    <t>10.1006/anbe.2001.1881</t>
  </si>
  <si>
    <t>10.1006/anbe.2001.1882</t>
  </si>
  <si>
    <t>10.1006/anbe.2001.1883</t>
  </si>
  <si>
    <t>10.1006/anbe.2001.1884</t>
  </si>
  <si>
    <t>10.1006/anbe.2001.1885</t>
  </si>
  <si>
    <t>10.1006/anbe.2001.1886</t>
  </si>
  <si>
    <t>10.1006/anbe.2001.1887</t>
  </si>
  <si>
    <t>10.1006/anbe.2001.1888</t>
  </si>
  <si>
    <t>10.1006/anbe.2001.1889</t>
  </si>
  <si>
    <t>10.1006/anbe.2001.1890</t>
  </si>
  <si>
    <t>10.1006/anbe.2001.1891</t>
  </si>
  <si>
    <t>10.1006/anbe.2001.1892</t>
  </si>
  <si>
    <t>10.1006/anbe.2001.1893</t>
  </si>
  <si>
    <t>10.1006/anbe.2001.1894</t>
  </si>
  <si>
    <t>10.1006/anbe.2001.1895</t>
  </si>
  <si>
    <t>Parasites reduce attractiveness and reproductive success in male grain beetles</t>
  </si>
  <si>
    <t>Worden et al</t>
  </si>
  <si>
    <t>10.1006/anbe.1999.1368</t>
  </si>
  <si>
    <t>Tenebrio molitor</t>
  </si>
  <si>
    <t>Selection by Parasites on Components of Fitness in Tribolium Beetles: The Effect of
Intraspecific Competition</t>
  </si>
  <si>
    <t>Yan&amp;Stevens</t>
  </si>
  <si>
    <t>10.1086/285825</t>
  </si>
  <si>
    <t>Teleogryllus oceanicus</t>
  </si>
  <si>
    <t>The effects of gregarine parasites, body size, and time of day on spermatophore production and sexual selection in field crickets</t>
  </si>
  <si>
    <t>Zuk</t>
  </si>
  <si>
    <t>10.1007/BF00324437</t>
  </si>
  <si>
    <t>Gryllus pennsylvanicus</t>
  </si>
  <si>
    <t>Variability in attractiveness of male field crickets (Orthoptera: Gryllidae) to females</t>
  </si>
  <si>
    <t>10.1016/S0003-3472(87)80182-3</t>
  </si>
  <si>
    <t>Parasite load, body size, and age of wild‐caught male field crickets (Orthoptera: Gryllidae): effects on sexual selection</t>
  </si>
  <si>
    <t xml:space="preserve">10.2307/2408912 </t>
  </si>
  <si>
    <t xml:space="preserve">A viral aphrodisiac in the cricket Gryllus texensis </t>
  </si>
  <si>
    <t>Adamo et al</t>
  </si>
  <si>
    <t>10.1242/jeb.103408</t>
  </si>
  <si>
    <t>Gryllus texensis</t>
  </si>
  <si>
    <t xml:space="preserve">Sexual advertisement and immune function in an arachnid species (Lycosidae) </t>
  </si>
  <si>
    <t>Ahtiainen et al</t>
  </si>
  <si>
    <t xml:space="preserve">10.1093/beheco/arh062 </t>
  </si>
  <si>
    <t>Immune function, dominance and mating success
in drumming male wolf spiders Hygrolycosa rubrofasciata</t>
  </si>
  <si>
    <t>10.1007/s00265-006-0226-9</t>
  </si>
  <si>
    <t>Barbosa et al</t>
  </si>
  <si>
    <t>10.1093/beheco/arv131</t>
  </si>
  <si>
    <t>Ephippiger diurnus</t>
  </si>
  <si>
    <t>Sex-specific consequences of an induced immune response on reproduction in a moth</t>
  </si>
  <si>
    <t>Barthel et al</t>
  </si>
  <si>
    <t>10.1186/s12862-015-0562-3</t>
  </si>
  <si>
    <t>Heliothis virescens</t>
  </si>
  <si>
    <t>Reproductive activities impair immunocompetence in Physocyclus dugesi (Araneae: Pholcidae)</t>
  </si>
  <si>
    <t>Calbacho-Rosa et al</t>
  </si>
  <si>
    <t>10.1636/Hi11-13.1</t>
  </si>
  <si>
    <t>Physocyclus dugesi</t>
  </si>
  <si>
    <t>Wing pigmentation, immune ability, fat reserves and territorial status in males of the rubyspot damselfly, Hetaerina americana</t>
  </si>
  <si>
    <t>Contreras-Garduño et al</t>
  </si>
  <si>
    <t>10.1007/s10164-005-0177-z</t>
  </si>
  <si>
    <t>4a</t>
  </si>
  <si>
    <t>The size of the red wing spot of the American rubyspot as a heightened condition-dependent ornament</t>
  </si>
  <si>
    <t>10.1093/beheco/arn026</t>
  </si>
  <si>
    <t>6a</t>
  </si>
  <si>
    <t>The relationship between male wing pigmentation and condition in Erythrodiplax funerea (Hagen) (Anisoptera: Libellulidae)</t>
  </si>
  <si>
    <t xml:space="preserve">Sexual selection in Hetaerina titia males: a possible key species to understand the evolution of pigmentation in calopterygid damselflies (Odonata: Zygoptera) </t>
  </si>
  <si>
    <t>10.1163/156853907781492672</t>
  </si>
  <si>
    <t>Hetaerina titia</t>
  </si>
  <si>
    <t>Sexual ornaments reveal the strength of melanization immune response and longevity of male paper wasps</t>
  </si>
  <si>
    <t>de Souza et al</t>
  </si>
  <si>
    <t>10.1016/j.jinsphys.2018.06.002</t>
  </si>
  <si>
    <t>Polistes simillimus</t>
  </si>
  <si>
    <t>Ejaculate Economics: Testing the Effects of Male Sexual History on the Trade-Off between Sperm and Immune Function in Australian Crickets</t>
  </si>
  <si>
    <t>Dowling &amp; Simmons</t>
  </si>
  <si>
    <t>10.1371/journal.pone.0030172</t>
  </si>
  <si>
    <t xml:space="preserve">Sexual Signaling and Immune Function in the Black Field Cricket Teleogryllus commodus </t>
  </si>
  <si>
    <t>Drayton et al</t>
  </si>
  <si>
    <t xml:space="preserve">10.1371/journal.pone.0039631 </t>
  </si>
  <si>
    <t>Immune investment and sperm competition in a beetle</t>
  </si>
  <si>
    <t>Drnevich et al</t>
  </si>
  <si>
    <t>10.1046/j.1365-3032.2002.00290.x</t>
  </si>
  <si>
    <t>cuticular melanization</t>
  </si>
  <si>
    <t>Natural selection drives the link between male immune function and reproductive potential</t>
  </si>
  <si>
    <t>Fedorka et al</t>
  </si>
  <si>
    <t>10.1139/z05-095</t>
  </si>
  <si>
    <t>The relative fitness of Drosophila melanogaster (Diptera, Drosophilidae) that have successfully defended themselves against the parasitoid Asobara tabida (Hymenoptera, Braconidae)</t>
  </si>
  <si>
    <t>Fellowes et al</t>
  </si>
  <si>
    <t>10.1046/j.1420-9101.1999.00018.x</t>
  </si>
  <si>
    <t>Are immune responses gender-related in Carabus lefebvrei (Coleoptera: Carabidae)?</t>
  </si>
  <si>
    <t>Giglio et al</t>
  </si>
  <si>
    <t xml:space="preserve">10.25431/1824-307X/isj.v13i1.102-110 </t>
  </si>
  <si>
    <t>Carabus lefebvrei</t>
  </si>
  <si>
    <t>Effects of juvenile infection on adult immunity and secondary sexual characters in a wolf spider</t>
  </si>
  <si>
    <t>Gilbert et al</t>
  </si>
  <si>
    <t>10.1093/beheco/arv241</t>
  </si>
  <si>
    <t>Schizocosa ocreata</t>
  </si>
  <si>
    <t xml:space="preserve">Evaluation of Providencia rettgeri pathogenicity against laboratory Mediterranean fruit fly strain (Ceratitis capitata) </t>
  </si>
  <si>
    <t>Guerfali et al</t>
  </si>
  <si>
    <t xml:space="preserve">10.1371/journal.pone.0196343 </t>
  </si>
  <si>
    <t>Molecular, physiological and behavioral responses of honey bee (Apis mellifera) drones to infection with microsporidian parasites</t>
  </si>
  <si>
    <t>Holt et al</t>
  </si>
  <si>
    <t>10.1016/j.jip.2018.04.008</t>
  </si>
  <si>
    <t>supplementary</t>
  </si>
  <si>
    <t>5a</t>
  </si>
  <si>
    <t>5b</t>
  </si>
  <si>
    <t>5c</t>
  </si>
  <si>
    <t>Sex differences in disease avoidance behavior vary across modes of pathogen exposure</t>
  </si>
  <si>
    <t>Keiser et al</t>
  </si>
  <si>
    <t xml:space="preserve">10.1111/eth.12969 </t>
  </si>
  <si>
    <t xml:space="preserve">Are attractive male crickets better able to pay the costs of an immune challenge? </t>
  </si>
  <si>
    <t>Kelly et al</t>
  </si>
  <si>
    <t>10.7717/peerj.1501</t>
  </si>
  <si>
    <t>Endurance in exercise is associated with courtship call rate in decorated crickets, Gryllodes sigillatus</t>
  </si>
  <si>
    <t>Ketola et al</t>
  </si>
  <si>
    <t>Sexual attractiveness of immune-challenged male mealworm beetles suggests terminal investment in reproduction</t>
  </si>
  <si>
    <t>Kivleniece et al</t>
  </si>
  <si>
    <t xml:space="preserve">10.1016/j.anbehav.2010.09.004 </t>
  </si>
  <si>
    <t xml:space="preserve">Resource availability as a proxy for terminal investment in a beetle </t>
  </si>
  <si>
    <t>Krams et al</t>
  </si>
  <si>
    <t>10.1007/s00442-014-3210-5</t>
  </si>
  <si>
    <t xml:space="preserve">The correlation between immunocompetence and an ornament trait changes over lifetime in Panorpa vulgaris scorpionflies </t>
  </si>
  <si>
    <t>Kurtz</t>
  </si>
  <si>
    <t>10.1016/j.zool.2007.07.001</t>
  </si>
  <si>
    <t>Mecoptera</t>
  </si>
  <si>
    <t>The effect of maternal and paternal immune challenge on offspring immunity and reproduction in a cricket</t>
  </si>
  <si>
    <t>McNamara et al</t>
  </si>
  <si>
    <t>10.1111/jeb.12376</t>
  </si>
  <si>
    <t>Immune deployment increases larval vulnerability to predators and inhibits adult life-history traits in a dragonfly</t>
  </si>
  <si>
    <t>Moore et al</t>
  </si>
  <si>
    <t xml:space="preserve">10.1111/jeb.13337 </t>
  </si>
  <si>
    <t>Dose-dependent effects of an immune challenge at both ultimate and proximate levels in Drosophila melanogaster</t>
  </si>
  <si>
    <t>Nystrand&amp;Dowling</t>
  </si>
  <si>
    <t xml:space="preserve">10.1111/jeb.12364 </t>
  </si>
  <si>
    <t>Consequences of Nosema apis infection for male honey bees and their fertility</t>
  </si>
  <si>
    <t>Peng et al</t>
  </si>
  <si>
    <t>10.1038/srep10565</t>
  </si>
  <si>
    <t>6b</t>
  </si>
  <si>
    <t>Dominance is not always an honest signal of male quality, but females may be able to detect the dishonesty</t>
  </si>
  <si>
    <t>Pölkki et al</t>
  </si>
  <si>
    <t>10.1098/rsbl.2012.1002</t>
  </si>
  <si>
    <t>Gryllus integer</t>
  </si>
  <si>
    <t>Immunocompetence, developmental stability and wingspot size in the damsel􏰞y Calopteryx splendens L.</t>
  </si>
  <si>
    <t>Rantala et al</t>
  </si>
  <si>
    <t>10.1098/rspb.2000.1305</t>
  </si>
  <si>
    <t>Courtship song and immune function in the field cricket
Gryllus bimaculatus</t>
  </si>
  <si>
    <t>10.1046/j.1095-8312.2003.00202.x</t>
  </si>
  <si>
    <t>Copulation corrupts immunity: A mechanism for a cost of mating in insects</t>
  </si>
  <si>
    <t>Rolff&amp;Siva-Jothy</t>
  </si>
  <si>
    <t>10.1073/pnas.152271999</t>
  </si>
  <si>
    <t>Sexual dimorphism in immune response: Testing the hypothesis in an insect species with two male morphs</t>
  </si>
  <si>
    <t>Ruiz-Guzmán et al</t>
  </si>
  <si>
    <t>10.1111/j.1744-7917.2012.01551.x</t>
  </si>
  <si>
    <t>Paraphlebia zoe</t>
  </si>
  <si>
    <t>1c</t>
  </si>
  <si>
    <t>Modulation of sexual signalling by immune challenged male mealworm beetles (Tenebrio molitor, L.): evidence for terminal investment and dishonesty</t>
  </si>
  <si>
    <t>Sadd et al</t>
  </si>
  <si>
    <t>10.1111/j.1420-9101.2005.01062.x</t>
  </si>
  <si>
    <t>Sex and immunity in the yellow dung fly Scathophaga stercoraria</t>
  </si>
  <si>
    <t>Schwarzenbach et al</t>
  </si>
  <si>
    <t>10.1111/j.1420-9101.2004.00820.x</t>
  </si>
  <si>
    <t>Scathophaga stercoraria</t>
  </si>
  <si>
    <t>Immune function reflected in calling song characteristics in a natural population of the cricket Teleogryllus commodus</t>
  </si>
  <si>
    <t>Simmons et al</t>
  </si>
  <si>
    <t>10.1016/j.anbehav.2004.09.011</t>
  </si>
  <si>
    <t>Teleogryllus commodus</t>
  </si>
  <si>
    <t>Quantitative genetic variation in courtship song and its covariation with immune function and sperm quality in the field cricket Teleogryllus oceanicus</t>
  </si>
  <si>
    <t>10.1093/beheco/arq154</t>
  </si>
  <si>
    <t>Decreased immune response as a proximate cost of copulation and oviposition in a damselfly</t>
  </si>
  <si>
    <t>Siva-Jothy et al</t>
  </si>
  <si>
    <t>10.1046/j.1365-3032.1998.233090.x</t>
  </si>
  <si>
    <t>Matrona basilaris japonica Fester</t>
  </si>
  <si>
    <t>Grasshopper calling songs convey information about condition and health of males</t>
  </si>
  <si>
    <t>Stange&amp;Ronacher</t>
  </si>
  <si>
    <t>10.1007/s00359-012-0709-2</t>
  </si>
  <si>
    <t>Chorthippus biguttulus</t>
  </si>
  <si>
    <t>Short independent lives and selection for maximal sperm survival make investment in immune defences unprofitable for leaf-cutting ant males</t>
  </si>
  <si>
    <t>Stürup et al</t>
  </si>
  <si>
    <t>10.1007/s00265-014-1707-x</t>
  </si>
  <si>
    <t>Atta colombica</t>
  </si>
  <si>
    <t>Acromyrmex echinatior</t>
  </si>
  <si>
    <t>Dominance status and sex influence nutritional state and immunity in burying beetles Nicrophorus orbicollis</t>
  </si>
  <si>
    <t>10.1093/beheco/ars082</t>
  </si>
  <si>
    <t>Nicrophorus orbicollis</t>
  </si>
  <si>
    <t>Dominance and immune function in the F1 generation of wild caught field crickets</t>
  </si>
  <si>
    <t>Väänänen et al</t>
  </si>
  <si>
    <t>10.1163/156853906777791388</t>
  </si>
  <si>
    <t>Copulation enhances resistance against an entomopathogenic
fungus in the mealworm beetle Tenebrio molitor</t>
  </si>
  <si>
    <t>Valtonen et al</t>
  </si>
  <si>
    <t>10.1017/S0031182009992009</t>
  </si>
  <si>
    <t>Age-dependent variation in the terminal investment threshold in male crickets</t>
  </si>
  <si>
    <t>Duffield et al</t>
  </si>
  <si>
    <t>10.1111/evo.13443</t>
  </si>
  <si>
    <t>Juvenile immune status affects the expression of a sexually selected trait in field crickets</t>
  </si>
  <si>
    <t>Jacot et al</t>
  </si>
  <si>
    <t>10.1111/j.1420-9101.2005.00899.x</t>
  </si>
  <si>
    <t>Immunocompetence and resource holding potential in the damselfly, Calopteryx virgo L.</t>
  </si>
  <si>
    <t>Koskimäki et al</t>
  </si>
  <si>
    <t>10.1093/beheco/arg088</t>
  </si>
  <si>
    <t>Calopteryx virgo</t>
  </si>
  <si>
    <t>Female choice reveals terminal investment in male mealworm beetles, Tenebrio molitor, after a repeated activation of the immune system</t>
  </si>
  <si>
    <t>10.1673/031.011.5601</t>
  </si>
  <si>
    <t>paper84</t>
  </si>
  <si>
    <t>paper85</t>
  </si>
  <si>
    <t>paper86</t>
  </si>
  <si>
    <t>paper87</t>
  </si>
  <si>
    <t>paper88</t>
  </si>
  <si>
    <t>paper89</t>
  </si>
  <si>
    <t>paper90</t>
  </si>
  <si>
    <t>paper91</t>
  </si>
  <si>
    <t>paper92</t>
  </si>
  <si>
    <t>paper93</t>
  </si>
  <si>
    <t>paper94</t>
  </si>
  <si>
    <t>paper95</t>
  </si>
  <si>
    <t>paper97</t>
  </si>
  <si>
    <t>paper98</t>
  </si>
  <si>
    <t>paper99</t>
  </si>
  <si>
    <t>paper101</t>
  </si>
  <si>
    <t>paper102</t>
  </si>
  <si>
    <t>paper103</t>
  </si>
  <si>
    <t>paper104</t>
  </si>
  <si>
    <t>paper105</t>
  </si>
  <si>
    <t>paper106</t>
  </si>
  <si>
    <t>paper108</t>
  </si>
  <si>
    <t>paper109</t>
  </si>
  <si>
    <t>paper110</t>
  </si>
  <si>
    <t>paper111</t>
  </si>
  <si>
    <t>paper112</t>
  </si>
  <si>
    <t>paper113</t>
  </si>
  <si>
    <t>paper114</t>
  </si>
  <si>
    <t>paper115</t>
  </si>
  <si>
    <t>paper116</t>
  </si>
  <si>
    <t>paper117</t>
  </si>
  <si>
    <t>paper118</t>
  </si>
  <si>
    <t>paper119</t>
  </si>
  <si>
    <t>paper120</t>
  </si>
  <si>
    <t>paper121</t>
  </si>
  <si>
    <t>paper122</t>
  </si>
  <si>
    <t>paper124</t>
  </si>
  <si>
    <t>paper126</t>
  </si>
  <si>
    <t>paper127</t>
  </si>
  <si>
    <t>paper128</t>
  </si>
  <si>
    <t>paper129</t>
  </si>
  <si>
    <t>paper130</t>
  </si>
  <si>
    <t>paper131</t>
  </si>
  <si>
    <t>paper132</t>
  </si>
  <si>
    <t>paper134</t>
  </si>
  <si>
    <t>paper135</t>
  </si>
  <si>
    <t>paper136</t>
  </si>
  <si>
    <t>paper137</t>
  </si>
  <si>
    <t>paper138</t>
  </si>
  <si>
    <t>paper139</t>
  </si>
  <si>
    <t>paper140</t>
  </si>
  <si>
    <t>paper141</t>
  </si>
  <si>
    <t>paper142</t>
  </si>
  <si>
    <t>paper143</t>
  </si>
  <si>
    <t>paper144</t>
  </si>
  <si>
    <t>paper145</t>
  </si>
  <si>
    <t>paper146</t>
  </si>
  <si>
    <t>paper147</t>
  </si>
  <si>
    <t>paper148</t>
  </si>
  <si>
    <t>paper149</t>
  </si>
  <si>
    <t>paper150</t>
  </si>
  <si>
    <t>paper151</t>
  </si>
  <si>
    <t>paper152</t>
  </si>
  <si>
    <t>paper153</t>
  </si>
  <si>
    <t>paper154</t>
  </si>
  <si>
    <t>paper155</t>
  </si>
  <si>
    <t>paper156</t>
  </si>
  <si>
    <t>study128</t>
  </si>
  <si>
    <t>study129</t>
  </si>
  <si>
    <t>study130</t>
  </si>
  <si>
    <t>study131</t>
  </si>
  <si>
    <t>study132</t>
  </si>
  <si>
    <t>study136</t>
  </si>
  <si>
    <t>study137</t>
  </si>
  <si>
    <t>study138</t>
  </si>
  <si>
    <t>study139</t>
  </si>
  <si>
    <t>study140</t>
  </si>
  <si>
    <t>study141</t>
  </si>
  <si>
    <t>study142</t>
  </si>
  <si>
    <t>study143</t>
  </si>
  <si>
    <t>study144</t>
  </si>
  <si>
    <t>study145</t>
  </si>
  <si>
    <t>study146</t>
  </si>
  <si>
    <t>study147</t>
  </si>
  <si>
    <t>study149</t>
  </si>
  <si>
    <t>study150</t>
  </si>
  <si>
    <t>study152</t>
  </si>
  <si>
    <t>study153</t>
  </si>
  <si>
    <t>study155</t>
  </si>
  <si>
    <t>study156</t>
  </si>
  <si>
    <t>study157</t>
  </si>
  <si>
    <t>study158</t>
  </si>
  <si>
    <t>study160</t>
  </si>
  <si>
    <t>study161</t>
  </si>
  <si>
    <t>study162</t>
  </si>
  <si>
    <t>study163</t>
  </si>
  <si>
    <t>study164</t>
  </si>
  <si>
    <t>study165</t>
  </si>
  <si>
    <t>study166</t>
  </si>
  <si>
    <t>study167</t>
  </si>
  <si>
    <t>study168</t>
  </si>
  <si>
    <t>study169</t>
  </si>
  <si>
    <t>study170</t>
  </si>
  <si>
    <t>study171</t>
  </si>
  <si>
    <t>study172</t>
  </si>
  <si>
    <t>study173</t>
  </si>
  <si>
    <t>study174</t>
  </si>
  <si>
    <t>study175</t>
  </si>
  <si>
    <t>study177</t>
  </si>
  <si>
    <t>study179</t>
  </si>
  <si>
    <t>study180</t>
  </si>
  <si>
    <t>study181</t>
  </si>
  <si>
    <t>study182</t>
  </si>
  <si>
    <t>study183</t>
  </si>
  <si>
    <t>study184</t>
  </si>
  <si>
    <t>study185</t>
  </si>
  <si>
    <t>study187</t>
  </si>
  <si>
    <t>study188</t>
  </si>
  <si>
    <t>study189</t>
  </si>
  <si>
    <t>study190</t>
  </si>
  <si>
    <t>study191</t>
  </si>
  <si>
    <t>study192</t>
  </si>
  <si>
    <t>study193</t>
  </si>
  <si>
    <t>study194</t>
  </si>
  <si>
    <t>study195</t>
  </si>
  <si>
    <t>study196</t>
  </si>
  <si>
    <t>study197</t>
  </si>
  <si>
    <t>study198</t>
  </si>
  <si>
    <t>study199</t>
  </si>
  <si>
    <t>study200</t>
  </si>
  <si>
    <t>study201</t>
  </si>
  <si>
    <t>study202</t>
  </si>
  <si>
    <t>study204</t>
  </si>
  <si>
    <t>study213</t>
  </si>
  <si>
    <t>study214</t>
  </si>
  <si>
    <t>study215</t>
  </si>
  <si>
    <t>study216</t>
  </si>
  <si>
    <t>study217</t>
  </si>
  <si>
    <t>study218</t>
  </si>
  <si>
    <t>study219</t>
  </si>
  <si>
    <t>experiment207</t>
  </si>
  <si>
    <t>experiment208</t>
  </si>
  <si>
    <t>experiment209</t>
  </si>
  <si>
    <t>experiment211</t>
  </si>
  <si>
    <t>experiment212</t>
  </si>
  <si>
    <t>experiment213</t>
  </si>
  <si>
    <t>experiment214</t>
  </si>
  <si>
    <t>experiment215</t>
  </si>
  <si>
    <t>experiment216</t>
  </si>
  <si>
    <t>experiment217</t>
  </si>
  <si>
    <t>experiment218</t>
  </si>
  <si>
    <t>experiment219</t>
  </si>
  <si>
    <t>experiment220</t>
  </si>
  <si>
    <t>experiment221</t>
  </si>
  <si>
    <t>experiment222</t>
  </si>
  <si>
    <t>experiment223</t>
  </si>
  <si>
    <t>experiment224</t>
  </si>
  <si>
    <t>experiment225</t>
  </si>
  <si>
    <t>experiment226</t>
  </si>
  <si>
    <t>experiment227</t>
  </si>
  <si>
    <t>experiment228</t>
  </si>
  <si>
    <t>experiment229</t>
  </si>
  <si>
    <t>experiment231</t>
  </si>
  <si>
    <t>experiment232</t>
  </si>
  <si>
    <t>experiment233</t>
  </si>
  <si>
    <t>experiment234</t>
  </si>
  <si>
    <t>experiment235</t>
  </si>
  <si>
    <t>experiment236</t>
  </si>
  <si>
    <t>experiment237</t>
  </si>
  <si>
    <t>experiment238</t>
  </si>
  <si>
    <t>experiment239</t>
  </si>
  <si>
    <t>experiment240</t>
  </si>
  <si>
    <t>experiment241</t>
  </si>
  <si>
    <t>experiment243</t>
  </si>
  <si>
    <t>experiment244</t>
  </si>
  <si>
    <t>experiment245</t>
  </si>
  <si>
    <t>experiment246</t>
  </si>
  <si>
    <t>experiment247</t>
  </si>
  <si>
    <t>experiment248</t>
  </si>
  <si>
    <t>experiment249</t>
  </si>
  <si>
    <t>experiment250</t>
  </si>
  <si>
    <t>experiment251</t>
  </si>
  <si>
    <t>experiment252</t>
  </si>
  <si>
    <t>experiment253</t>
  </si>
  <si>
    <t>experiment254</t>
  </si>
  <si>
    <t>experiment255</t>
  </si>
  <si>
    <t>experiment256</t>
  </si>
  <si>
    <t>experiment257</t>
  </si>
  <si>
    <t>experiment258</t>
  </si>
  <si>
    <t>experiment259</t>
  </si>
  <si>
    <t>experiment261</t>
  </si>
  <si>
    <t>experiment263</t>
  </si>
  <si>
    <t>experiment264</t>
  </si>
  <si>
    <t>experiment265</t>
  </si>
  <si>
    <t>experiment266</t>
  </si>
  <si>
    <t>experiment267</t>
  </si>
  <si>
    <t>experiment268</t>
  </si>
  <si>
    <t>experiment269</t>
  </si>
  <si>
    <t>experiment271</t>
  </si>
  <si>
    <t>experiment272</t>
  </si>
  <si>
    <t>experiment273</t>
  </si>
  <si>
    <t>experiment274</t>
  </si>
  <si>
    <t>experiment275</t>
  </si>
  <si>
    <t>experiment276</t>
  </si>
  <si>
    <t>experiment277</t>
  </si>
  <si>
    <t>experiment278</t>
  </si>
  <si>
    <t>experiment279</t>
  </si>
  <si>
    <t>experiment280</t>
  </si>
  <si>
    <t>experiment281</t>
  </si>
  <si>
    <t>experiment282</t>
  </si>
  <si>
    <t>experiment283</t>
  </si>
  <si>
    <t>experiment284</t>
  </si>
  <si>
    <t>experiment285</t>
  </si>
  <si>
    <t>experiment286</t>
  </si>
  <si>
    <t>experiment287</t>
  </si>
  <si>
    <t>experiment288</t>
  </si>
  <si>
    <t>experiment289</t>
  </si>
  <si>
    <t>experiment290</t>
  </si>
  <si>
    <t>experiment291</t>
  </si>
  <si>
    <t>experiment292</t>
  </si>
  <si>
    <t>experiment293</t>
  </si>
  <si>
    <t>experiment294</t>
  </si>
  <si>
    <t>es395</t>
  </si>
  <si>
    <t>es396</t>
  </si>
  <si>
    <t>es397</t>
  </si>
  <si>
    <t>es398</t>
  </si>
  <si>
    <t>es399</t>
  </si>
  <si>
    <t>es400</t>
  </si>
  <si>
    <t>es401</t>
  </si>
  <si>
    <t>es402</t>
  </si>
  <si>
    <t>es403</t>
  </si>
  <si>
    <t>es404</t>
  </si>
  <si>
    <t>es406</t>
  </si>
  <si>
    <t>es407</t>
  </si>
  <si>
    <t>es408</t>
  </si>
  <si>
    <t>es409</t>
  </si>
  <si>
    <t>es410</t>
  </si>
  <si>
    <t>es411</t>
  </si>
  <si>
    <t>es412</t>
  </si>
  <si>
    <t>es413</t>
  </si>
  <si>
    <t>es414</t>
  </si>
  <si>
    <t>es415</t>
  </si>
  <si>
    <t>es416</t>
  </si>
  <si>
    <t>es417</t>
  </si>
  <si>
    <t>es423</t>
  </si>
  <si>
    <t>es424</t>
  </si>
  <si>
    <t>es425</t>
  </si>
  <si>
    <t>es426</t>
  </si>
  <si>
    <t>es427</t>
  </si>
  <si>
    <t>es428</t>
  </si>
  <si>
    <t>es429</t>
  </si>
  <si>
    <t>es430</t>
  </si>
  <si>
    <t>es431</t>
  </si>
  <si>
    <t>es432</t>
  </si>
  <si>
    <t>es433</t>
  </si>
  <si>
    <t>es434</t>
  </si>
  <si>
    <t>es435</t>
  </si>
  <si>
    <t>es436</t>
  </si>
  <si>
    <t>es437</t>
  </si>
  <si>
    <t>es438</t>
  </si>
  <si>
    <t>es439</t>
  </si>
  <si>
    <t>es440</t>
  </si>
  <si>
    <t>es441</t>
  </si>
  <si>
    <t>es442</t>
  </si>
  <si>
    <t>es443</t>
  </si>
  <si>
    <t>es444</t>
  </si>
  <si>
    <t>es446</t>
  </si>
  <si>
    <t>es447</t>
  </si>
  <si>
    <t>es448</t>
  </si>
  <si>
    <t>es449</t>
  </si>
  <si>
    <t>es450</t>
  </si>
  <si>
    <t>es451</t>
  </si>
  <si>
    <t>es452</t>
  </si>
  <si>
    <t>es455</t>
  </si>
  <si>
    <t>es456</t>
  </si>
  <si>
    <t>es457</t>
  </si>
  <si>
    <t>es458</t>
  </si>
  <si>
    <t>es459</t>
  </si>
  <si>
    <t>es460</t>
  </si>
  <si>
    <t>es461</t>
  </si>
  <si>
    <t>es462</t>
  </si>
  <si>
    <t>es463</t>
  </si>
  <si>
    <t>es464</t>
  </si>
  <si>
    <t>es465</t>
  </si>
  <si>
    <t>es466</t>
  </si>
  <si>
    <t>es467</t>
  </si>
  <si>
    <t>es468</t>
  </si>
  <si>
    <t>es469</t>
  </si>
  <si>
    <t>es470</t>
  </si>
  <si>
    <t>es471</t>
  </si>
  <si>
    <t>es472</t>
  </si>
  <si>
    <t>es473</t>
  </si>
  <si>
    <t>es474</t>
  </si>
  <si>
    <t>es475</t>
  </si>
  <si>
    <t>es476</t>
  </si>
  <si>
    <t>es477</t>
  </si>
  <si>
    <t>es478</t>
  </si>
  <si>
    <t>es484</t>
  </si>
  <si>
    <t>es485</t>
  </si>
  <si>
    <t>es486</t>
  </si>
  <si>
    <t>es487</t>
  </si>
  <si>
    <t>es488</t>
  </si>
  <si>
    <t>es489</t>
  </si>
  <si>
    <t>es490</t>
  </si>
  <si>
    <t>es491</t>
  </si>
  <si>
    <t>es492</t>
  </si>
  <si>
    <t>es493</t>
  </si>
  <si>
    <t>es494</t>
  </si>
  <si>
    <t>es495</t>
  </si>
  <si>
    <t>es496</t>
  </si>
  <si>
    <t>es497</t>
  </si>
  <si>
    <t>es498</t>
  </si>
  <si>
    <t>es499</t>
  </si>
  <si>
    <t>es500</t>
  </si>
  <si>
    <t>es501</t>
  </si>
  <si>
    <t>es502</t>
  </si>
  <si>
    <t>es503</t>
  </si>
  <si>
    <t>es504</t>
  </si>
  <si>
    <t>es505</t>
  </si>
  <si>
    <t>es506</t>
  </si>
  <si>
    <t>es507</t>
  </si>
  <si>
    <t>es510</t>
  </si>
  <si>
    <t>es511</t>
  </si>
  <si>
    <t>es512</t>
  </si>
  <si>
    <t>es513</t>
  </si>
  <si>
    <t>es514</t>
  </si>
  <si>
    <t>es515</t>
  </si>
  <si>
    <t>es516</t>
  </si>
  <si>
    <t>es517</t>
  </si>
  <si>
    <t>es518</t>
  </si>
  <si>
    <t>es519</t>
  </si>
  <si>
    <t>es520</t>
  </si>
  <si>
    <t>es521</t>
  </si>
  <si>
    <t>es522</t>
  </si>
  <si>
    <t>es523</t>
  </si>
  <si>
    <t>es524</t>
  </si>
  <si>
    <t>es525</t>
  </si>
  <si>
    <t>es526</t>
  </si>
  <si>
    <t>es527</t>
  </si>
  <si>
    <t>es528</t>
  </si>
  <si>
    <t>es529</t>
  </si>
  <si>
    <t>es530</t>
  </si>
  <si>
    <t>es531</t>
  </si>
  <si>
    <t>es532</t>
  </si>
  <si>
    <t>es533</t>
  </si>
  <si>
    <t>es534</t>
  </si>
  <si>
    <t>es535</t>
  </si>
  <si>
    <t>es536</t>
  </si>
  <si>
    <t>es537</t>
  </si>
  <si>
    <t>es538</t>
  </si>
  <si>
    <t>es539</t>
  </si>
  <si>
    <t>es540</t>
  </si>
  <si>
    <t>es541</t>
  </si>
  <si>
    <t>es542</t>
  </si>
  <si>
    <t>es543</t>
  </si>
  <si>
    <t>es544</t>
  </si>
  <si>
    <t>es545</t>
  </si>
  <si>
    <t>es548</t>
  </si>
  <si>
    <t>es550</t>
  </si>
  <si>
    <t>es553</t>
  </si>
  <si>
    <t>es554</t>
  </si>
  <si>
    <t>es555</t>
  </si>
  <si>
    <t>es556</t>
  </si>
  <si>
    <t>es557</t>
  </si>
  <si>
    <t>es565</t>
  </si>
  <si>
    <t>es566</t>
  </si>
  <si>
    <t>es567</t>
  </si>
  <si>
    <t>es568</t>
  </si>
  <si>
    <t>es569</t>
  </si>
  <si>
    <t>es570</t>
  </si>
  <si>
    <t>es571</t>
  </si>
  <si>
    <t>es572</t>
  </si>
  <si>
    <t>es573</t>
  </si>
  <si>
    <t>es574</t>
  </si>
  <si>
    <t>es575</t>
  </si>
  <si>
    <t>es576</t>
  </si>
  <si>
    <t>es577</t>
  </si>
  <si>
    <t>es578</t>
  </si>
  <si>
    <t>es579</t>
  </si>
  <si>
    <t>es580</t>
  </si>
  <si>
    <t>es581</t>
  </si>
  <si>
    <t>es582</t>
  </si>
  <si>
    <t>es583</t>
  </si>
  <si>
    <t>es584</t>
  </si>
  <si>
    <t>es585</t>
  </si>
  <si>
    <t>es590</t>
  </si>
  <si>
    <t>es591</t>
  </si>
  <si>
    <t>es592</t>
  </si>
  <si>
    <t>es593</t>
  </si>
  <si>
    <t>es594</t>
  </si>
  <si>
    <t>es595</t>
  </si>
  <si>
    <t>es596</t>
  </si>
  <si>
    <t>es597</t>
  </si>
  <si>
    <t>es598</t>
  </si>
  <si>
    <t>es599</t>
  </si>
  <si>
    <t>es600</t>
  </si>
  <si>
    <t>es601</t>
  </si>
  <si>
    <t>es602</t>
  </si>
  <si>
    <t>es603</t>
  </si>
  <si>
    <t>es604</t>
  </si>
  <si>
    <t>es605</t>
  </si>
  <si>
    <t>es606</t>
  </si>
  <si>
    <t>es607</t>
  </si>
  <si>
    <t>es608</t>
  </si>
  <si>
    <t>es609</t>
  </si>
  <si>
    <t>es610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</si>
  <si>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</si>
  <si>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</si>
  <si>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</si>
  <si>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</si>
  <si>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</si>
  <si>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</si>
  <si>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</si>
  <si>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</si>
  <si>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es619</t>
  </si>
  <si>
    <t>es620</t>
  </si>
  <si>
    <t>es621</t>
  </si>
  <si>
    <t>es622</t>
  </si>
  <si>
    <t>es623</t>
  </si>
  <si>
    <t>es624</t>
  </si>
  <si>
    <t>es625</t>
  </si>
  <si>
    <t>es626</t>
  </si>
  <si>
    <t>es627</t>
  </si>
  <si>
    <t>es628</t>
  </si>
  <si>
    <t>es629</t>
  </si>
  <si>
    <t>es630</t>
  </si>
  <si>
    <t>es631</t>
  </si>
  <si>
    <t>es632</t>
  </si>
  <si>
    <t>es633</t>
  </si>
  <si>
    <t>es634</t>
  </si>
  <si>
    <t>es635</t>
  </si>
  <si>
    <t>es636</t>
  </si>
  <si>
    <t>es637</t>
  </si>
  <si>
    <t>es638</t>
  </si>
  <si>
    <t>es639</t>
  </si>
  <si>
    <t>es640</t>
  </si>
  <si>
    <t>es641</t>
  </si>
  <si>
    <t>es642</t>
  </si>
  <si>
    <t>es643</t>
  </si>
  <si>
    <t>es644</t>
  </si>
  <si>
    <t>es645</t>
  </si>
  <si>
    <t>es646</t>
  </si>
  <si>
    <t>es647</t>
  </si>
  <si>
    <t>es648</t>
  </si>
  <si>
    <t>es649</t>
  </si>
  <si>
    <t>es650</t>
  </si>
  <si>
    <t>es651</t>
  </si>
  <si>
    <t>es652</t>
  </si>
  <si>
    <t>es653</t>
  </si>
  <si>
    <t>es655</t>
  </si>
  <si>
    <t>es656</t>
  </si>
  <si>
    <t>es658</t>
  </si>
  <si>
    <t>es659</t>
  </si>
  <si>
    <t>es661</t>
  </si>
  <si>
    <t>es662</t>
  </si>
  <si>
    <t>es664</t>
  </si>
  <si>
    <t>es665</t>
  </si>
  <si>
    <t>es666</t>
  </si>
  <si>
    <t>es667</t>
  </si>
  <si>
    <t>es668</t>
  </si>
  <si>
    <t>es669</t>
  </si>
  <si>
    <t>es670</t>
  </si>
  <si>
    <t>es671</t>
  </si>
  <si>
    <t>es672</t>
  </si>
  <si>
    <t>es673</t>
  </si>
  <si>
    <t>es674</t>
  </si>
  <si>
    <t>es675</t>
  </si>
  <si>
    <t>es676</t>
  </si>
  <si>
    <t>es677</t>
  </si>
  <si>
    <t>es678</t>
  </si>
  <si>
    <t>es679</t>
  </si>
  <si>
    <t>es680</t>
  </si>
  <si>
    <t>es681</t>
  </si>
  <si>
    <t>es682</t>
  </si>
  <si>
    <t>es683</t>
  </si>
  <si>
    <t>es684</t>
  </si>
  <si>
    <t>es685</t>
  </si>
  <si>
    <t>es686</t>
  </si>
  <si>
    <t>es687</t>
  </si>
  <si>
    <t>es688</t>
  </si>
  <si>
    <t>es689</t>
  </si>
  <si>
    <t>es690</t>
  </si>
  <si>
    <t>es691</t>
  </si>
  <si>
    <t>es692</t>
  </si>
  <si>
    <t>es693</t>
  </si>
  <si>
    <t>es694</t>
  </si>
  <si>
    <t>es695</t>
  </si>
  <si>
    <t>es696</t>
  </si>
  <si>
    <t>Ceriagrion tenellum</t>
  </si>
  <si>
    <t>Nicrophorus vespilloides</t>
  </si>
  <si>
    <t>Calopteryx haemorrhoidalis</t>
  </si>
  <si>
    <t>Gammarus insensibilis</t>
  </si>
  <si>
    <t>Apis mellifera</t>
  </si>
  <si>
    <t>Odontotaenius disjunctus</t>
  </si>
  <si>
    <t>Hygrolycosa rubrofasciata</t>
  </si>
  <si>
    <t>Diabrotica u. howardi</t>
  </si>
  <si>
    <t>Onthophagus taurus</t>
  </si>
  <si>
    <t>Zootermopsis angusticollis</t>
  </si>
  <si>
    <t>Gnatocerus cornutus</t>
  </si>
  <si>
    <t>Gryllus vocalis</t>
  </si>
  <si>
    <t>Hetaerina cruentata</t>
  </si>
  <si>
    <t>Hetaerina occisa</t>
  </si>
  <si>
    <t>Hetaerina vulnerata</t>
  </si>
  <si>
    <t>Coenagrion armatum</t>
  </si>
  <si>
    <t>Bicyclus anynana</t>
  </si>
  <si>
    <t>Hemideina crassidens</t>
  </si>
  <si>
    <t>Trypoxylus dichotomus</t>
  </si>
  <si>
    <t>Cyphoderris strepitans</t>
  </si>
  <si>
    <t>Pachydiplax longipennis</t>
  </si>
  <si>
    <t>Euoniticellus intermedius</t>
  </si>
  <si>
    <t>Bactrocera dorsalis</t>
  </si>
  <si>
    <t>Kawanaphila nartee</t>
  </si>
  <si>
    <t>Forficula auricularia</t>
  </si>
  <si>
    <t>Bombus terrestris</t>
  </si>
  <si>
    <t>Gomphocerus sibiricus</t>
  </si>
  <si>
    <t>Paracalliope fluviatilis</t>
  </si>
  <si>
    <t>Chrysophtharta agricola</t>
  </si>
  <si>
    <t>Erythrodiplax funerea</t>
  </si>
  <si>
    <t>Ceratitis capitata</t>
  </si>
  <si>
    <t>Panorpa vulgaris</t>
  </si>
  <si>
    <t>stats</t>
  </si>
  <si>
    <t>Cohen</t>
  </si>
  <si>
    <t>F</t>
  </si>
  <si>
    <t>count</t>
  </si>
  <si>
    <t>Sexually dimorphic effect of mating on the melanotic encapsulation response in the harem-defending Wellington tree weta, Hemideina crassidens (Orthoptera: Tettigonioidea: Anostostomatidae)</t>
  </si>
  <si>
    <t>Kelly</t>
  </si>
  <si>
    <t>10.1111/eth.12650</t>
  </si>
  <si>
    <t>paper160</t>
  </si>
  <si>
    <t>study223</t>
  </si>
  <si>
    <t>experiment299</t>
  </si>
  <si>
    <t>es708</t>
  </si>
  <si>
    <t>Gryllus veletis</t>
  </si>
  <si>
    <t>female_mating_frequency</t>
  </si>
  <si>
    <t>contest_scramble</t>
  </si>
  <si>
    <t>trait_type</t>
  </si>
  <si>
    <t>precedence</t>
  </si>
  <si>
    <t>pre_or_post</t>
  </si>
  <si>
    <t>high</t>
  </si>
  <si>
    <t xml:space="preserve">contest </t>
  </si>
  <si>
    <t>song</t>
  </si>
  <si>
    <t>mixing</t>
  </si>
  <si>
    <t>scramble</t>
  </si>
  <si>
    <t>endurance</t>
  </si>
  <si>
    <t>post</t>
  </si>
  <si>
    <t>low</t>
  </si>
  <si>
    <t>precedence_last</t>
  </si>
  <si>
    <t>monogamous</t>
  </si>
  <si>
    <t>pre</t>
  </si>
  <si>
    <t>displacement</t>
  </si>
  <si>
    <t>contest</t>
  </si>
  <si>
    <t>song, chemical</t>
  </si>
  <si>
    <t>weapon</t>
  </si>
  <si>
    <t>precedence_first</t>
  </si>
  <si>
    <t>song, weapon</t>
  </si>
  <si>
    <t xml:space="preserve">pre </t>
  </si>
  <si>
    <t xml:space="preserve">song </t>
  </si>
  <si>
    <t>endurance, chemical</t>
  </si>
  <si>
    <t>weapons, endurance</t>
  </si>
  <si>
    <t>attractiveness/unclear modality</t>
  </si>
  <si>
    <t>reproductive ouput</t>
  </si>
  <si>
    <t>pathogenlive</t>
  </si>
  <si>
    <t>nonlive_endoparasite</t>
  </si>
  <si>
    <t>Lytic</t>
  </si>
  <si>
    <t>Nitric oxide assay</t>
  </si>
  <si>
    <t xml:space="preserve">Sex and burrowing behavior and their implications with lytic activity in the sand-dwelling spider Allocosa senex </t>
  </si>
  <si>
    <t xml:space="preserve">Albin et al </t>
  </si>
  <si>
    <t xml:space="preserve">10.1007/s00114-020-01700-2 </t>
  </si>
  <si>
    <t>paper161</t>
  </si>
  <si>
    <t>study224</t>
  </si>
  <si>
    <t>experiment300</t>
  </si>
  <si>
    <t>es709</t>
  </si>
  <si>
    <t xml:space="preserve">The reproductive status determines tolerance and resistance to Mycobacterium marinum in Drosophila melanogaster </t>
  </si>
  <si>
    <t xml:space="preserve">Arch et al </t>
  </si>
  <si>
    <t>10.1093/emph/eoad029</t>
  </si>
  <si>
    <t>paper162</t>
  </si>
  <si>
    <t>study225</t>
  </si>
  <si>
    <t>experiment301</t>
  </si>
  <si>
    <t>es711</t>
  </si>
  <si>
    <t>es712</t>
  </si>
  <si>
    <t>es713</t>
  </si>
  <si>
    <t>es714</t>
  </si>
  <si>
    <t>es715</t>
  </si>
  <si>
    <t>es716</t>
  </si>
  <si>
    <t>es717</t>
  </si>
  <si>
    <t>es718</t>
  </si>
  <si>
    <t>es719</t>
  </si>
  <si>
    <t>10.1093/emph/eoad031</t>
  </si>
  <si>
    <t>10.1093/emph/eoad032</t>
  </si>
  <si>
    <t>10.1093/emph/eoad033</t>
  </si>
  <si>
    <t>10.1093/emph/eoad034</t>
  </si>
  <si>
    <t>es720</t>
  </si>
  <si>
    <t>es721</t>
  </si>
  <si>
    <t>es722</t>
  </si>
  <si>
    <t>es723</t>
  </si>
  <si>
    <t>es724</t>
  </si>
  <si>
    <t>es725</t>
  </si>
  <si>
    <t>es726</t>
  </si>
  <si>
    <t>es727</t>
  </si>
  <si>
    <t>experiment302</t>
  </si>
  <si>
    <t>experiment303</t>
  </si>
  <si>
    <t>experiment304</t>
  </si>
  <si>
    <t xml:space="preserve">EXPERIMENTAL INFECTION WITH A NATURALLY OCCURRING PROTOZOAN PARASITE REDUCES MONARCH BUTTERFLY (DANAUS PLEXIPPUS) MATING SUCCESS </t>
  </si>
  <si>
    <t>Babalola et al</t>
  </si>
  <si>
    <t xml:space="preserve">10.1645/21-121 </t>
  </si>
  <si>
    <t>paper163</t>
  </si>
  <si>
    <t>study226</t>
  </si>
  <si>
    <t>Danaus plexippus</t>
  </si>
  <si>
    <t>es728</t>
  </si>
  <si>
    <t xml:space="preserve">Infection-related sexual conflict in mating behaviors of wolf spiders </t>
  </si>
  <si>
    <t xml:space="preserve">Bauer-Nilsen et al </t>
  </si>
  <si>
    <t xml:space="preserve">10.1111/eth.13441 </t>
  </si>
  <si>
    <t>paper164</t>
  </si>
  <si>
    <t>study227</t>
  </si>
  <si>
    <t>es729</t>
  </si>
  <si>
    <t>10.1111/eth.13442</t>
  </si>
  <si>
    <t>10.1111/eth.13443</t>
  </si>
  <si>
    <t>10.1111/eth.13444</t>
  </si>
  <si>
    <t>10.1111/eth.13445</t>
  </si>
  <si>
    <t>10.1111/eth.13446</t>
  </si>
  <si>
    <t>10.1111/eth.13447</t>
  </si>
  <si>
    <t>es730</t>
  </si>
  <si>
    <t>es731</t>
  </si>
  <si>
    <t>es732</t>
  </si>
  <si>
    <t>es733</t>
  </si>
  <si>
    <t>es734</t>
  </si>
  <si>
    <t>es735</t>
  </si>
  <si>
    <t>es736</t>
  </si>
  <si>
    <t>es737</t>
  </si>
  <si>
    <t>es738</t>
  </si>
  <si>
    <t>es739</t>
  </si>
  <si>
    <t>es740</t>
  </si>
  <si>
    <t>es741</t>
  </si>
  <si>
    <t>es742</t>
  </si>
  <si>
    <t>paper165</t>
  </si>
  <si>
    <t>study228</t>
  </si>
  <si>
    <t>experiment305</t>
  </si>
  <si>
    <t>es743</t>
  </si>
  <si>
    <t>es744</t>
  </si>
  <si>
    <t>es745</t>
  </si>
  <si>
    <t xml:space="preserve">Potential Effects of Biotic and Abiotic Stressors on the Reproductive Health of Honey Bees </t>
  </si>
  <si>
    <t>Bruckner</t>
  </si>
  <si>
    <t xml:space="preserve">Sexually dimorphic traits and male fertility in a paper wasp </t>
  </si>
  <si>
    <t>paper166</t>
  </si>
  <si>
    <t>study229</t>
  </si>
  <si>
    <t>experiment306</t>
  </si>
  <si>
    <t>es746</t>
  </si>
  <si>
    <t>Polistes dominula</t>
  </si>
  <si>
    <t>es747</t>
  </si>
  <si>
    <t>es748</t>
  </si>
  <si>
    <t xml:space="preserve">Macronutrient intake and simulated infection threat independently affect life history traits of male decorated crickets </t>
  </si>
  <si>
    <t xml:space="preserve">10.1002/ece3.6813 </t>
  </si>
  <si>
    <t>es749</t>
  </si>
  <si>
    <t>paper167</t>
  </si>
  <si>
    <t>study230</t>
  </si>
  <si>
    <t>experiment307</t>
  </si>
  <si>
    <t>experiment308</t>
  </si>
  <si>
    <t>es750</t>
  </si>
  <si>
    <t>es751</t>
  </si>
  <si>
    <t>es752</t>
  </si>
  <si>
    <t>es753</t>
  </si>
  <si>
    <t>es754</t>
  </si>
  <si>
    <t>es755</t>
  </si>
  <si>
    <t>es756</t>
  </si>
  <si>
    <t>es757</t>
  </si>
  <si>
    <t>es758</t>
  </si>
  <si>
    <t>es759</t>
  </si>
  <si>
    <t>es760</t>
  </si>
  <si>
    <t xml:space="preserve">Low sex drive and choosy females: fungal infections are a reproductive downfall for male house flies </t>
  </si>
  <si>
    <t xml:space="preserve">Edwards et al </t>
  </si>
  <si>
    <t xml:space="preserve">10.1093/beheco/arae004 </t>
  </si>
  <si>
    <t>paper168</t>
  </si>
  <si>
    <t>study231</t>
  </si>
  <si>
    <t>experiment309</t>
  </si>
  <si>
    <t>es761</t>
  </si>
  <si>
    <t>Musca domestica</t>
  </si>
  <si>
    <t>es762</t>
  </si>
  <si>
    <t>es763</t>
  </si>
  <si>
    <t>es764</t>
  </si>
  <si>
    <t>es766</t>
  </si>
  <si>
    <t>es768</t>
  </si>
  <si>
    <t>es769</t>
  </si>
  <si>
    <t>experiment310</t>
  </si>
  <si>
    <t>Age, but not an immune challenge, triggers terminal investment in the Pacific field terminal investment in the Pacific field cricket, Teleogryllus oceanicus</t>
  </si>
  <si>
    <t>Rutkowski et al</t>
  </si>
  <si>
    <t>10.1093/beheco/arad021</t>
  </si>
  <si>
    <t>paper169</t>
  </si>
  <si>
    <t>study232</t>
  </si>
  <si>
    <t>experiment311</t>
  </si>
  <si>
    <t>es770</t>
  </si>
  <si>
    <t xml:space="preserve">The effect of sex and mating opportunity on ecological immunity in Brood X cicadas </t>
  </si>
  <si>
    <t>Hord et al</t>
  </si>
  <si>
    <t xml:space="preserve">10.1080/03949370.2024.2307028 </t>
  </si>
  <si>
    <t>study233</t>
  </si>
  <si>
    <t>es771</t>
  </si>
  <si>
    <t>es772</t>
  </si>
  <si>
    <t>es773</t>
  </si>
  <si>
    <t>experiment312</t>
  </si>
  <si>
    <t xml:space="preserve">Pre-copulatory reproductive behaviours are preserved in Drosophila melanogaster infected with bacteria </t>
  </si>
  <si>
    <t>Rose et al</t>
  </si>
  <si>
    <t xml:space="preserve">10.1098/rspb.2022.0492 </t>
  </si>
  <si>
    <t>paper170</t>
  </si>
  <si>
    <t>study234</t>
  </si>
  <si>
    <t>experiment313</t>
  </si>
  <si>
    <t>es774</t>
  </si>
  <si>
    <t>es775</t>
  </si>
  <si>
    <t>es776</t>
  </si>
  <si>
    <t>es777</t>
  </si>
  <si>
    <t>es778</t>
  </si>
  <si>
    <t>es779</t>
  </si>
  <si>
    <t>es780</t>
  </si>
  <si>
    <t>es781</t>
  </si>
  <si>
    <t>es782</t>
  </si>
  <si>
    <t>es783</t>
  </si>
  <si>
    <t>es784</t>
  </si>
  <si>
    <t>es785</t>
  </si>
  <si>
    <t>es786</t>
  </si>
  <si>
    <t>es787</t>
  </si>
  <si>
    <t>es788</t>
  </si>
  <si>
    <t>es789</t>
  </si>
  <si>
    <t>study235</t>
  </si>
  <si>
    <t>experiment314</t>
  </si>
  <si>
    <t>experiment315</t>
  </si>
  <si>
    <t>experiment316</t>
  </si>
  <si>
    <t>experiment317</t>
  </si>
  <si>
    <t>experiment318</t>
  </si>
  <si>
    <t>experiment319</t>
  </si>
  <si>
    <t>experiment320</t>
  </si>
  <si>
    <t>Scleractinia</t>
  </si>
  <si>
    <t xml:space="preserve">10.7717/peerj.16586 </t>
  </si>
  <si>
    <t>paper171</t>
  </si>
  <si>
    <t>study236</t>
  </si>
  <si>
    <t>experiment321</t>
  </si>
  <si>
    <t>es790</t>
  </si>
  <si>
    <t>es791</t>
  </si>
  <si>
    <t xml:space="preserve">Characterization of trade-offs between immunity and reproduction in the coral species Astrangia poculata </t>
  </si>
  <si>
    <t>Villafranca et al</t>
  </si>
  <si>
    <t>Antimicrobial activity</t>
  </si>
  <si>
    <t xml:space="preserve">Effect of rearing density on the expression of fitness‐related traits in male sand field crickets (Gryllus firmus) </t>
  </si>
  <si>
    <t xml:space="preserve">10.1007/s10682-023-10251-7 </t>
  </si>
  <si>
    <t>paper172</t>
  </si>
  <si>
    <t>study237</t>
  </si>
  <si>
    <t>experiment322</t>
  </si>
  <si>
    <t>es792</t>
  </si>
  <si>
    <t>Gryllus firmus</t>
  </si>
  <si>
    <t>acoustic</t>
  </si>
  <si>
    <t>es793</t>
  </si>
  <si>
    <t>es794</t>
  </si>
  <si>
    <t>Mating with sexually attractive males provides female Gryllus firmus field crickets with direct but not indirect fitness benefits</t>
  </si>
  <si>
    <t>10.1007/s00265-020-02859-4</t>
  </si>
  <si>
    <t>paper173</t>
  </si>
  <si>
    <t>study238</t>
  </si>
  <si>
    <t>experiment323</t>
  </si>
  <si>
    <t>es795</t>
  </si>
  <si>
    <t>Text</t>
  </si>
  <si>
    <t>longevity post-infection</t>
  </si>
  <si>
    <t>es796</t>
  </si>
  <si>
    <t>experiment324</t>
  </si>
  <si>
    <t xml:space="preserve">Infection influences vibratory signal components in a wolf spider </t>
  </si>
  <si>
    <t xml:space="preserve">10.1111/eth.13319 </t>
  </si>
  <si>
    <t xml:space="preserve">Transcriptome analysis of germ cell changes in male Chinese mitten crabs (Eriocheir sinensis) induced by rhizocephalan parasite, Polyascus gregaria </t>
  </si>
  <si>
    <t>Feng et al</t>
  </si>
  <si>
    <t xml:space="preserve">10.3389/fmars.2023.1144448 </t>
  </si>
  <si>
    <t>paper176</t>
  </si>
  <si>
    <t>study241</t>
  </si>
  <si>
    <t>experiment327</t>
  </si>
  <si>
    <t>es803</t>
  </si>
  <si>
    <t>Eriocheir sinensis</t>
  </si>
  <si>
    <t>Decapoda</t>
  </si>
  <si>
    <t>es804</t>
  </si>
  <si>
    <t>Experimental immune challenges reduce the quality of male antennae and female pheromone output</t>
  </si>
  <si>
    <t>Pham et al</t>
  </si>
  <si>
    <t xml:space="preserve">10.1038/s41598-022-07100-y </t>
  </si>
  <si>
    <t>paper177</t>
  </si>
  <si>
    <t>study242</t>
  </si>
  <si>
    <t>experiment328</t>
  </si>
  <si>
    <t>es805</t>
  </si>
  <si>
    <t>Uraba lugens</t>
  </si>
  <si>
    <t>es806</t>
  </si>
  <si>
    <t>es807</t>
  </si>
  <si>
    <t>es808</t>
  </si>
  <si>
    <t>es809</t>
  </si>
  <si>
    <t>es810</t>
  </si>
  <si>
    <t>es811</t>
  </si>
  <si>
    <t>es812</t>
  </si>
  <si>
    <t>experiment329</t>
  </si>
  <si>
    <t>experiment330</t>
  </si>
  <si>
    <t>experiment331</t>
  </si>
  <si>
    <t xml:space="preserve">Effects of reproductive condition on haemocyte parameters in the Pacific abalone Haliotis discus hannai during the spawning period </t>
  </si>
  <si>
    <t>Sawangwong et al</t>
  </si>
  <si>
    <t xml:space="preserve">10.1080/00288330.2024.2325682 </t>
  </si>
  <si>
    <t>paper178</t>
  </si>
  <si>
    <t>study243</t>
  </si>
  <si>
    <t>es813</t>
  </si>
  <si>
    <t>Haliotis discus hannai</t>
  </si>
  <si>
    <t xml:space="preserve">How healthy is your mate? Sex-specific consequences of parasite infections in the moth Helicoverpa armigera </t>
  </si>
  <si>
    <t>Gao et al</t>
  </si>
  <si>
    <t xml:space="preserve">10.1016/j.anbehav.2021.06.005 </t>
  </si>
  <si>
    <t>paper179</t>
  </si>
  <si>
    <t>study244</t>
  </si>
  <si>
    <t>es814</t>
  </si>
  <si>
    <t>Lepetellida</t>
  </si>
  <si>
    <t>es815</t>
  </si>
  <si>
    <t>paper180</t>
  </si>
  <si>
    <t>es816</t>
  </si>
  <si>
    <t>es817</t>
  </si>
  <si>
    <t xml:space="preserve">Male-Male Competition Causes Parasite-Mediated Sexual Selection for Local Adaptation </t>
  </si>
  <si>
    <t>10.1086/710039</t>
  </si>
  <si>
    <t>paper181</t>
  </si>
  <si>
    <t>study246</t>
  </si>
  <si>
    <t>experiment332</t>
  </si>
  <si>
    <t>es818</t>
  </si>
  <si>
    <t xml:space="preserve">Ischnura elegans </t>
  </si>
  <si>
    <t>Gomez-Llano et al</t>
  </si>
  <si>
    <t>study247</t>
  </si>
  <si>
    <t>experiment333</t>
  </si>
  <si>
    <t>es819</t>
  </si>
  <si>
    <t>experiment334</t>
  </si>
  <si>
    <t>es820</t>
  </si>
  <si>
    <t>study248</t>
  </si>
  <si>
    <t>experiment335</t>
  </si>
  <si>
    <t>es821</t>
  </si>
  <si>
    <t>Immune defense in Drosophila melanogaster depends on diet, sex, and mating status</t>
  </si>
  <si>
    <t>Rai et al</t>
  </si>
  <si>
    <t>10.1371/journal.pone.0268415</t>
  </si>
  <si>
    <t xml:space="preserve">Gut parasites infection increases mate rejection in a species with indirect sperm transfer </t>
  </si>
  <si>
    <t>Pietri et al</t>
  </si>
  <si>
    <t xml:space="preserve">10.1111/eth.13380 </t>
  </si>
  <si>
    <t>paper182</t>
  </si>
  <si>
    <t>study249</t>
  </si>
  <si>
    <t>experiment336</t>
  </si>
  <si>
    <t>es822</t>
  </si>
  <si>
    <t xml:space="preserve">Lustrochernes argentinus </t>
  </si>
  <si>
    <t>Pseudoscorpiones</t>
  </si>
  <si>
    <t>es823</t>
  </si>
  <si>
    <t>es824</t>
  </si>
  <si>
    <t>es825</t>
  </si>
  <si>
    <t>paper183</t>
  </si>
  <si>
    <t>paper184</t>
  </si>
  <si>
    <t>paper185</t>
  </si>
  <si>
    <t>Immunosenescence along with direct physiological allocation trade-offs between life history and immunity in the red palm weevil Rhynchophorus ferrugineus</t>
  </si>
  <si>
    <t>Pu et al</t>
  </si>
  <si>
    <t>10.1016/j.dci.2021.104143</t>
  </si>
  <si>
    <t>study250</t>
  </si>
  <si>
    <t>experiment337</t>
  </si>
  <si>
    <t>es826</t>
  </si>
  <si>
    <t xml:space="preserve">Rhynchophorus ferrugineus </t>
  </si>
  <si>
    <t>es827</t>
  </si>
  <si>
    <t>study251</t>
  </si>
  <si>
    <t>experiment338</t>
  </si>
  <si>
    <t>es828</t>
  </si>
  <si>
    <t>es829</t>
  </si>
  <si>
    <t>10c</t>
  </si>
  <si>
    <t>experiment339</t>
  </si>
  <si>
    <t>es830</t>
  </si>
  <si>
    <t>es831</t>
  </si>
  <si>
    <t>11a</t>
  </si>
  <si>
    <t>es832</t>
  </si>
  <si>
    <t>es833</t>
  </si>
  <si>
    <t>11b</t>
  </si>
  <si>
    <t xml:space="preserve">Effects of an entomopathogenic fungus on the reproductive potential of Drosophila males </t>
  </si>
  <si>
    <t>Liao et al</t>
  </si>
  <si>
    <t xml:space="preserve">10.1002/ece3.11242 </t>
  </si>
  <si>
    <t>experiment340</t>
  </si>
  <si>
    <t>es834</t>
  </si>
  <si>
    <t>es835</t>
  </si>
  <si>
    <t>experiment341</t>
  </si>
  <si>
    <t>es836</t>
  </si>
  <si>
    <t>es837</t>
  </si>
  <si>
    <t>Dynamic terminal investment in male burying beetles</t>
  </si>
  <si>
    <t>Farchmin et al</t>
  </si>
  <si>
    <t>10.1016/j.anbehav.2020.02.015</t>
  </si>
  <si>
    <t>study252</t>
  </si>
  <si>
    <t>experiment342</t>
  </si>
  <si>
    <t>es838</t>
  </si>
  <si>
    <t>Nicrophorus marginatus</t>
  </si>
  <si>
    <t>es839</t>
  </si>
  <si>
    <t>experiment343</t>
  </si>
  <si>
    <t xml:space="preserve">Parasite-mediated sexual selection in a damselfly </t>
  </si>
  <si>
    <t>Khan et al</t>
  </si>
  <si>
    <t xml:space="preserve">10.1111/eth.13315 </t>
  </si>
  <si>
    <t>paper186</t>
  </si>
  <si>
    <t>study253</t>
  </si>
  <si>
    <t>experiment344</t>
  </si>
  <si>
    <t>es840</t>
  </si>
  <si>
    <t xml:space="preserve">Agriocnemis pygmaea </t>
  </si>
  <si>
    <t>es841</t>
  </si>
  <si>
    <t xml:space="preserve">Reproductive consequences of the interaction Trypanosoma cruzi − Triatoma infestans and its trade-off with survival </t>
  </si>
  <si>
    <t>Lobbia et al</t>
  </si>
  <si>
    <t xml:space="preserve">10.1016/j.jip.2024.108183 </t>
  </si>
  <si>
    <t>paper187</t>
  </si>
  <si>
    <t>study254</t>
  </si>
  <si>
    <t>experiment345</t>
  </si>
  <si>
    <t>es842</t>
  </si>
  <si>
    <t xml:space="preserve">Triatoma infestans </t>
  </si>
  <si>
    <t>es843</t>
  </si>
  <si>
    <t>10.1016/j.jip.2024.108184</t>
  </si>
  <si>
    <t>10.1016/j.jip.2024.108185</t>
  </si>
  <si>
    <t>10.1016/j.jip.2024.108186</t>
  </si>
  <si>
    <t>10.1016/j.jip.2024.108187</t>
  </si>
  <si>
    <t>es844</t>
  </si>
  <si>
    <t>es845</t>
  </si>
  <si>
    <t>es846</t>
  </si>
  <si>
    <t>es847</t>
  </si>
  <si>
    <t>es848</t>
  </si>
  <si>
    <t>es849</t>
  </si>
  <si>
    <t>10.1093/beheco/arad022</t>
  </si>
  <si>
    <t>10.1093/beheco/arad023</t>
  </si>
  <si>
    <t>10.1093/beheco/arad024</t>
  </si>
  <si>
    <t>10.1093/beheco/arad025</t>
  </si>
  <si>
    <t>10.1093/beheco/arad026</t>
  </si>
  <si>
    <t>10.1093/beheco/arad027</t>
  </si>
  <si>
    <t>10.1093/beheco/arad028</t>
  </si>
  <si>
    <t>10.1093/beheco/arad029</t>
  </si>
  <si>
    <t>10.1093/beheco/arad030</t>
  </si>
  <si>
    <t>10.1093/beheco/arad031</t>
  </si>
  <si>
    <t>paper188</t>
  </si>
  <si>
    <t>study255</t>
  </si>
  <si>
    <t>es850</t>
  </si>
  <si>
    <t>es851</t>
  </si>
  <si>
    <t>es852</t>
  </si>
  <si>
    <t>es853</t>
  </si>
  <si>
    <t>es854</t>
  </si>
  <si>
    <t>es855</t>
  </si>
  <si>
    <t>es856</t>
  </si>
  <si>
    <t>es857</t>
  </si>
  <si>
    <t>es858</t>
  </si>
  <si>
    <t>es859</t>
  </si>
  <si>
    <t>es860</t>
  </si>
  <si>
    <t>es861</t>
  </si>
  <si>
    <t>es862</t>
  </si>
  <si>
    <t>es863</t>
  </si>
  <si>
    <t>es864</t>
  </si>
  <si>
    <t>es865</t>
  </si>
  <si>
    <t>es866</t>
  </si>
  <si>
    <t>es867</t>
  </si>
  <si>
    <t>es868</t>
  </si>
  <si>
    <t>es869</t>
  </si>
  <si>
    <t>es870</t>
  </si>
  <si>
    <t>es871</t>
  </si>
  <si>
    <t>ejaculate</t>
  </si>
  <si>
    <t>es872</t>
  </si>
  <si>
    <t>es873</t>
  </si>
  <si>
    <t>study256</t>
  </si>
  <si>
    <t>10.1093/beheco/arad032</t>
  </si>
  <si>
    <t>10.1093/beheco/arad033</t>
  </si>
  <si>
    <t>10.1093/beheco/arad034</t>
  </si>
  <si>
    <t>10.1093/beheco/arad035</t>
  </si>
  <si>
    <t>10.1093/beheco/arad036</t>
  </si>
  <si>
    <t>10.1093/beheco/arad040</t>
  </si>
  <si>
    <t>10.1093/beheco/arad041</t>
  </si>
  <si>
    <t>10.1093/beheco/arad042</t>
  </si>
  <si>
    <t>10.1093/beheco/arad043</t>
  </si>
  <si>
    <t>10.1093/beheco/arad044</t>
  </si>
  <si>
    <t>10.1093/beheco/arad045</t>
  </si>
  <si>
    <t>10.1093/beheco/arad046</t>
  </si>
  <si>
    <t>10.1093/beheco/arad047</t>
  </si>
  <si>
    <t>10.1093/beheco/arad048</t>
  </si>
  <si>
    <t>10.1093/beheco/arad049</t>
  </si>
  <si>
    <t>10.1093/beheco/arad050</t>
  </si>
  <si>
    <t>10.1093/beheco/arad051</t>
  </si>
  <si>
    <t>10.1093/beheco/arad052</t>
  </si>
  <si>
    <t>10.1093/beheco/arad053</t>
  </si>
  <si>
    <t>10.1093/beheco/arad054</t>
  </si>
  <si>
    <t>es874</t>
  </si>
  <si>
    <t>es875</t>
  </si>
  <si>
    <t>es876</t>
  </si>
  <si>
    <t>es877</t>
  </si>
  <si>
    <t>es878</t>
  </si>
  <si>
    <t>es879</t>
  </si>
  <si>
    <t>es880</t>
  </si>
  <si>
    <t>es881</t>
  </si>
  <si>
    <t>es882</t>
  </si>
  <si>
    <t>es883</t>
  </si>
  <si>
    <t>es884</t>
  </si>
  <si>
    <t>es885</t>
  </si>
  <si>
    <t>es886</t>
  </si>
  <si>
    <t>es887</t>
  </si>
  <si>
    <t>es888</t>
  </si>
  <si>
    <t>es889</t>
  </si>
  <si>
    <t>es890</t>
  </si>
  <si>
    <t>es891</t>
  </si>
  <si>
    <t>es892</t>
  </si>
  <si>
    <t>es893</t>
  </si>
  <si>
    <t>es894</t>
  </si>
  <si>
    <t>es895</t>
  </si>
  <si>
    <t>es896</t>
  </si>
  <si>
    <t>es897</t>
  </si>
  <si>
    <t>es898</t>
  </si>
  <si>
    <t>es899</t>
  </si>
  <si>
    <t>es900</t>
  </si>
  <si>
    <t>es901</t>
  </si>
  <si>
    <t>es902</t>
  </si>
  <si>
    <t>es903</t>
  </si>
  <si>
    <t>es904</t>
  </si>
  <si>
    <t>es905</t>
  </si>
  <si>
    <t>es906</t>
  </si>
  <si>
    <t>Allocosa senex</t>
  </si>
  <si>
    <t>burrow</t>
  </si>
  <si>
    <t>Astrangia poculata</t>
  </si>
  <si>
    <t>sperm</t>
  </si>
  <si>
    <t>song , weapon</t>
  </si>
  <si>
    <t>Magicicada septendecim</t>
  </si>
  <si>
    <t>Magicicada cassini</t>
  </si>
  <si>
    <t>reverse</t>
  </si>
  <si>
    <t>direction_inferential_stats</t>
  </si>
  <si>
    <t>phagocytic index</t>
  </si>
  <si>
    <t>total phagocytic capacity</t>
  </si>
  <si>
    <t>total hemocyte count</t>
  </si>
  <si>
    <t>percentage phagocytosis</t>
  </si>
  <si>
    <t>Ahtiainen_et_al</t>
  </si>
  <si>
    <t>Nielsen&amp;Holman</t>
  </si>
  <si>
    <t>Steiger et al</t>
  </si>
  <si>
    <t xml:space="preserve">Reproduction and immunity trade-offs constrain mating signals and nuptial gift size in a bushcricket </t>
  </si>
  <si>
    <t>10.1371/journal.pone.0121614</t>
  </si>
  <si>
    <t>10.1093/biolinnean/blaa044</t>
  </si>
  <si>
    <t>10.1016/j.anbehav.2015.04.018</t>
  </si>
  <si>
    <t>paper189</t>
  </si>
  <si>
    <t>study257</t>
  </si>
  <si>
    <t>es907</t>
  </si>
  <si>
    <t>es908</t>
  </si>
  <si>
    <t>es909</t>
  </si>
  <si>
    <t>es910</t>
  </si>
  <si>
    <t>es911</t>
  </si>
  <si>
    <t>es912</t>
  </si>
  <si>
    <t>es913</t>
  </si>
  <si>
    <t>es914</t>
  </si>
  <si>
    <t>experiment270</t>
  </si>
  <si>
    <t>study186</t>
  </si>
  <si>
    <t>heat-killed fungus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</si>
</sst>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8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/>
    <xf numFmtId="11" fontId="4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784"/>
  <sheetViews>
    <sheetView tabSelected="1" zoomScale="110" zoomScaleNormal="110" zoomScalePageLayoutView="150" workbookViewId="0">
      <pane ySplit="1" topLeftCell="A2" activePane="bottomLeft" state="frozen"/>
      <selection pane="bottomLeft" activeCell="G8" sqref="G8"/>
    </sheetView>
  </sheetViews>
  <sheetFormatPr baseColWidth="10" defaultColWidth="10.1640625" defaultRowHeight="16" x14ac:dyDescent="0.2"/>
  <cols>
    <col min="1" max="1" width="55.1640625" style="2" customWidth="1"/>
    <col min="2" max="2" width="22.5" style="2" bestFit="1" customWidth="1"/>
    <col min="3" max="6" width="10.1640625" style="2" customWidth="1"/>
    <col min="7" max="7" width="14" style="2" customWidth="1"/>
    <col min="8" max="8" width="10.1640625" style="2" customWidth="1"/>
    <col min="9" max="9" width="29" style="2" customWidth="1"/>
    <col min="10" max="10" width="10.1640625" style="2" customWidth="1"/>
    <col min="11" max="11" width="13.83203125" style="2" customWidth="1"/>
    <col min="12" max="12" width="10.1640625" style="2" customWidth="1"/>
    <col min="13" max="13" width="36.33203125" style="2" customWidth="1"/>
    <col min="14" max="14" width="19.1640625" style="2" customWidth="1"/>
    <col min="15" max="15" width="13.83203125" style="2" customWidth="1"/>
    <col min="16" max="16" width="13.1640625" style="2" customWidth="1"/>
    <col min="17" max="17" width="20.33203125" style="2" customWidth="1"/>
    <col min="18" max="18" width="10.1640625" style="2" customWidth="1"/>
    <col min="19" max="19" width="15.6640625" style="2" customWidth="1"/>
    <col min="20" max="21" width="10.1640625" style="2" customWidth="1"/>
    <col min="22" max="22" width="17.6640625" style="2" customWidth="1"/>
    <col min="23" max="25" width="10.1640625" style="2" customWidth="1"/>
    <col min="26" max="26" width="13.83203125" style="2" customWidth="1"/>
    <col min="27" max="45" width="10.1640625" style="2" customWidth="1"/>
    <col min="46" max="46" width="3.83203125" style="2" customWidth="1"/>
    <col min="47" max="47" width="24.5" style="2" customWidth="1"/>
    <col min="48" max="48" width="20.83203125" style="2" customWidth="1"/>
    <col min="49" max="49" width="20" style="2" customWidth="1"/>
    <col min="50" max="50" width="21.6640625" style="2" customWidth="1"/>
    <col min="51" max="51" width="15.1640625" style="2" customWidth="1"/>
    <col min="52" max="16384" width="10.1640625" style="2"/>
  </cols>
  <sheetData>
    <row r="1" spans="1:51" s="1" customFormat="1" ht="16" customHeight="1" x14ac:dyDescent="0.2">
      <c r="A1" s="1" t="s">
        <v>5</v>
      </c>
      <c r="B1" s="1" t="s">
        <v>1</v>
      </c>
      <c r="C1" s="1" t="s">
        <v>2</v>
      </c>
      <c r="D1" s="1" t="s">
        <v>9</v>
      </c>
      <c r="E1" s="1" t="s">
        <v>6</v>
      </c>
      <c r="F1" s="1" t="s">
        <v>8</v>
      </c>
      <c r="G1" s="1" t="s">
        <v>90</v>
      </c>
      <c r="H1" s="1" t="s">
        <v>7</v>
      </c>
      <c r="I1" s="1" t="s">
        <v>0</v>
      </c>
      <c r="J1" s="1" t="s">
        <v>3</v>
      </c>
      <c r="K1" s="1" t="s">
        <v>25</v>
      </c>
      <c r="L1" s="1" t="s">
        <v>10</v>
      </c>
      <c r="M1" s="2" t="s">
        <v>13</v>
      </c>
      <c r="N1" s="1" t="s">
        <v>82</v>
      </c>
      <c r="O1" s="1" t="s">
        <v>1841</v>
      </c>
      <c r="P1" s="1" t="s">
        <v>24</v>
      </c>
      <c r="Q1" s="1" t="s">
        <v>31</v>
      </c>
      <c r="R1" s="1" t="s">
        <v>39</v>
      </c>
      <c r="S1" s="1" t="s">
        <v>215</v>
      </c>
      <c r="T1" s="1" t="s">
        <v>49</v>
      </c>
      <c r="U1" s="1" t="s">
        <v>57</v>
      </c>
      <c r="V1" s="1" t="s">
        <v>58</v>
      </c>
      <c r="W1" s="1" t="s">
        <v>80</v>
      </c>
      <c r="X1" s="1" t="s">
        <v>59</v>
      </c>
      <c r="Y1" s="1" t="s">
        <v>61</v>
      </c>
      <c r="Z1" s="1" t="s">
        <v>68</v>
      </c>
      <c r="AA1" s="1" t="s">
        <v>69</v>
      </c>
      <c r="AB1" s="1" t="s">
        <v>72</v>
      </c>
      <c r="AC1" s="1" t="s">
        <v>60</v>
      </c>
      <c r="AD1" s="1" t="s">
        <v>73</v>
      </c>
      <c r="AE1" s="1" t="s">
        <v>62</v>
      </c>
      <c r="AF1" s="1" t="s">
        <v>76</v>
      </c>
      <c r="AG1" s="1" t="s">
        <v>63</v>
      </c>
      <c r="AH1" s="1" t="s">
        <v>1801</v>
      </c>
      <c r="AI1" s="1" t="s">
        <v>1802</v>
      </c>
      <c r="AJ1" s="1" t="s">
        <v>1803</v>
      </c>
      <c r="AK1" s="1" t="s">
        <v>70</v>
      </c>
      <c r="AL1" s="1" t="s">
        <v>71</v>
      </c>
      <c r="AM1" s="1" t="s">
        <v>97</v>
      </c>
      <c r="AN1" s="2" t="s">
        <v>67</v>
      </c>
      <c r="AO1" s="1" t="s">
        <v>4</v>
      </c>
      <c r="AP1" s="1" t="s">
        <v>83</v>
      </c>
      <c r="AQ1" s="1" t="s">
        <v>493</v>
      </c>
      <c r="AR1" s="1" t="s">
        <v>851</v>
      </c>
      <c r="AS1" s="1" t="s">
        <v>850</v>
      </c>
      <c r="AT1" s="1" t="s">
        <v>2285</v>
      </c>
      <c r="AU1" s="1" t="s">
        <v>1813</v>
      </c>
      <c r="AV1" s="1" t="s">
        <v>1814</v>
      </c>
      <c r="AW1" s="1" t="s">
        <v>1815</v>
      </c>
      <c r="AX1" s="1" t="s">
        <v>1816</v>
      </c>
      <c r="AY1" s="1" t="s">
        <v>1817</v>
      </c>
    </row>
    <row r="2" spans="1:51" x14ac:dyDescent="0.2">
      <c r="A2" s="2" t="s">
        <v>88</v>
      </c>
      <c r="B2" s="2" t="s">
        <v>89</v>
      </c>
      <c r="D2" s="2">
        <v>2001</v>
      </c>
      <c r="E2" s="2" t="s">
        <v>171</v>
      </c>
      <c r="F2" s="2" t="s">
        <v>216</v>
      </c>
      <c r="G2" s="2" t="s">
        <v>853</v>
      </c>
      <c r="H2" s="2" t="s">
        <v>183</v>
      </c>
      <c r="I2" s="2" t="s">
        <v>87</v>
      </c>
      <c r="J2" s="2" t="s">
        <v>85</v>
      </c>
      <c r="K2" s="2" t="s">
        <v>38</v>
      </c>
      <c r="L2" s="2" t="s">
        <v>11</v>
      </c>
      <c r="M2" s="2" t="s">
        <v>14</v>
      </c>
      <c r="N2" s="2" t="s">
        <v>19</v>
      </c>
      <c r="O2" s="2">
        <v>1</v>
      </c>
      <c r="P2" s="2" t="s">
        <v>22</v>
      </c>
      <c r="Q2" s="2" t="s">
        <v>1839</v>
      </c>
      <c r="T2" s="2" t="s">
        <v>50</v>
      </c>
      <c r="U2" s="2" t="s">
        <v>54</v>
      </c>
      <c r="V2" s="2">
        <v>95</v>
      </c>
      <c r="X2" s="2">
        <v>27</v>
      </c>
      <c r="Y2" s="2">
        <v>27</v>
      </c>
      <c r="AB2" s="2">
        <v>222</v>
      </c>
      <c r="AC2" s="2">
        <v>29.1</v>
      </c>
      <c r="AD2" s="2">
        <v>195</v>
      </c>
      <c r="AE2" s="2">
        <v>24.2</v>
      </c>
      <c r="AF2" s="2" t="s">
        <v>74</v>
      </c>
      <c r="AG2" s="2" t="s">
        <v>65</v>
      </c>
      <c r="AH2" s="2" t="str">
        <f>IF(AF2="mean", "mean", "")</f>
        <v>mean</v>
      </c>
      <c r="AR2" s="2" t="s">
        <v>849</v>
      </c>
      <c r="AS2" s="2" t="s">
        <v>849</v>
      </c>
      <c r="AU2" s="2" t="s">
        <v>1818</v>
      </c>
      <c r="AV2" s="2" t="s">
        <v>1822</v>
      </c>
      <c r="AW2" s="2" t="s">
        <v>1823</v>
      </c>
      <c r="AX2" s="2" t="s">
        <v>1821</v>
      </c>
      <c r="AY2" s="2" t="s">
        <v>79</v>
      </c>
    </row>
    <row r="3" spans="1:51" x14ac:dyDescent="0.2">
      <c r="A3" s="2" t="s">
        <v>88</v>
      </c>
      <c r="B3" s="2" t="s">
        <v>89</v>
      </c>
      <c r="D3" s="2">
        <v>2001</v>
      </c>
      <c r="E3" s="2" t="s">
        <v>171</v>
      </c>
      <c r="F3" s="2" t="s">
        <v>216</v>
      </c>
      <c r="G3" s="2" t="s">
        <v>853</v>
      </c>
      <c r="H3" s="2" t="s">
        <v>184</v>
      </c>
      <c r="I3" s="2" t="s">
        <v>87</v>
      </c>
      <c r="J3" s="2" t="s">
        <v>85</v>
      </c>
      <c r="K3" s="2" t="s">
        <v>38</v>
      </c>
      <c r="L3" s="2" t="s">
        <v>11</v>
      </c>
      <c r="M3" s="2" t="s">
        <v>14</v>
      </c>
      <c r="N3" s="2" t="s">
        <v>19</v>
      </c>
      <c r="O3" s="2">
        <v>1</v>
      </c>
      <c r="P3" s="2" t="s">
        <v>22</v>
      </c>
      <c r="Q3" s="2" t="s">
        <v>1839</v>
      </c>
      <c r="T3" s="2" t="s">
        <v>50</v>
      </c>
      <c r="U3" s="2" t="s">
        <v>54</v>
      </c>
      <c r="V3" s="2">
        <v>95</v>
      </c>
      <c r="X3" s="2">
        <v>27</v>
      </c>
      <c r="Y3" s="2">
        <v>27</v>
      </c>
      <c r="AB3" s="2">
        <v>4.3</v>
      </c>
      <c r="AC3" s="2">
        <v>0.43</v>
      </c>
      <c r="AD3" s="2">
        <v>4.3</v>
      </c>
      <c r="AE3" s="2">
        <v>0.47</v>
      </c>
      <c r="AF3" s="2" t="s">
        <v>74</v>
      </c>
      <c r="AG3" s="2" t="s">
        <v>65</v>
      </c>
      <c r="AH3" s="2" t="str">
        <f>IF(AF3="mean", "mean", "")</f>
        <v>mean</v>
      </c>
      <c r="AR3" s="2" t="s">
        <v>849</v>
      </c>
      <c r="AS3" s="2" t="s">
        <v>849</v>
      </c>
      <c r="AU3" s="2" t="s">
        <v>1818</v>
      </c>
      <c r="AV3" s="2" t="s">
        <v>1822</v>
      </c>
      <c r="AW3" s="2" t="s">
        <v>1823</v>
      </c>
      <c r="AX3" s="2" t="s">
        <v>1821</v>
      </c>
      <c r="AY3" s="2" t="s">
        <v>79</v>
      </c>
    </row>
    <row r="4" spans="1:51" x14ac:dyDescent="0.2">
      <c r="A4" s="2" t="s">
        <v>88</v>
      </c>
      <c r="B4" s="2" t="s">
        <v>89</v>
      </c>
      <c r="D4" s="2">
        <v>2001</v>
      </c>
      <c r="E4" s="2" t="s">
        <v>171</v>
      </c>
      <c r="F4" s="2" t="s">
        <v>217</v>
      </c>
      <c r="G4" s="2" t="s">
        <v>854</v>
      </c>
      <c r="H4" s="2" t="s">
        <v>185</v>
      </c>
      <c r="I4" s="2" t="s">
        <v>87</v>
      </c>
      <c r="J4" s="2" t="s">
        <v>85</v>
      </c>
      <c r="K4" s="2" t="s">
        <v>37</v>
      </c>
      <c r="P4" s="2" t="s">
        <v>22</v>
      </c>
      <c r="Q4" s="2" t="s">
        <v>30</v>
      </c>
      <c r="R4" s="2" t="s">
        <v>41</v>
      </c>
      <c r="S4" s="2" t="s">
        <v>47</v>
      </c>
      <c r="T4" s="2" t="s">
        <v>50</v>
      </c>
      <c r="U4" s="2" t="s">
        <v>54</v>
      </c>
      <c r="V4" s="2">
        <v>96</v>
      </c>
      <c r="X4" s="2">
        <v>36</v>
      </c>
      <c r="Y4" s="2">
        <v>30</v>
      </c>
      <c r="Z4" s="2">
        <v>34</v>
      </c>
      <c r="AA4" s="2">
        <v>29</v>
      </c>
      <c r="AH4" s="2" t="s">
        <v>1804</v>
      </c>
      <c r="AR4" s="2" t="s">
        <v>222</v>
      </c>
      <c r="AS4" s="2" t="s">
        <v>849</v>
      </c>
      <c r="AU4" s="2" t="s">
        <v>1818</v>
      </c>
      <c r="AV4" s="2" t="s">
        <v>1822</v>
      </c>
      <c r="AW4" s="2" t="s">
        <v>1823</v>
      </c>
      <c r="AX4" s="2" t="s">
        <v>1821</v>
      </c>
      <c r="AY4" s="2" t="s">
        <v>79</v>
      </c>
    </row>
    <row r="5" spans="1:51" x14ac:dyDescent="0.2">
      <c r="A5" s="2" t="s">
        <v>88</v>
      </c>
      <c r="B5" s="2" t="s">
        <v>89</v>
      </c>
      <c r="D5" s="2">
        <v>2001</v>
      </c>
      <c r="E5" s="2" t="s">
        <v>171</v>
      </c>
      <c r="F5" s="2" t="s">
        <v>216</v>
      </c>
      <c r="G5" s="2" t="s">
        <v>855</v>
      </c>
      <c r="H5" s="2" t="s">
        <v>186</v>
      </c>
      <c r="I5" s="2" t="s">
        <v>87</v>
      </c>
      <c r="J5" s="2" t="s">
        <v>85</v>
      </c>
      <c r="K5" s="2" t="s">
        <v>37</v>
      </c>
      <c r="P5" s="2" t="s">
        <v>22</v>
      </c>
      <c r="Q5" s="2" t="s">
        <v>29</v>
      </c>
      <c r="R5" s="2" t="s">
        <v>41</v>
      </c>
      <c r="S5" s="2" t="s">
        <v>47</v>
      </c>
      <c r="T5" s="2" t="s">
        <v>50</v>
      </c>
      <c r="U5" s="2" t="s">
        <v>54</v>
      </c>
      <c r="V5" s="2">
        <v>96</v>
      </c>
      <c r="AH5" s="2" t="s">
        <v>4</v>
      </c>
      <c r="AN5" s="2">
        <v>30</v>
      </c>
      <c r="AO5" s="2">
        <v>-0.23400000000000001</v>
      </c>
      <c r="AR5" s="2" t="s">
        <v>849</v>
      </c>
      <c r="AS5" s="2" t="s">
        <v>849</v>
      </c>
      <c r="AU5" s="2" t="s">
        <v>1818</v>
      </c>
      <c r="AV5" s="2" t="s">
        <v>1822</v>
      </c>
      <c r="AW5" s="2" t="s">
        <v>1823</v>
      </c>
      <c r="AX5" s="2" t="s">
        <v>1821</v>
      </c>
      <c r="AY5" s="2" t="s">
        <v>79</v>
      </c>
    </row>
    <row r="6" spans="1:51" x14ac:dyDescent="0.2">
      <c r="A6" s="2" t="s">
        <v>88</v>
      </c>
      <c r="B6" s="2" t="s">
        <v>89</v>
      </c>
      <c r="D6" s="2">
        <v>2001</v>
      </c>
      <c r="E6" s="2" t="s">
        <v>171</v>
      </c>
      <c r="F6" s="2" t="s">
        <v>216</v>
      </c>
      <c r="G6" s="2" t="s">
        <v>855</v>
      </c>
      <c r="H6" s="2" t="s">
        <v>187</v>
      </c>
      <c r="I6" s="2" t="s">
        <v>87</v>
      </c>
      <c r="J6" s="2" t="s">
        <v>85</v>
      </c>
      <c r="K6" s="2" t="s">
        <v>37</v>
      </c>
      <c r="P6" s="2" t="s">
        <v>22</v>
      </c>
      <c r="Q6" s="2" t="s">
        <v>29</v>
      </c>
      <c r="R6" s="2" t="s">
        <v>41</v>
      </c>
      <c r="S6" s="2" t="s">
        <v>47</v>
      </c>
      <c r="T6" s="2" t="s">
        <v>50</v>
      </c>
      <c r="U6" s="2" t="s">
        <v>54</v>
      </c>
      <c r="V6" s="2">
        <v>96</v>
      </c>
      <c r="AH6" s="2" t="s">
        <v>4</v>
      </c>
      <c r="AN6" s="2">
        <v>30</v>
      </c>
      <c r="AO6" s="2">
        <v>-0.153</v>
      </c>
      <c r="AR6" s="2" t="s">
        <v>849</v>
      </c>
      <c r="AS6" s="2" t="s">
        <v>849</v>
      </c>
      <c r="AU6" s="2" t="s">
        <v>1818</v>
      </c>
      <c r="AV6" s="2" t="s">
        <v>1822</v>
      </c>
      <c r="AW6" s="2" t="s">
        <v>1823</v>
      </c>
      <c r="AX6" s="2" t="s">
        <v>1821</v>
      </c>
      <c r="AY6" s="2" t="s">
        <v>79</v>
      </c>
    </row>
    <row r="7" spans="1:51" x14ac:dyDescent="0.2">
      <c r="A7" s="2" t="s">
        <v>88</v>
      </c>
      <c r="B7" s="2" t="s">
        <v>89</v>
      </c>
      <c r="D7" s="2">
        <v>2001</v>
      </c>
      <c r="E7" s="2" t="s">
        <v>171</v>
      </c>
      <c r="F7" s="2" t="s">
        <v>216</v>
      </c>
      <c r="G7" s="2" t="s">
        <v>856</v>
      </c>
      <c r="H7" s="2" t="s">
        <v>188</v>
      </c>
      <c r="I7" s="2" t="s">
        <v>87</v>
      </c>
      <c r="J7" s="2" t="s">
        <v>85</v>
      </c>
      <c r="K7" s="2" t="s">
        <v>38</v>
      </c>
      <c r="L7" s="2" t="s">
        <v>11</v>
      </c>
      <c r="M7" s="2" t="s">
        <v>14</v>
      </c>
      <c r="N7" s="2" t="s">
        <v>19</v>
      </c>
      <c r="O7" s="2">
        <v>1</v>
      </c>
      <c r="P7" s="2" t="s">
        <v>22</v>
      </c>
      <c r="Q7" s="2" t="s">
        <v>29</v>
      </c>
      <c r="T7" s="2" t="s">
        <v>50</v>
      </c>
      <c r="U7" s="2" t="s">
        <v>54</v>
      </c>
      <c r="V7" s="2">
        <v>97</v>
      </c>
      <c r="X7" s="2">
        <v>18</v>
      </c>
      <c r="Y7" s="2">
        <v>18</v>
      </c>
      <c r="Z7" s="2">
        <v>6</v>
      </c>
      <c r="AA7" s="2">
        <v>12</v>
      </c>
      <c r="AH7" s="2" t="s">
        <v>1804</v>
      </c>
      <c r="AR7" s="2" t="s">
        <v>849</v>
      </c>
      <c r="AS7" s="2" t="s">
        <v>849</v>
      </c>
      <c r="AU7" s="2" t="s">
        <v>1818</v>
      </c>
      <c r="AV7" s="2" t="s">
        <v>1822</v>
      </c>
      <c r="AW7" s="2" t="s">
        <v>1823</v>
      </c>
      <c r="AX7" s="2" t="s">
        <v>1821</v>
      </c>
      <c r="AY7" s="2" t="s">
        <v>79</v>
      </c>
    </row>
    <row r="8" spans="1:51" x14ac:dyDescent="0.2">
      <c r="A8" s="2" t="s">
        <v>88</v>
      </c>
      <c r="B8" s="2" t="s">
        <v>89</v>
      </c>
      <c r="D8" s="2">
        <v>2001</v>
      </c>
      <c r="E8" s="2" t="s">
        <v>171</v>
      </c>
      <c r="F8" s="2" t="s">
        <v>216</v>
      </c>
      <c r="G8" s="2" t="s">
        <v>856</v>
      </c>
      <c r="H8" s="2" t="s">
        <v>189</v>
      </c>
      <c r="I8" s="2" t="s">
        <v>87</v>
      </c>
      <c r="J8" s="2" t="s">
        <v>85</v>
      </c>
      <c r="K8" s="2" t="s">
        <v>37</v>
      </c>
      <c r="P8" s="2" t="s">
        <v>22</v>
      </c>
      <c r="Q8" s="2" t="s">
        <v>29</v>
      </c>
      <c r="R8" s="2" t="s">
        <v>41</v>
      </c>
      <c r="S8" s="2" t="s">
        <v>47</v>
      </c>
      <c r="T8" s="2" t="s">
        <v>50</v>
      </c>
      <c r="U8" s="2" t="s">
        <v>54</v>
      </c>
      <c r="V8" s="2">
        <v>97</v>
      </c>
      <c r="AH8" s="2" t="s">
        <v>4</v>
      </c>
      <c r="AN8" s="2">
        <v>17</v>
      </c>
      <c r="AO8" s="2">
        <v>0.53200000000000003</v>
      </c>
      <c r="AR8" s="2" t="s">
        <v>849</v>
      </c>
      <c r="AS8" s="2" t="s">
        <v>849</v>
      </c>
      <c r="AU8" s="2" t="s">
        <v>1818</v>
      </c>
      <c r="AV8" s="2" t="s">
        <v>1822</v>
      </c>
      <c r="AW8" s="2" t="s">
        <v>1823</v>
      </c>
      <c r="AX8" s="2" t="s">
        <v>1821</v>
      </c>
      <c r="AY8" s="2" t="s">
        <v>79</v>
      </c>
    </row>
    <row r="9" spans="1:51" x14ac:dyDescent="0.2">
      <c r="A9" s="2" t="s">
        <v>88</v>
      </c>
      <c r="B9" s="2" t="s">
        <v>89</v>
      </c>
      <c r="D9" s="2">
        <v>2001</v>
      </c>
      <c r="E9" s="2" t="s">
        <v>171</v>
      </c>
      <c r="F9" s="2" t="s">
        <v>216</v>
      </c>
      <c r="G9" s="2" t="s">
        <v>856</v>
      </c>
      <c r="H9" s="2" t="s">
        <v>108</v>
      </c>
      <c r="I9" s="2" t="s">
        <v>87</v>
      </c>
      <c r="J9" s="2" t="s">
        <v>85</v>
      </c>
      <c r="K9" s="2" t="s">
        <v>37</v>
      </c>
      <c r="P9" s="2" t="s">
        <v>22</v>
      </c>
      <c r="Q9" s="2" t="s">
        <v>29</v>
      </c>
      <c r="R9" s="2" t="s">
        <v>41</v>
      </c>
      <c r="S9" s="2" t="s">
        <v>47</v>
      </c>
      <c r="T9" s="2" t="s">
        <v>50</v>
      </c>
      <c r="U9" s="2" t="s">
        <v>54</v>
      </c>
      <c r="V9" s="2">
        <v>97</v>
      </c>
      <c r="AH9" s="2" t="s">
        <v>4</v>
      </c>
      <c r="AN9" s="2">
        <v>17</v>
      </c>
      <c r="AO9" s="2">
        <v>0.52</v>
      </c>
      <c r="AR9" s="2" t="s">
        <v>849</v>
      </c>
      <c r="AS9" s="2" t="s">
        <v>849</v>
      </c>
      <c r="AU9" s="2" t="s">
        <v>1818</v>
      </c>
      <c r="AV9" s="2" t="s">
        <v>1822</v>
      </c>
      <c r="AW9" s="2" t="s">
        <v>1823</v>
      </c>
      <c r="AX9" s="2" t="s">
        <v>1821</v>
      </c>
      <c r="AY9" s="2" t="s">
        <v>79</v>
      </c>
    </row>
    <row r="10" spans="1:51" x14ac:dyDescent="0.2">
      <c r="A10" s="2" t="s">
        <v>93</v>
      </c>
      <c r="B10" s="2" t="s">
        <v>94</v>
      </c>
      <c r="D10" s="2">
        <v>1998</v>
      </c>
      <c r="E10" s="2" t="s">
        <v>172</v>
      </c>
      <c r="F10" s="2" t="s">
        <v>218</v>
      </c>
      <c r="G10" s="2" t="s">
        <v>857</v>
      </c>
      <c r="H10" s="2" t="s">
        <v>110</v>
      </c>
      <c r="I10" s="2" t="s">
        <v>1769</v>
      </c>
      <c r="J10" s="2" t="s">
        <v>32</v>
      </c>
      <c r="K10" s="2" t="s">
        <v>37</v>
      </c>
      <c r="P10" s="2" t="s">
        <v>79</v>
      </c>
      <c r="Q10" s="2" t="s">
        <v>30</v>
      </c>
      <c r="R10" s="2" t="s">
        <v>41</v>
      </c>
      <c r="S10" s="2" t="s">
        <v>48</v>
      </c>
      <c r="T10" s="2" t="s">
        <v>50</v>
      </c>
      <c r="U10" s="2" t="s">
        <v>54</v>
      </c>
      <c r="V10" s="2">
        <v>106</v>
      </c>
      <c r="X10" s="2">
        <v>113</v>
      </c>
      <c r="Y10" s="2">
        <v>54</v>
      </c>
      <c r="AB10" s="2">
        <v>11.6</v>
      </c>
      <c r="AC10" s="2">
        <v>0.99</v>
      </c>
      <c r="AD10" s="2">
        <v>7.3</v>
      </c>
      <c r="AE10" s="2">
        <v>1.33</v>
      </c>
      <c r="AF10" s="2" t="s">
        <v>74</v>
      </c>
      <c r="AG10" s="2" t="s">
        <v>65</v>
      </c>
      <c r="AH10" s="2" t="str">
        <f>IF(AF10="mean", "mean", "")</f>
        <v>mean</v>
      </c>
      <c r="AR10" s="2" t="s">
        <v>222</v>
      </c>
      <c r="AS10" s="2" t="s">
        <v>849</v>
      </c>
      <c r="AU10" s="2" t="s">
        <v>1818</v>
      </c>
      <c r="AV10" s="2" t="s">
        <v>1822</v>
      </c>
      <c r="AW10" s="2" t="s">
        <v>1823</v>
      </c>
      <c r="AX10" s="2" t="s">
        <v>1829</v>
      </c>
      <c r="AY10" s="2" t="s">
        <v>79</v>
      </c>
    </row>
    <row r="11" spans="1:51" x14ac:dyDescent="0.2">
      <c r="A11" s="2" t="s">
        <v>93</v>
      </c>
      <c r="B11" s="2" t="s">
        <v>94</v>
      </c>
      <c r="D11" s="2">
        <v>1998</v>
      </c>
      <c r="E11" s="2" t="s">
        <v>172</v>
      </c>
      <c r="F11" s="2" t="s">
        <v>218</v>
      </c>
      <c r="G11" s="2" t="s">
        <v>857</v>
      </c>
      <c r="H11" s="2" t="s">
        <v>111</v>
      </c>
      <c r="I11" s="2" t="s">
        <v>1769</v>
      </c>
      <c r="J11" s="2" t="s">
        <v>32</v>
      </c>
      <c r="K11" s="2" t="s">
        <v>37</v>
      </c>
      <c r="P11" s="2" t="s">
        <v>79</v>
      </c>
      <c r="Q11" s="2" t="s">
        <v>30</v>
      </c>
      <c r="R11" s="2" t="s">
        <v>41</v>
      </c>
      <c r="S11" s="2" t="s">
        <v>48</v>
      </c>
      <c r="T11" s="2" t="s">
        <v>50</v>
      </c>
      <c r="U11" s="2" t="s">
        <v>54</v>
      </c>
      <c r="V11" s="2">
        <v>106</v>
      </c>
      <c r="X11" s="2">
        <v>95</v>
      </c>
      <c r="Y11" s="2">
        <v>72</v>
      </c>
      <c r="Z11" s="2">
        <v>49</v>
      </c>
      <c r="AA11" s="2">
        <v>19</v>
      </c>
      <c r="AH11" s="2" t="s">
        <v>1804</v>
      </c>
      <c r="AR11" s="2" t="s">
        <v>222</v>
      </c>
      <c r="AS11" s="2" t="s">
        <v>849</v>
      </c>
      <c r="AU11" s="2" t="s">
        <v>1818</v>
      </c>
      <c r="AV11" s="2" t="s">
        <v>1822</v>
      </c>
      <c r="AW11" s="2" t="s">
        <v>1823</v>
      </c>
      <c r="AX11" s="2" t="s">
        <v>1829</v>
      </c>
      <c r="AY11" s="2" t="s">
        <v>79</v>
      </c>
    </row>
    <row r="12" spans="1:51" x14ac:dyDescent="0.2">
      <c r="A12" s="2" t="s">
        <v>93</v>
      </c>
      <c r="B12" s="2" t="s">
        <v>94</v>
      </c>
      <c r="D12" s="2">
        <v>1998</v>
      </c>
      <c r="E12" s="2" t="s">
        <v>172</v>
      </c>
      <c r="F12" s="2" t="s">
        <v>219</v>
      </c>
      <c r="G12" s="2" t="s">
        <v>858</v>
      </c>
      <c r="H12" s="2" t="s">
        <v>112</v>
      </c>
      <c r="I12" s="2" t="s">
        <v>1769</v>
      </c>
      <c r="J12" s="2" t="s">
        <v>32</v>
      </c>
      <c r="K12" s="2" t="s">
        <v>37</v>
      </c>
      <c r="P12" s="2" t="s">
        <v>79</v>
      </c>
      <c r="Q12" s="2" t="s">
        <v>30</v>
      </c>
      <c r="R12" s="2" t="s">
        <v>41</v>
      </c>
      <c r="S12" s="2" t="s">
        <v>48</v>
      </c>
      <c r="T12" s="2" t="s">
        <v>50</v>
      </c>
      <c r="U12" s="2" t="s">
        <v>54</v>
      </c>
      <c r="V12" s="2">
        <v>106</v>
      </c>
      <c r="X12" s="2">
        <v>88</v>
      </c>
      <c r="Y12" s="2">
        <v>62</v>
      </c>
      <c r="Z12" s="2">
        <v>40</v>
      </c>
      <c r="AA12" s="2">
        <v>24</v>
      </c>
      <c r="AH12" s="2" t="s">
        <v>1804</v>
      </c>
      <c r="AR12" s="2" t="s">
        <v>222</v>
      </c>
      <c r="AS12" s="2" t="s">
        <v>849</v>
      </c>
      <c r="AU12" s="2" t="s">
        <v>1818</v>
      </c>
      <c r="AV12" s="2" t="s">
        <v>1822</v>
      </c>
      <c r="AW12" s="2" t="s">
        <v>1823</v>
      </c>
      <c r="AX12" s="2" t="s">
        <v>1829</v>
      </c>
      <c r="AY12" s="2" t="s">
        <v>79</v>
      </c>
    </row>
    <row r="13" spans="1:51" x14ac:dyDescent="0.2">
      <c r="A13" s="2" t="s">
        <v>93</v>
      </c>
      <c r="B13" s="2" t="s">
        <v>94</v>
      </c>
      <c r="D13" s="2">
        <v>1998</v>
      </c>
      <c r="E13" s="2" t="s">
        <v>172</v>
      </c>
      <c r="F13" s="2" t="s">
        <v>219</v>
      </c>
      <c r="G13" s="2" t="s">
        <v>859</v>
      </c>
      <c r="H13" s="2" t="s">
        <v>113</v>
      </c>
      <c r="I13" s="2" t="s">
        <v>1769</v>
      </c>
      <c r="J13" s="2" t="s">
        <v>32</v>
      </c>
      <c r="K13" s="2" t="s">
        <v>37</v>
      </c>
      <c r="P13" s="2" t="s">
        <v>79</v>
      </c>
      <c r="Q13" s="2" t="s">
        <v>30</v>
      </c>
      <c r="R13" s="2" t="s">
        <v>41</v>
      </c>
      <c r="S13" s="2" t="s">
        <v>48</v>
      </c>
      <c r="T13" s="2" t="s">
        <v>50</v>
      </c>
      <c r="U13" s="2" t="s">
        <v>54</v>
      </c>
      <c r="V13" s="2">
        <v>106</v>
      </c>
      <c r="AH13" s="2" t="s">
        <v>4</v>
      </c>
      <c r="AN13" s="2">
        <v>124</v>
      </c>
      <c r="AO13" s="2">
        <v>0.12</v>
      </c>
      <c r="AR13" s="2" t="s">
        <v>222</v>
      </c>
      <c r="AS13" s="2" t="s">
        <v>849</v>
      </c>
      <c r="AU13" s="2" t="s">
        <v>1818</v>
      </c>
      <c r="AV13" s="2" t="s">
        <v>1822</v>
      </c>
      <c r="AW13" s="2" t="s">
        <v>1823</v>
      </c>
      <c r="AX13" s="2" t="s">
        <v>1829</v>
      </c>
      <c r="AY13" s="2" t="s">
        <v>79</v>
      </c>
    </row>
    <row r="14" spans="1:51" x14ac:dyDescent="0.2">
      <c r="A14" s="2" t="s">
        <v>93</v>
      </c>
      <c r="B14" s="2" t="s">
        <v>94</v>
      </c>
      <c r="D14" s="2">
        <v>1998</v>
      </c>
      <c r="E14" s="2" t="s">
        <v>172</v>
      </c>
      <c r="F14" s="2" t="s">
        <v>220</v>
      </c>
      <c r="G14" s="2" t="s">
        <v>860</v>
      </c>
      <c r="H14" s="2" t="s">
        <v>114</v>
      </c>
      <c r="I14" s="2" t="s">
        <v>1769</v>
      </c>
      <c r="J14" s="2" t="s">
        <v>32</v>
      </c>
      <c r="K14" s="2" t="s">
        <v>37</v>
      </c>
      <c r="P14" s="2" t="s">
        <v>79</v>
      </c>
      <c r="Q14" s="2" t="s">
        <v>30</v>
      </c>
      <c r="R14" s="2" t="s">
        <v>41</v>
      </c>
      <c r="S14" s="2" t="s">
        <v>48</v>
      </c>
      <c r="T14" s="2" t="s">
        <v>50</v>
      </c>
      <c r="U14" s="2" t="s">
        <v>53</v>
      </c>
      <c r="V14" s="2">
        <v>107</v>
      </c>
      <c r="W14" s="2" t="s">
        <v>95</v>
      </c>
      <c r="X14" s="2">
        <v>466</v>
      </c>
      <c r="Y14" s="2">
        <v>26</v>
      </c>
      <c r="AB14" s="2">
        <v>0.9</v>
      </c>
      <c r="AC14" s="2">
        <v>0.04</v>
      </c>
      <c r="AD14" s="2">
        <v>0.73</v>
      </c>
      <c r="AE14" s="2">
        <v>0.2</v>
      </c>
      <c r="AF14" s="2" t="s">
        <v>74</v>
      </c>
      <c r="AG14" s="2" t="s">
        <v>65</v>
      </c>
      <c r="AH14" s="2" t="str">
        <f>IF(AF14="mean", "mean", "")</f>
        <v>mean</v>
      </c>
      <c r="AR14" s="2" t="s">
        <v>222</v>
      </c>
      <c r="AS14" s="2" t="s">
        <v>849</v>
      </c>
      <c r="AU14" s="2" t="s">
        <v>1818</v>
      </c>
      <c r="AV14" s="2" t="s">
        <v>1822</v>
      </c>
      <c r="AW14" s="2" t="s">
        <v>1823</v>
      </c>
      <c r="AX14" s="2" t="s">
        <v>1829</v>
      </c>
      <c r="AY14" s="2" t="s">
        <v>79</v>
      </c>
    </row>
    <row r="15" spans="1:51" x14ac:dyDescent="0.2">
      <c r="A15" s="2" t="s">
        <v>93</v>
      </c>
      <c r="B15" s="2" t="s">
        <v>94</v>
      </c>
      <c r="D15" s="2">
        <v>1998</v>
      </c>
      <c r="E15" s="2" t="s">
        <v>172</v>
      </c>
      <c r="F15" s="2" t="s">
        <v>220</v>
      </c>
      <c r="G15" s="2" t="s">
        <v>860</v>
      </c>
      <c r="H15" s="2" t="s">
        <v>115</v>
      </c>
      <c r="I15" s="2" t="s">
        <v>1769</v>
      </c>
      <c r="J15" s="2" t="s">
        <v>32</v>
      </c>
      <c r="K15" s="2" t="s">
        <v>37</v>
      </c>
      <c r="P15" s="2" t="s">
        <v>79</v>
      </c>
      <c r="Q15" s="2" t="s">
        <v>30</v>
      </c>
      <c r="R15" s="2" t="s">
        <v>41</v>
      </c>
      <c r="S15" s="2" t="s">
        <v>48</v>
      </c>
      <c r="T15" s="2" t="s">
        <v>50</v>
      </c>
      <c r="U15" s="2" t="s">
        <v>53</v>
      </c>
      <c r="V15" s="2">
        <v>107</v>
      </c>
      <c r="W15" s="2" t="s">
        <v>95</v>
      </c>
      <c r="X15" s="2">
        <v>466</v>
      </c>
      <c r="Y15" s="2">
        <v>45</v>
      </c>
      <c r="AB15" s="2">
        <v>0.9</v>
      </c>
      <c r="AC15" s="2">
        <v>0.04</v>
      </c>
      <c r="AD15" s="2">
        <v>1.1100000000000001</v>
      </c>
      <c r="AE15" s="2">
        <v>0.17</v>
      </c>
      <c r="AF15" s="2" t="s">
        <v>74</v>
      </c>
      <c r="AG15" s="2" t="s">
        <v>65</v>
      </c>
      <c r="AH15" s="2" t="str">
        <f>IF(AF15="mean", "mean", "")</f>
        <v>mean</v>
      </c>
      <c r="AR15" s="2" t="s">
        <v>222</v>
      </c>
      <c r="AS15" s="2" t="s">
        <v>849</v>
      </c>
      <c r="AU15" s="2" t="s">
        <v>1818</v>
      </c>
      <c r="AV15" s="2" t="s">
        <v>1822</v>
      </c>
      <c r="AW15" s="2" t="s">
        <v>1823</v>
      </c>
      <c r="AX15" s="2" t="s">
        <v>1829</v>
      </c>
      <c r="AY15" s="2" t="s">
        <v>79</v>
      </c>
    </row>
    <row r="16" spans="1:51" x14ac:dyDescent="0.2">
      <c r="A16" s="2" t="s">
        <v>93</v>
      </c>
      <c r="B16" s="2" t="s">
        <v>94</v>
      </c>
      <c r="D16" s="2">
        <v>1998</v>
      </c>
      <c r="E16" s="2" t="s">
        <v>172</v>
      </c>
      <c r="F16" s="2" t="s">
        <v>221</v>
      </c>
      <c r="G16" s="2" t="s">
        <v>861</v>
      </c>
      <c r="H16" s="2" t="s">
        <v>116</v>
      </c>
      <c r="I16" s="2" t="s">
        <v>1769</v>
      </c>
      <c r="J16" s="2" t="s">
        <v>32</v>
      </c>
      <c r="K16" s="2" t="s">
        <v>37</v>
      </c>
      <c r="P16" s="2" t="s">
        <v>79</v>
      </c>
      <c r="Q16" s="2" t="s">
        <v>30</v>
      </c>
      <c r="R16" s="2" t="s">
        <v>41</v>
      </c>
      <c r="S16" s="2" t="s">
        <v>48</v>
      </c>
      <c r="T16" s="2" t="s">
        <v>50</v>
      </c>
      <c r="U16" s="2" t="s">
        <v>53</v>
      </c>
      <c r="V16" s="2">
        <v>107</v>
      </c>
      <c r="W16" s="2" t="s">
        <v>95</v>
      </c>
      <c r="X16" s="2">
        <v>88</v>
      </c>
      <c r="Y16" s="2">
        <v>62</v>
      </c>
      <c r="AB16" s="2">
        <v>0.42</v>
      </c>
      <c r="AC16" s="2">
        <v>7.0000000000000007E-2</v>
      </c>
      <c r="AD16" s="2">
        <v>0.52</v>
      </c>
      <c r="AE16" s="2">
        <v>0.06</v>
      </c>
      <c r="AF16" s="2" t="s">
        <v>74</v>
      </c>
      <c r="AG16" s="2" t="s">
        <v>65</v>
      </c>
      <c r="AH16" s="2" t="str">
        <f>IF(AF16="mean", "mean", "")</f>
        <v>mean</v>
      </c>
      <c r="AR16" s="2" t="s">
        <v>222</v>
      </c>
      <c r="AS16" s="2" t="s">
        <v>849</v>
      </c>
      <c r="AU16" s="2" t="s">
        <v>1818</v>
      </c>
      <c r="AV16" s="2" t="s">
        <v>1822</v>
      </c>
      <c r="AW16" s="2" t="s">
        <v>1823</v>
      </c>
      <c r="AX16" s="2" t="s">
        <v>1829</v>
      </c>
      <c r="AY16" s="2" t="s">
        <v>79</v>
      </c>
    </row>
    <row r="17" spans="1:51" x14ac:dyDescent="0.2">
      <c r="A17" s="2" t="s">
        <v>142</v>
      </c>
      <c r="B17" s="2" t="s">
        <v>143</v>
      </c>
      <c r="C17" s="2" t="s">
        <v>144</v>
      </c>
      <c r="D17" s="2">
        <v>2001</v>
      </c>
      <c r="E17" s="2" t="s">
        <v>173</v>
      </c>
      <c r="F17" s="2" t="s">
        <v>276</v>
      </c>
      <c r="G17" s="2" t="s">
        <v>862</v>
      </c>
      <c r="H17" s="2" t="s">
        <v>117</v>
      </c>
      <c r="I17" s="2" t="s">
        <v>145</v>
      </c>
      <c r="J17" s="2" t="s">
        <v>137</v>
      </c>
      <c r="K17" s="2" t="s">
        <v>37</v>
      </c>
      <c r="P17" s="2" t="s">
        <v>22</v>
      </c>
      <c r="Q17" s="2" t="s">
        <v>30</v>
      </c>
      <c r="R17" s="2" t="s">
        <v>41</v>
      </c>
      <c r="S17" s="2" t="s">
        <v>47</v>
      </c>
      <c r="T17" s="2" t="s">
        <v>50</v>
      </c>
      <c r="U17" s="2" t="s">
        <v>52</v>
      </c>
      <c r="V17" s="2">
        <v>299</v>
      </c>
      <c r="W17" s="2" t="s">
        <v>146</v>
      </c>
      <c r="X17" s="2">
        <v>5076</v>
      </c>
      <c r="Y17" s="2">
        <v>848</v>
      </c>
      <c r="Z17" s="2">
        <v>1365</v>
      </c>
      <c r="AA17" s="2">
        <v>96.57</v>
      </c>
      <c r="AH17" s="2" t="s">
        <v>1804</v>
      </c>
      <c r="AR17" s="2" t="s">
        <v>222</v>
      </c>
      <c r="AS17" s="2" t="s">
        <v>849</v>
      </c>
      <c r="AU17" s="2" t="s">
        <v>1818</v>
      </c>
      <c r="AV17" s="2" t="s">
        <v>1822</v>
      </c>
      <c r="AW17" s="2" t="s">
        <v>1823</v>
      </c>
      <c r="AX17" s="2" t="s">
        <v>1833</v>
      </c>
      <c r="AY17" s="2" t="s">
        <v>79</v>
      </c>
    </row>
    <row r="18" spans="1:51" x14ac:dyDescent="0.2">
      <c r="A18" s="2" t="s">
        <v>142</v>
      </c>
      <c r="B18" s="2" t="s">
        <v>143</v>
      </c>
      <c r="C18" s="2" t="s">
        <v>144</v>
      </c>
      <c r="D18" s="2">
        <v>2001</v>
      </c>
      <c r="E18" s="2" t="s">
        <v>173</v>
      </c>
      <c r="F18" s="2" t="s">
        <v>277</v>
      </c>
      <c r="G18" s="2" t="s">
        <v>863</v>
      </c>
      <c r="H18" s="2" t="s">
        <v>118</v>
      </c>
      <c r="I18" s="2" t="s">
        <v>145</v>
      </c>
      <c r="J18" s="2" t="s">
        <v>137</v>
      </c>
      <c r="K18" s="2" t="s">
        <v>37</v>
      </c>
      <c r="P18" s="2" t="s">
        <v>22</v>
      </c>
      <c r="Q18" s="2" t="s">
        <v>30</v>
      </c>
      <c r="R18" s="2" t="s">
        <v>41</v>
      </c>
      <c r="S18" s="2" t="s">
        <v>48</v>
      </c>
      <c r="T18" s="2" t="s">
        <v>50</v>
      </c>
      <c r="U18" s="2" t="s">
        <v>54</v>
      </c>
      <c r="V18" s="2">
        <v>300</v>
      </c>
      <c r="X18" s="2">
        <v>299</v>
      </c>
      <c r="Y18" s="2">
        <v>299</v>
      </c>
      <c r="Z18" s="2">
        <v>256</v>
      </c>
      <c r="AA18" s="2">
        <v>43</v>
      </c>
      <c r="AH18" s="2" t="s">
        <v>1804</v>
      </c>
      <c r="AR18" s="2" t="s">
        <v>222</v>
      </c>
      <c r="AS18" s="2" t="s">
        <v>849</v>
      </c>
      <c r="AU18" s="2" t="s">
        <v>1818</v>
      </c>
      <c r="AV18" s="2" t="s">
        <v>1822</v>
      </c>
      <c r="AW18" s="2" t="s">
        <v>1823</v>
      </c>
      <c r="AX18" s="2" t="s">
        <v>1833</v>
      </c>
      <c r="AY18" s="2" t="s">
        <v>79</v>
      </c>
    </row>
    <row r="19" spans="1:51" x14ac:dyDescent="0.2">
      <c r="A19" s="2" t="s">
        <v>142</v>
      </c>
      <c r="B19" s="2" t="s">
        <v>143</v>
      </c>
      <c r="C19" s="2" t="s">
        <v>144</v>
      </c>
      <c r="D19" s="2">
        <v>2001</v>
      </c>
      <c r="E19" s="2" t="s">
        <v>173</v>
      </c>
      <c r="F19" s="2" t="s">
        <v>277</v>
      </c>
      <c r="G19" s="2" t="s">
        <v>863</v>
      </c>
      <c r="H19" s="2" t="s">
        <v>119</v>
      </c>
      <c r="I19" s="2" t="s">
        <v>145</v>
      </c>
      <c r="J19" s="2" t="s">
        <v>137</v>
      </c>
      <c r="K19" s="2" t="s">
        <v>37</v>
      </c>
      <c r="P19" s="2" t="s">
        <v>22</v>
      </c>
      <c r="Q19" s="2" t="s">
        <v>30</v>
      </c>
      <c r="R19" s="2" t="s">
        <v>41</v>
      </c>
      <c r="S19" s="2" t="s">
        <v>47</v>
      </c>
      <c r="T19" s="2" t="s">
        <v>50</v>
      </c>
      <c r="U19" s="2" t="s">
        <v>54</v>
      </c>
      <c r="V19" s="2">
        <v>300</v>
      </c>
      <c r="X19" s="2">
        <v>100</v>
      </c>
      <c r="Y19" s="2">
        <v>100</v>
      </c>
      <c r="Z19" s="2">
        <v>68</v>
      </c>
      <c r="AA19" s="2">
        <v>32</v>
      </c>
      <c r="AH19" s="2" t="s">
        <v>1804</v>
      </c>
      <c r="AR19" s="2" t="s">
        <v>222</v>
      </c>
      <c r="AS19" s="2" t="s">
        <v>849</v>
      </c>
      <c r="AU19" s="2" t="s">
        <v>1818</v>
      </c>
      <c r="AV19" s="2" t="s">
        <v>1822</v>
      </c>
      <c r="AW19" s="2" t="s">
        <v>1823</v>
      </c>
      <c r="AX19" s="2" t="s">
        <v>1833</v>
      </c>
      <c r="AY19" s="2" t="s">
        <v>79</v>
      </c>
    </row>
    <row r="20" spans="1:51" x14ac:dyDescent="0.2">
      <c r="A20" s="2" t="s">
        <v>142</v>
      </c>
      <c r="B20" s="2" t="s">
        <v>143</v>
      </c>
      <c r="C20" s="2" t="s">
        <v>144</v>
      </c>
      <c r="D20" s="2">
        <v>2001</v>
      </c>
      <c r="E20" s="2" t="s">
        <v>173</v>
      </c>
      <c r="F20" s="2" t="s">
        <v>277</v>
      </c>
      <c r="G20" s="2" t="s">
        <v>864</v>
      </c>
      <c r="H20" s="2" t="s">
        <v>120</v>
      </c>
      <c r="I20" s="2" t="s">
        <v>145</v>
      </c>
      <c r="J20" s="2" t="s">
        <v>137</v>
      </c>
      <c r="K20" s="2" t="s">
        <v>37</v>
      </c>
      <c r="P20" s="2" t="s">
        <v>22</v>
      </c>
      <c r="Q20" s="2" t="s">
        <v>30</v>
      </c>
      <c r="R20" s="2" t="s">
        <v>41</v>
      </c>
      <c r="S20" s="2" t="s">
        <v>47</v>
      </c>
      <c r="T20" s="2" t="s">
        <v>50</v>
      </c>
      <c r="U20" s="2" t="s">
        <v>147</v>
      </c>
      <c r="V20" s="2">
        <v>300</v>
      </c>
      <c r="W20" s="2" t="s">
        <v>96</v>
      </c>
      <c r="X20" s="2">
        <v>179</v>
      </c>
      <c r="Y20" s="2">
        <v>267</v>
      </c>
      <c r="Z20" s="2">
        <v>137</v>
      </c>
      <c r="AA20" s="2">
        <v>151</v>
      </c>
      <c r="AH20" s="2" t="s">
        <v>1804</v>
      </c>
      <c r="AR20" s="2" t="s">
        <v>222</v>
      </c>
      <c r="AS20" s="2" t="s">
        <v>849</v>
      </c>
      <c r="AU20" s="2" t="s">
        <v>1818</v>
      </c>
      <c r="AV20" s="2" t="s">
        <v>1822</v>
      </c>
      <c r="AW20" s="2" t="s">
        <v>1823</v>
      </c>
      <c r="AX20" s="2" t="s">
        <v>1833</v>
      </c>
      <c r="AY20" s="2" t="s">
        <v>79</v>
      </c>
    </row>
    <row r="21" spans="1:51" x14ac:dyDescent="0.2">
      <c r="A21" s="2" t="s">
        <v>142</v>
      </c>
      <c r="B21" s="2" t="s">
        <v>143</v>
      </c>
      <c r="C21" s="2" t="s">
        <v>144</v>
      </c>
      <c r="D21" s="2">
        <v>2001</v>
      </c>
      <c r="E21" s="2" t="s">
        <v>173</v>
      </c>
      <c r="F21" s="2" t="s">
        <v>277</v>
      </c>
      <c r="G21" s="2" t="s">
        <v>865</v>
      </c>
      <c r="H21" s="2" t="s">
        <v>121</v>
      </c>
      <c r="I21" s="2" t="s">
        <v>145</v>
      </c>
      <c r="J21" s="2" t="s">
        <v>137</v>
      </c>
      <c r="K21" s="2" t="s">
        <v>37</v>
      </c>
      <c r="P21" s="2" t="s">
        <v>22</v>
      </c>
      <c r="Q21" s="2" t="s">
        <v>30</v>
      </c>
      <c r="R21" s="2" t="s">
        <v>41</v>
      </c>
      <c r="S21" s="2" t="s">
        <v>47</v>
      </c>
      <c r="T21" s="2" t="s">
        <v>50</v>
      </c>
      <c r="U21" s="2" t="s">
        <v>53</v>
      </c>
      <c r="V21" s="2">
        <v>300</v>
      </c>
      <c r="W21" s="2" t="s">
        <v>148</v>
      </c>
      <c r="X21" s="2">
        <v>50</v>
      </c>
      <c r="Y21" s="2">
        <v>50</v>
      </c>
      <c r="Z21" s="2">
        <v>41</v>
      </c>
      <c r="AA21" s="2">
        <v>10</v>
      </c>
      <c r="AH21" s="2" t="s">
        <v>1804</v>
      </c>
      <c r="AR21" s="2" t="s">
        <v>222</v>
      </c>
      <c r="AS21" s="2" t="s">
        <v>849</v>
      </c>
      <c r="AU21" s="2" t="s">
        <v>1818</v>
      </c>
      <c r="AV21" s="2" t="s">
        <v>1822</v>
      </c>
      <c r="AW21" s="2" t="s">
        <v>1823</v>
      </c>
      <c r="AX21" s="2" t="s">
        <v>1833</v>
      </c>
      <c r="AY21" s="2" t="s">
        <v>79</v>
      </c>
    </row>
    <row r="22" spans="1:51" x14ac:dyDescent="0.2">
      <c r="A22" s="2" t="s">
        <v>142</v>
      </c>
      <c r="B22" s="2" t="s">
        <v>143</v>
      </c>
      <c r="C22" s="2" t="s">
        <v>144</v>
      </c>
      <c r="D22" s="2">
        <v>2001</v>
      </c>
      <c r="E22" s="2" t="s">
        <v>173</v>
      </c>
      <c r="F22" s="2" t="s">
        <v>277</v>
      </c>
      <c r="G22" s="2" t="s">
        <v>865</v>
      </c>
      <c r="H22" s="2" t="s">
        <v>122</v>
      </c>
      <c r="I22" s="2" t="s">
        <v>145</v>
      </c>
      <c r="J22" s="2" t="s">
        <v>137</v>
      </c>
      <c r="K22" s="2" t="s">
        <v>37</v>
      </c>
      <c r="P22" s="2" t="s">
        <v>22</v>
      </c>
      <c r="Q22" s="2" t="s">
        <v>30</v>
      </c>
      <c r="R22" s="2" t="s">
        <v>41</v>
      </c>
      <c r="S22" s="2" t="s">
        <v>47</v>
      </c>
      <c r="T22" s="2" t="s">
        <v>50</v>
      </c>
      <c r="U22" s="2" t="s">
        <v>53</v>
      </c>
      <c r="V22" s="2">
        <v>300</v>
      </c>
      <c r="W22" s="2" t="s">
        <v>148</v>
      </c>
      <c r="X22" s="2">
        <v>50</v>
      </c>
      <c r="Y22" s="2">
        <v>50</v>
      </c>
      <c r="Z22" s="2">
        <v>40</v>
      </c>
      <c r="AA22" s="2">
        <v>5</v>
      </c>
      <c r="AH22" s="2" t="s">
        <v>1804</v>
      </c>
      <c r="AR22" s="2" t="s">
        <v>222</v>
      </c>
      <c r="AS22" s="2" t="s">
        <v>849</v>
      </c>
      <c r="AU22" s="2" t="s">
        <v>1818</v>
      </c>
      <c r="AV22" s="2" t="s">
        <v>1822</v>
      </c>
      <c r="AW22" s="2" t="s">
        <v>1823</v>
      </c>
      <c r="AX22" s="2" t="s">
        <v>1833</v>
      </c>
      <c r="AY22" s="2" t="s">
        <v>79</v>
      </c>
    </row>
    <row r="23" spans="1:51" x14ac:dyDescent="0.2">
      <c r="A23" s="2" t="s">
        <v>142</v>
      </c>
      <c r="B23" s="2" t="s">
        <v>143</v>
      </c>
      <c r="C23" s="2" t="s">
        <v>144</v>
      </c>
      <c r="D23" s="2">
        <v>2001</v>
      </c>
      <c r="E23" s="2" t="s">
        <v>173</v>
      </c>
      <c r="F23" s="2" t="s">
        <v>277</v>
      </c>
      <c r="G23" s="2" t="s">
        <v>865</v>
      </c>
      <c r="H23" s="2" t="s">
        <v>123</v>
      </c>
      <c r="I23" s="2" t="s">
        <v>145</v>
      </c>
      <c r="J23" s="2" t="s">
        <v>137</v>
      </c>
      <c r="K23" s="2" t="s">
        <v>37</v>
      </c>
      <c r="P23" s="2" t="s">
        <v>22</v>
      </c>
      <c r="Q23" s="2" t="s">
        <v>30</v>
      </c>
      <c r="R23" s="2" t="s">
        <v>41</v>
      </c>
      <c r="S23" s="2" t="s">
        <v>47</v>
      </c>
      <c r="T23" s="2" t="s">
        <v>50</v>
      </c>
      <c r="U23" s="2" t="s">
        <v>53</v>
      </c>
      <c r="V23" s="2">
        <v>300</v>
      </c>
      <c r="W23" s="2" t="s">
        <v>148</v>
      </c>
      <c r="X23" s="2">
        <v>57</v>
      </c>
      <c r="Y23" s="2">
        <v>42</v>
      </c>
      <c r="Z23" s="2">
        <v>24</v>
      </c>
      <c r="AA23" s="2">
        <v>3</v>
      </c>
      <c r="AH23" s="2" t="s">
        <v>1804</v>
      </c>
      <c r="AR23" s="2" t="s">
        <v>222</v>
      </c>
      <c r="AS23" s="2" t="s">
        <v>849</v>
      </c>
      <c r="AU23" s="2" t="s">
        <v>1818</v>
      </c>
      <c r="AV23" s="2" t="s">
        <v>1822</v>
      </c>
      <c r="AW23" s="2" t="s">
        <v>1823</v>
      </c>
      <c r="AX23" s="2" t="s">
        <v>1833</v>
      </c>
      <c r="AY23" s="2" t="s">
        <v>79</v>
      </c>
    </row>
    <row r="24" spans="1:51" x14ac:dyDescent="0.2">
      <c r="A24" s="2" t="s">
        <v>142</v>
      </c>
      <c r="B24" s="2" t="s">
        <v>143</v>
      </c>
      <c r="C24" s="2" t="s">
        <v>144</v>
      </c>
      <c r="D24" s="2">
        <v>2001</v>
      </c>
      <c r="E24" s="2" t="s">
        <v>173</v>
      </c>
      <c r="F24" s="2" t="s">
        <v>277</v>
      </c>
      <c r="G24" s="2" t="s">
        <v>865</v>
      </c>
      <c r="H24" s="2" t="s">
        <v>124</v>
      </c>
      <c r="I24" s="2" t="s">
        <v>145</v>
      </c>
      <c r="J24" s="2" t="s">
        <v>137</v>
      </c>
      <c r="K24" s="2" t="s">
        <v>37</v>
      </c>
      <c r="P24" s="2" t="s">
        <v>22</v>
      </c>
      <c r="Q24" s="2" t="s">
        <v>30</v>
      </c>
      <c r="R24" s="2" t="s">
        <v>41</v>
      </c>
      <c r="S24" s="2" t="s">
        <v>47</v>
      </c>
      <c r="T24" s="2" t="s">
        <v>50</v>
      </c>
      <c r="U24" s="2" t="s">
        <v>53</v>
      </c>
      <c r="V24" s="2">
        <v>300</v>
      </c>
      <c r="W24" s="2" t="s">
        <v>148</v>
      </c>
      <c r="X24" s="2">
        <v>55</v>
      </c>
      <c r="Y24" s="2">
        <v>43</v>
      </c>
      <c r="Z24" s="2">
        <v>33</v>
      </c>
      <c r="AA24" s="2">
        <v>6</v>
      </c>
      <c r="AH24" s="2" t="s">
        <v>1804</v>
      </c>
      <c r="AR24" s="2" t="s">
        <v>222</v>
      </c>
      <c r="AS24" s="2" t="s">
        <v>849</v>
      </c>
      <c r="AU24" s="2" t="s">
        <v>1818</v>
      </c>
      <c r="AV24" s="2" t="s">
        <v>1822</v>
      </c>
      <c r="AW24" s="2" t="s">
        <v>1823</v>
      </c>
      <c r="AX24" s="2" t="s">
        <v>1833</v>
      </c>
      <c r="AY24" s="2" t="s">
        <v>79</v>
      </c>
    </row>
    <row r="25" spans="1:51" x14ac:dyDescent="0.2">
      <c r="A25" s="2" t="s">
        <v>98</v>
      </c>
      <c r="B25" s="2" t="s">
        <v>99</v>
      </c>
      <c r="C25" s="2" t="s">
        <v>100</v>
      </c>
      <c r="D25" s="2">
        <v>2015</v>
      </c>
      <c r="E25" s="2" t="s">
        <v>174</v>
      </c>
      <c r="F25" s="2" t="s">
        <v>278</v>
      </c>
      <c r="G25" s="2" t="s">
        <v>866</v>
      </c>
      <c r="H25" s="2" t="s">
        <v>125</v>
      </c>
      <c r="I25" s="2" t="s">
        <v>1770</v>
      </c>
      <c r="J25" s="2" t="s">
        <v>85</v>
      </c>
      <c r="K25" s="2" t="s">
        <v>38</v>
      </c>
      <c r="L25" s="2" t="s">
        <v>11</v>
      </c>
      <c r="M25" s="2" t="s">
        <v>14</v>
      </c>
      <c r="N25" s="2" t="s">
        <v>19</v>
      </c>
      <c r="O25" s="2">
        <v>1</v>
      </c>
      <c r="P25" s="2" t="s">
        <v>22</v>
      </c>
      <c r="Q25" s="2" t="s">
        <v>26</v>
      </c>
      <c r="T25" s="2" t="s">
        <v>50</v>
      </c>
      <c r="U25" s="2" t="s">
        <v>52</v>
      </c>
      <c r="V25" s="2">
        <v>5</v>
      </c>
      <c r="W25" s="2" t="s">
        <v>101</v>
      </c>
      <c r="X25" s="2">
        <v>22</v>
      </c>
      <c r="Y25" s="2">
        <v>21</v>
      </c>
      <c r="AB25" s="2">
        <v>48.29</v>
      </c>
      <c r="AC25" s="2">
        <v>8.2899999999999991</v>
      </c>
      <c r="AD25" s="2">
        <v>49.27</v>
      </c>
      <c r="AE25" s="2">
        <v>15.36</v>
      </c>
      <c r="AF25" s="2" t="s">
        <v>74</v>
      </c>
      <c r="AG25" s="2" t="s">
        <v>65</v>
      </c>
      <c r="AH25" s="2" t="str">
        <f t="shared" ref="AH25:AH32" si="0">IF(AF25="mean", "mean", "")</f>
        <v>mean</v>
      </c>
      <c r="AR25" s="2" t="s">
        <v>849</v>
      </c>
      <c r="AS25" s="2" t="s">
        <v>849</v>
      </c>
      <c r="AU25" s="2" t="s">
        <v>1818</v>
      </c>
      <c r="AV25" s="2" t="s">
        <v>1830</v>
      </c>
      <c r="AW25" s="2" t="s">
        <v>1837</v>
      </c>
      <c r="AX25" s="2" t="s">
        <v>1821</v>
      </c>
      <c r="AY25" s="2" t="s">
        <v>79</v>
      </c>
    </row>
    <row r="26" spans="1:51" x14ac:dyDescent="0.2">
      <c r="A26" s="2" t="s">
        <v>98</v>
      </c>
      <c r="B26" s="2" t="s">
        <v>99</v>
      </c>
      <c r="C26" s="2" t="s">
        <v>100</v>
      </c>
      <c r="D26" s="2">
        <v>2015</v>
      </c>
      <c r="E26" s="2" t="s">
        <v>174</v>
      </c>
      <c r="F26" s="2" t="s">
        <v>278</v>
      </c>
      <c r="G26" s="2" t="s">
        <v>866</v>
      </c>
      <c r="H26" s="2" t="s">
        <v>126</v>
      </c>
      <c r="I26" s="2" t="s">
        <v>1770</v>
      </c>
      <c r="J26" s="2" t="s">
        <v>85</v>
      </c>
      <c r="K26" s="2" t="s">
        <v>38</v>
      </c>
      <c r="L26" s="2" t="s">
        <v>11</v>
      </c>
      <c r="M26" s="2" t="s">
        <v>14</v>
      </c>
      <c r="N26" s="2" t="s">
        <v>19</v>
      </c>
      <c r="O26" s="2">
        <v>1</v>
      </c>
      <c r="P26" s="2" t="s">
        <v>22</v>
      </c>
      <c r="Q26" s="2" t="s">
        <v>26</v>
      </c>
      <c r="T26" s="2" t="s">
        <v>50</v>
      </c>
      <c r="U26" s="2" t="s">
        <v>52</v>
      </c>
      <c r="V26" s="2">
        <v>5</v>
      </c>
      <c r="W26" s="2" t="s">
        <v>101</v>
      </c>
      <c r="X26" s="2">
        <v>22</v>
      </c>
      <c r="Y26" s="2">
        <v>21</v>
      </c>
      <c r="AB26" s="2">
        <v>72.41</v>
      </c>
      <c r="AC26" s="2">
        <v>10.49</v>
      </c>
      <c r="AD26" s="2">
        <v>32.93</v>
      </c>
      <c r="AE26" s="2">
        <v>7.56</v>
      </c>
      <c r="AF26" s="2" t="s">
        <v>74</v>
      </c>
      <c r="AG26" s="2" t="s">
        <v>65</v>
      </c>
      <c r="AH26" s="2" t="str">
        <f t="shared" si="0"/>
        <v>mean</v>
      </c>
      <c r="AR26" s="2" t="s">
        <v>849</v>
      </c>
      <c r="AS26" s="2" t="s">
        <v>849</v>
      </c>
      <c r="AU26" s="2" t="s">
        <v>1818</v>
      </c>
      <c r="AV26" s="2" t="s">
        <v>1830</v>
      </c>
      <c r="AW26" s="2" t="s">
        <v>1837</v>
      </c>
      <c r="AX26" s="2" t="s">
        <v>1821</v>
      </c>
      <c r="AY26" s="2" t="s">
        <v>79</v>
      </c>
    </row>
    <row r="27" spans="1:51" x14ac:dyDescent="0.2">
      <c r="A27" s="2" t="s">
        <v>98</v>
      </c>
      <c r="B27" s="2" t="s">
        <v>99</v>
      </c>
      <c r="C27" s="2" t="s">
        <v>100</v>
      </c>
      <c r="D27" s="2">
        <v>2015</v>
      </c>
      <c r="E27" s="2" t="s">
        <v>174</v>
      </c>
      <c r="F27" s="2" t="s">
        <v>278</v>
      </c>
      <c r="G27" s="2" t="s">
        <v>866</v>
      </c>
      <c r="H27" s="2" t="s">
        <v>127</v>
      </c>
      <c r="I27" s="2" t="s">
        <v>1770</v>
      </c>
      <c r="J27" s="2" t="s">
        <v>85</v>
      </c>
      <c r="K27" s="2" t="s">
        <v>38</v>
      </c>
      <c r="L27" s="2" t="s">
        <v>11</v>
      </c>
      <c r="M27" s="2" t="s">
        <v>14</v>
      </c>
      <c r="N27" s="2" t="s">
        <v>19</v>
      </c>
      <c r="O27" s="2">
        <v>1</v>
      </c>
      <c r="P27" s="2" t="s">
        <v>22</v>
      </c>
      <c r="Q27" s="2" t="s">
        <v>26</v>
      </c>
      <c r="T27" s="2" t="s">
        <v>50</v>
      </c>
      <c r="U27" s="2" t="s">
        <v>52</v>
      </c>
      <c r="V27" s="2">
        <v>5</v>
      </c>
      <c r="W27" s="2" t="s">
        <v>107</v>
      </c>
      <c r="X27" s="2">
        <v>22</v>
      </c>
      <c r="Y27" s="2">
        <v>21</v>
      </c>
      <c r="AB27" s="2">
        <v>1.19</v>
      </c>
      <c r="AC27" s="2">
        <v>0.32300000000000001</v>
      </c>
      <c r="AD27" s="2">
        <v>1.702</v>
      </c>
      <c r="AE27" s="2">
        <v>0.57699999999999996</v>
      </c>
      <c r="AF27" s="2" t="s">
        <v>74</v>
      </c>
      <c r="AG27" s="2" t="s">
        <v>65</v>
      </c>
      <c r="AH27" s="2" t="str">
        <f t="shared" si="0"/>
        <v>mean</v>
      </c>
      <c r="AR27" s="2" t="s">
        <v>849</v>
      </c>
      <c r="AS27" s="2" t="s">
        <v>849</v>
      </c>
      <c r="AU27" s="2" t="s">
        <v>1818</v>
      </c>
      <c r="AV27" s="2" t="s">
        <v>1830</v>
      </c>
      <c r="AW27" s="2" t="s">
        <v>1837</v>
      </c>
      <c r="AX27" s="2" t="s">
        <v>1821</v>
      </c>
      <c r="AY27" s="2" t="s">
        <v>79</v>
      </c>
    </row>
    <row r="28" spans="1:51" x14ac:dyDescent="0.2">
      <c r="A28" s="2" t="s">
        <v>98</v>
      </c>
      <c r="B28" s="2" t="s">
        <v>99</v>
      </c>
      <c r="C28" s="2" t="s">
        <v>100</v>
      </c>
      <c r="D28" s="2">
        <v>2015</v>
      </c>
      <c r="E28" s="2" t="s">
        <v>174</v>
      </c>
      <c r="F28" s="2" t="s">
        <v>278</v>
      </c>
      <c r="G28" s="2" t="s">
        <v>866</v>
      </c>
      <c r="H28" s="2" t="s">
        <v>128</v>
      </c>
      <c r="I28" s="2" t="s">
        <v>1770</v>
      </c>
      <c r="J28" s="2" t="s">
        <v>85</v>
      </c>
      <c r="K28" s="2" t="s">
        <v>38</v>
      </c>
      <c r="L28" s="2" t="s">
        <v>11</v>
      </c>
      <c r="M28" s="2" t="s">
        <v>14</v>
      </c>
      <c r="N28" s="2" t="s">
        <v>19</v>
      </c>
      <c r="O28" s="2">
        <v>1</v>
      </c>
      <c r="P28" s="2" t="s">
        <v>22</v>
      </c>
      <c r="Q28" s="2" t="s">
        <v>26</v>
      </c>
      <c r="T28" s="2" t="s">
        <v>50</v>
      </c>
      <c r="U28" s="2" t="s">
        <v>52</v>
      </c>
      <c r="V28" s="2">
        <v>6</v>
      </c>
      <c r="W28" s="2" t="s">
        <v>102</v>
      </c>
      <c r="X28" s="2">
        <v>20</v>
      </c>
      <c r="Y28" s="2">
        <v>20</v>
      </c>
      <c r="AB28" s="2">
        <v>2.25</v>
      </c>
      <c r="AC28" s="2">
        <v>0.55000000000000004</v>
      </c>
      <c r="AD28" s="2">
        <v>1.88</v>
      </c>
      <c r="AE28" s="2">
        <v>0.47</v>
      </c>
      <c r="AF28" s="2" t="s">
        <v>74</v>
      </c>
      <c r="AG28" s="2" t="s">
        <v>65</v>
      </c>
      <c r="AH28" s="2" t="str">
        <f t="shared" si="0"/>
        <v>mean</v>
      </c>
      <c r="AR28" s="2" t="s">
        <v>849</v>
      </c>
      <c r="AS28" s="2" t="s">
        <v>849</v>
      </c>
      <c r="AU28" s="2" t="s">
        <v>1818</v>
      </c>
      <c r="AV28" s="2" t="s">
        <v>1830</v>
      </c>
      <c r="AW28" s="2" t="s">
        <v>1837</v>
      </c>
      <c r="AX28" s="2" t="s">
        <v>1821</v>
      </c>
      <c r="AY28" s="2" t="s">
        <v>79</v>
      </c>
    </row>
    <row r="29" spans="1:51" x14ac:dyDescent="0.2">
      <c r="A29" s="2" t="s">
        <v>98</v>
      </c>
      <c r="B29" s="2" t="s">
        <v>99</v>
      </c>
      <c r="C29" s="2" t="s">
        <v>100</v>
      </c>
      <c r="D29" s="2">
        <v>2015</v>
      </c>
      <c r="E29" s="2" t="s">
        <v>174</v>
      </c>
      <c r="F29" s="2" t="s">
        <v>279</v>
      </c>
      <c r="G29" s="2" t="s">
        <v>867</v>
      </c>
      <c r="H29" s="2" t="s">
        <v>129</v>
      </c>
      <c r="I29" s="2" t="s">
        <v>1770</v>
      </c>
      <c r="J29" s="2" t="s">
        <v>85</v>
      </c>
      <c r="K29" s="2" t="s">
        <v>38</v>
      </c>
      <c r="L29" s="2" t="s">
        <v>11</v>
      </c>
      <c r="M29" s="2" t="s">
        <v>14</v>
      </c>
      <c r="N29" s="2" t="s">
        <v>19</v>
      </c>
      <c r="O29" s="2">
        <v>1</v>
      </c>
      <c r="P29" s="2" t="s">
        <v>22</v>
      </c>
      <c r="Q29" s="2" t="s">
        <v>26</v>
      </c>
      <c r="T29" s="2" t="s">
        <v>50</v>
      </c>
      <c r="U29" s="2" t="s">
        <v>55</v>
      </c>
      <c r="X29" s="2">
        <v>22</v>
      </c>
      <c r="Y29" s="2">
        <v>21</v>
      </c>
      <c r="AB29" s="2">
        <v>161.3598484848485</v>
      </c>
      <c r="AC29" s="2">
        <v>57.635033221759315</v>
      </c>
      <c r="AD29" s="2">
        <v>130.01428571428573</v>
      </c>
      <c r="AE29" s="2">
        <v>56.798541717810338</v>
      </c>
      <c r="AF29" s="2" t="s">
        <v>74</v>
      </c>
      <c r="AG29" s="2" t="s">
        <v>64</v>
      </c>
      <c r="AH29" s="2" t="str">
        <f t="shared" si="0"/>
        <v>mean</v>
      </c>
      <c r="AR29" s="2" t="s">
        <v>849</v>
      </c>
      <c r="AS29" s="2" t="s">
        <v>849</v>
      </c>
      <c r="AU29" s="2" t="s">
        <v>1818</v>
      </c>
      <c r="AV29" s="2" t="s">
        <v>1830</v>
      </c>
      <c r="AW29" s="2" t="s">
        <v>1837</v>
      </c>
      <c r="AX29" s="2" t="s">
        <v>1821</v>
      </c>
      <c r="AY29" s="2" t="s">
        <v>79</v>
      </c>
    </row>
    <row r="30" spans="1:51" x14ac:dyDescent="0.2">
      <c r="A30" s="2" t="s">
        <v>149</v>
      </c>
      <c r="B30" s="2" t="s">
        <v>150</v>
      </c>
      <c r="C30" s="2" t="s">
        <v>151</v>
      </c>
      <c r="D30" s="2">
        <v>2019</v>
      </c>
      <c r="E30" s="2" t="s">
        <v>175</v>
      </c>
      <c r="F30" s="2" t="s">
        <v>280</v>
      </c>
      <c r="G30" s="2" t="s">
        <v>868</v>
      </c>
      <c r="H30" s="2" t="s">
        <v>130</v>
      </c>
      <c r="I30" s="2" t="s">
        <v>1104</v>
      </c>
      <c r="J30" s="2" t="s">
        <v>85</v>
      </c>
      <c r="K30" s="2" t="s">
        <v>38</v>
      </c>
      <c r="L30" s="2" t="s">
        <v>11</v>
      </c>
      <c r="M30" s="2" t="s">
        <v>14</v>
      </c>
      <c r="N30" s="2" t="s">
        <v>16</v>
      </c>
      <c r="O30" s="2">
        <v>1</v>
      </c>
      <c r="P30" s="2" t="s">
        <v>22</v>
      </c>
      <c r="Q30" s="2" t="s">
        <v>26</v>
      </c>
      <c r="T30" s="2" t="s">
        <v>51</v>
      </c>
      <c r="U30" s="2" t="s">
        <v>54</v>
      </c>
      <c r="V30" s="2">
        <v>59</v>
      </c>
      <c r="X30" s="2">
        <v>44</v>
      </c>
      <c r="Y30" s="2">
        <v>44</v>
      </c>
      <c r="AB30" s="2">
        <v>202.37</v>
      </c>
      <c r="AC30" s="2">
        <v>18.88</v>
      </c>
      <c r="AD30" s="2">
        <v>132.57</v>
      </c>
      <c r="AE30" s="2">
        <v>16.899999999999999</v>
      </c>
      <c r="AF30" s="2" t="s">
        <v>74</v>
      </c>
      <c r="AG30" s="2" t="s">
        <v>65</v>
      </c>
      <c r="AH30" s="2" t="str">
        <f t="shared" si="0"/>
        <v>mean</v>
      </c>
      <c r="AR30" s="2" t="s">
        <v>849</v>
      </c>
      <c r="AS30" s="2" t="s">
        <v>849</v>
      </c>
      <c r="AU30" s="2" t="s">
        <v>1818</v>
      </c>
      <c r="AV30" s="2" t="s">
        <v>1822</v>
      </c>
      <c r="AW30" s="2" t="s">
        <v>1823</v>
      </c>
      <c r="AX30" s="2" t="s">
        <v>1826</v>
      </c>
      <c r="AY30" s="2" t="s">
        <v>79</v>
      </c>
    </row>
    <row r="31" spans="1:51" x14ac:dyDescent="0.2">
      <c r="A31" s="2" t="s">
        <v>149</v>
      </c>
      <c r="B31" s="2" t="s">
        <v>150</v>
      </c>
      <c r="C31" s="2" t="s">
        <v>151</v>
      </c>
      <c r="D31" s="2">
        <v>2019</v>
      </c>
      <c r="E31" s="2" t="s">
        <v>175</v>
      </c>
      <c r="F31" s="2" t="s">
        <v>280</v>
      </c>
      <c r="G31" s="2" t="s">
        <v>869</v>
      </c>
      <c r="H31" s="2" t="s">
        <v>131</v>
      </c>
      <c r="I31" s="2" t="s">
        <v>1104</v>
      </c>
      <c r="J31" s="2" t="s">
        <v>85</v>
      </c>
      <c r="K31" s="2" t="s">
        <v>38</v>
      </c>
      <c r="L31" s="2" t="s">
        <v>11</v>
      </c>
      <c r="M31" s="2" t="s">
        <v>14</v>
      </c>
      <c r="N31" s="2" t="s">
        <v>16</v>
      </c>
      <c r="O31" s="2">
        <v>1</v>
      </c>
      <c r="P31" s="2" t="s">
        <v>22</v>
      </c>
      <c r="Q31" s="2" t="s">
        <v>26</v>
      </c>
      <c r="T31" s="2" t="s">
        <v>51</v>
      </c>
      <c r="U31" s="2" t="s">
        <v>54</v>
      </c>
      <c r="V31" s="2">
        <v>59</v>
      </c>
      <c r="X31" s="2">
        <v>44</v>
      </c>
      <c r="Y31" s="2">
        <v>44</v>
      </c>
      <c r="AB31" s="2">
        <v>204.89</v>
      </c>
      <c r="AC31" s="2">
        <v>16.57</v>
      </c>
      <c r="AD31" s="2">
        <v>172.42</v>
      </c>
      <c r="AE31" s="2">
        <v>13.51</v>
      </c>
      <c r="AF31" s="2" t="s">
        <v>74</v>
      </c>
      <c r="AG31" s="2" t="s">
        <v>65</v>
      </c>
      <c r="AH31" s="2" t="str">
        <f t="shared" si="0"/>
        <v>mean</v>
      </c>
      <c r="AR31" s="2" t="s">
        <v>849</v>
      </c>
      <c r="AS31" s="2" t="s">
        <v>849</v>
      </c>
      <c r="AU31" s="2" t="s">
        <v>1818</v>
      </c>
      <c r="AV31" s="2" t="s">
        <v>1822</v>
      </c>
      <c r="AW31" s="2" t="s">
        <v>1823</v>
      </c>
      <c r="AX31" s="2" t="s">
        <v>1826</v>
      </c>
      <c r="AY31" s="2" t="s">
        <v>79</v>
      </c>
    </row>
    <row r="32" spans="1:51" x14ac:dyDescent="0.2">
      <c r="A32" s="2" t="s">
        <v>152</v>
      </c>
      <c r="B32" s="2" t="s">
        <v>153</v>
      </c>
      <c r="D32" s="2">
        <v>2006</v>
      </c>
      <c r="E32" s="2" t="s">
        <v>176</v>
      </c>
      <c r="F32" s="2" t="s">
        <v>280</v>
      </c>
      <c r="G32" s="2" t="s">
        <v>870</v>
      </c>
      <c r="H32" s="2" t="s">
        <v>132</v>
      </c>
      <c r="I32" s="2" t="s">
        <v>154</v>
      </c>
      <c r="J32" s="2" t="s">
        <v>32</v>
      </c>
      <c r="K32" s="2" t="s">
        <v>37</v>
      </c>
      <c r="P32" s="2" t="s">
        <v>22</v>
      </c>
      <c r="Q32" s="2" t="s">
        <v>29</v>
      </c>
      <c r="R32" s="2" t="s">
        <v>41</v>
      </c>
      <c r="S32" s="2" t="s">
        <v>46</v>
      </c>
      <c r="T32" s="2" t="s">
        <v>50</v>
      </c>
      <c r="U32" s="2" t="s">
        <v>54</v>
      </c>
      <c r="V32" s="2">
        <v>195</v>
      </c>
      <c r="X32" s="2">
        <v>7</v>
      </c>
      <c r="Y32" s="2">
        <v>7</v>
      </c>
      <c r="AB32" s="2">
        <v>0.47</v>
      </c>
      <c r="AC32" s="2">
        <v>0.23</v>
      </c>
      <c r="AD32" s="2">
        <v>0.88</v>
      </c>
      <c r="AE32" s="2">
        <v>0.28999999999999998</v>
      </c>
      <c r="AF32" s="2" t="s">
        <v>74</v>
      </c>
      <c r="AG32" s="2" t="s">
        <v>65</v>
      </c>
      <c r="AH32" s="2" t="str">
        <f t="shared" si="0"/>
        <v>mean</v>
      </c>
      <c r="AR32" s="2" t="s">
        <v>849</v>
      </c>
      <c r="AS32" s="2" t="s">
        <v>849</v>
      </c>
      <c r="AU32" s="2" t="s">
        <v>1818</v>
      </c>
      <c r="AV32" s="2" t="s">
        <v>1830</v>
      </c>
      <c r="AW32" s="2" t="s">
        <v>1823</v>
      </c>
      <c r="AX32" s="2" t="s">
        <v>1829</v>
      </c>
      <c r="AY32" s="2" t="s">
        <v>79</v>
      </c>
    </row>
    <row r="33" spans="1:51" x14ac:dyDescent="0.2">
      <c r="A33" s="2" t="s">
        <v>135</v>
      </c>
      <c r="B33" s="2" t="s">
        <v>136</v>
      </c>
      <c r="C33" s="2" t="s">
        <v>138</v>
      </c>
      <c r="D33" s="2">
        <v>2002</v>
      </c>
      <c r="E33" s="2" t="s">
        <v>177</v>
      </c>
      <c r="F33" s="2" t="s">
        <v>281</v>
      </c>
      <c r="G33" s="2" t="s">
        <v>871</v>
      </c>
      <c r="H33" s="2" t="s">
        <v>133</v>
      </c>
      <c r="I33" s="2" t="s">
        <v>1771</v>
      </c>
      <c r="J33" s="2" t="s">
        <v>32</v>
      </c>
      <c r="K33" s="2" t="s">
        <v>37</v>
      </c>
      <c r="P33" s="2" t="s">
        <v>22</v>
      </c>
      <c r="Q33" s="2" t="s">
        <v>28</v>
      </c>
      <c r="R33" s="2" t="s">
        <v>41</v>
      </c>
      <c r="S33" s="2" t="s">
        <v>48</v>
      </c>
      <c r="T33" s="2" t="s">
        <v>50</v>
      </c>
      <c r="U33" s="2" t="s">
        <v>54</v>
      </c>
      <c r="V33" s="2">
        <v>763</v>
      </c>
      <c r="AH33" s="2" t="s">
        <v>4</v>
      </c>
      <c r="AN33" s="2">
        <v>135</v>
      </c>
      <c r="AO33" s="2">
        <v>-0.63</v>
      </c>
      <c r="AR33" s="2" t="s">
        <v>222</v>
      </c>
      <c r="AS33" s="2" t="s">
        <v>849</v>
      </c>
      <c r="AU33" s="2" t="s">
        <v>1818</v>
      </c>
      <c r="AV33" s="2" t="s">
        <v>1819</v>
      </c>
      <c r="AW33" s="2" t="s">
        <v>1823</v>
      </c>
      <c r="AX33" s="2" t="s">
        <v>1829</v>
      </c>
      <c r="AY33" s="2" t="s">
        <v>79</v>
      </c>
    </row>
    <row r="34" spans="1:51" x14ac:dyDescent="0.2">
      <c r="A34" s="2" t="s">
        <v>155</v>
      </c>
      <c r="B34" s="2" t="s">
        <v>156</v>
      </c>
      <c r="C34" s="2" t="s">
        <v>852</v>
      </c>
      <c r="D34" s="2">
        <v>2001</v>
      </c>
      <c r="E34" s="2" t="s">
        <v>106</v>
      </c>
      <c r="F34" s="2" t="s">
        <v>282</v>
      </c>
      <c r="G34" s="2" t="s">
        <v>872</v>
      </c>
      <c r="H34" s="2" t="s">
        <v>134</v>
      </c>
      <c r="I34" s="2" t="s">
        <v>1772</v>
      </c>
      <c r="J34" s="2" t="s">
        <v>137</v>
      </c>
      <c r="K34" s="2" t="s">
        <v>37</v>
      </c>
      <c r="P34" s="2" t="s">
        <v>22</v>
      </c>
      <c r="Q34" s="2" t="s">
        <v>30</v>
      </c>
      <c r="R34" s="2" t="s">
        <v>41</v>
      </c>
      <c r="S34" s="2" t="s">
        <v>48</v>
      </c>
      <c r="T34" s="2" t="s">
        <v>50</v>
      </c>
      <c r="U34" s="2" t="s">
        <v>54</v>
      </c>
      <c r="V34" s="2">
        <v>1480</v>
      </c>
      <c r="X34" s="2">
        <v>100</v>
      </c>
      <c r="Y34" s="2">
        <v>100</v>
      </c>
      <c r="AB34" s="2">
        <v>3.68</v>
      </c>
      <c r="AC34" s="2">
        <v>2.12</v>
      </c>
      <c r="AD34" s="2">
        <v>4.0599999999999996</v>
      </c>
      <c r="AE34" s="2">
        <v>2.2000000000000002</v>
      </c>
      <c r="AF34" s="2" t="s">
        <v>74</v>
      </c>
      <c r="AG34" s="2" t="s">
        <v>65</v>
      </c>
      <c r="AH34" s="2" t="str">
        <f t="shared" ref="AH34:AH44" si="1">IF(AF34="mean", "mean", "")</f>
        <v>mean</v>
      </c>
      <c r="AR34" s="2" t="s">
        <v>222</v>
      </c>
      <c r="AS34" s="2" t="s">
        <v>849</v>
      </c>
      <c r="AU34" s="2" t="s">
        <v>1818</v>
      </c>
      <c r="AV34" s="2" t="s">
        <v>1822</v>
      </c>
      <c r="AW34" s="2" t="s">
        <v>1823</v>
      </c>
      <c r="AX34" s="2" t="s">
        <v>1833</v>
      </c>
      <c r="AY34" s="2" t="s">
        <v>79</v>
      </c>
    </row>
    <row r="35" spans="1:51" x14ac:dyDescent="0.2">
      <c r="A35" s="2" t="s">
        <v>155</v>
      </c>
      <c r="B35" s="2" t="s">
        <v>156</v>
      </c>
      <c r="C35" s="2" t="s">
        <v>157</v>
      </c>
      <c r="D35" s="2">
        <v>2001</v>
      </c>
      <c r="E35" s="2" t="s">
        <v>106</v>
      </c>
      <c r="F35" s="2" t="s">
        <v>282</v>
      </c>
      <c r="G35" s="2" t="s">
        <v>873</v>
      </c>
      <c r="H35" s="2" t="s">
        <v>139</v>
      </c>
      <c r="I35" s="2" t="s">
        <v>1772</v>
      </c>
      <c r="J35" s="2" t="s">
        <v>137</v>
      </c>
      <c r="K35" s="2" t="s">
        <v>37</v>
      </c>
      <c r="P35" s="2" t="s">
        <v>22</v>
      </c>
      <c r="Q35" s="2" t="s">
        <v>30</v>
      </c>
      <c r="R35" s="2" t="s">
        <v>41</v>
      </c>
      <c r="S35" s="2" t="s">
        <v>47</v>
      </c>
      <c r="T35" s="2" t="s">
        <v>50</v>
      </c>
      <c r="U35" s="2" t="s">
        <v>54</v>
      </c>
      <c r="V35" s="2">
        <v>1480</v>
      </c>
      <c r="X35" s="2">
        <v>64</v>
      </c>
      <c r="Y35" s="2">
        <v>54</v>
      </c>
      <c r="AB35" s="2">
        <v>1.94</v>
      </c>
      <c r="AC35" s="2">
        <v>1.65</v>
      </c>
      <c r="AD35" s="2">
        <v>1.54</v>
      </c>
      <c r="AE35" s="2">
        <v>0.86</v>
      </c>
      <c r="AF35" s="2" t="s">
        <v>74</v>
      </c>
      <c r="AG35" s="2" t="s">
        <v>65</v>
      </c>
      <c r="AH35" s="2" t="str">
        <f t="shared" si="1"/>
        <v>mean</v>
      </c>
      <c r="AR35" s="2" t="s">
        <v>222</v>
      </c>
      <c r="AS35" s="2" t="s">
        <v>849</v>
      </c>
      <c r="AU35" s="2" t="s">
        <v>1818</v>
      </c>
      <c r="AV35" s="2" t="s">
        <v>1822</v>
      </c>
      <c r="AW35" s="2" t="s">
        <v>1823</v>
      </c>
      <c r="AX35" s="2" t="s">
        <v>1833</v>
      </c>
      <c r="AY35" s="2" t="s">
        <v>79</v>
      </c>
    </row>
    <row r="36" spans="1:51" x14ac:dyDescent="0.2">
      <c r="A36" s="2" t="s">
        <v>155</v>
      </c>
      <c r="B36" s="2" t="s">
        <v>156</v>
      </c>
      <c r="C36" s="2" t="s">
        <v>157</v>
      </c>
      <c r="D36" s="2">
        <v>2001</v>
      </c>
      <c r="E36" s="2" t="s">
        <v>106</v>
      </c>
      <c r="F36" s="2" t="s">
        <v>282</v>
      </c>
      <c r="G36" s="2" t="s">
        <v>874</v>
      </c>
      <c r="H36" s="2" t="s">
        <v>140</v>
      </c>
      <c r="I36" s="2" t="s">
        <v>1772</v>
      </c>
      <c r="J36" s="2" t="s">
        <v>137</v>
      </c>
      <c r="K36" s="2" t="s">
        <v>37</v>
      </c>
      <c r="P36" s="2" t="s">
        <v>22</v>
      </c>
      <c r="Q36" s="2" t="s">
        <v>30</v>
      </c>
      <c r="R36" s="2" t="s">
        <v>41</v>
      </c>
      <c r="S36" s="2" t="s">
        <v>48</v>
      </c>
      <c r="T36" s="2" t="s">
        <v>50</v>
      </c>
      <c r="U36" s="2" t="s">
        <v>54</v>
      </c>
      <c r="V36" s="2">
        <v>1481</v>
      </c>
      <c r="X36" s="2">
        <v>100</v>
      </c>
      <c r="Y36" s="2">
        <v>100</v>
      </c>
      <c r="AB36" s="2">
        <v>1.24</v>
      </c>
      <c r="AC36" s="2">
        <v>1.61</v>
      </c>
      <c r="AD36" s="2">
        <v>0.83</v>
      </c>
      <c r="AE36" s="2">
        <v>0.99</v>
      </c>
      <c r="AF36" s="2" t="s">
        <v>74</v>
      </c>
      <c r="AG36" s="2" t="s">
        <v>65</v>
      </c>
      <c r="AH36" s="2" t="str">
        <f t="shared" si="1"/>
        <v>mean</v>
      </c>
      <c r="AR36" s="2" t="s">
        <v>222</v>
      </c>
      <c r="AS36" s="2" t="s">
        <v>849</v>
      </c>
      <c r="AU36" s="2" t="s">
        <v>1818</v>
      </c>
      <c r="AV36" s="2" t="s">
        <v>1822</v>
      </c>
      <c r="AW36" s="2" t="s">
        <v>1823</v>
      </c>
      <c r="AX36" s="2" t="s">
        <v>1833</v>
      </c>
      <c r="AY36" s="2" t="s">
        <v>79</v>
      </c>
    </row>
    <row r="37" spans="1:51" x14ac:dyDescent="0.2">
      <c r="A37" s="2" t="s">
        <v>158</v>
      </c>
      <c r="B37" s="2" t="s">
        <v>159</v>
      </c>
      <c r="C37" s="2" t="s">
        <v>160</v>
      </c>
      <c r="D37" s="2">
        <v>2006</v>
      </c>
      <c r="E37" s="2" t="s">
        <v>178</v>
      </c>
      <c r="F37" s="2" t="s">
        <v>283</v>
      </c>
      <c r="G37" s="2" t="s">
        <v>875</v>
      </c>
      <c r="H37" s="2" t="s">
        <v>141</v>
      </c>
      <c r="I37" s="2" t="s">
        <v>433</v>
      </c>
      <c r="J37" s="2" t="s">
        <v>34</v>
      </c>
      <c r="K37" s="2" t="s">
        <v>38</v>
      </c>
      <c r="L37" s="2" t="s">
        <v>11</v>
      </c>
      <c r="M37" s="2" t="s">
        <v>14</v>
      </c>
      <c r="N37" s="2" t="s">
        <v>20</v>
      </c>
      <c r="O37" s="2">
        <v>0</v>
      </c>
      <c r="P37" s="2" t="s">
        <v>22</v>
      </c>
      <c r="Q37" s="2" t="s">
        <v>27</v>
      </c>
      <c r="T37" s="2" t="s">
        <v>51</v>
      </c>
      <c r="U37" s="2" t="s">
        <v>53</v>
      </c>
      <c r="V37" s="2">
        <v>233</v>
      </c>
      <c r="W37" s="2" t="s">
        <v>92</v>
      </c>
      <c r="X37" s="2">
        <v>14</v>
      </c>
      <c r="Y37" s="2">
        <v>14</v>
      </c>
      <c r="AB37" s="2">
        <v>0.27</v>
      </c>
      <c r="AC37" s="2">
        <v>0.02</v>
      </c>
      <c r="AD37" s="2">
        <v>0.31</v>
      </c>
      <c r="AE37" s="2">
        <v>0.02</v>
      </c>
      <c r="AF37" s="2" t="s">
        <v>74</v>
      </c>
      <c r="AG37" s="2" t="s">
        <v>65</v>
      </c>
      <c r="AH37" s="2" t="str">
        <f t="shared" si="1"/>
        <v>mean</v>
      </c>
      <c r="AR37" s="2" t="s">
        <v>849</v>
      </c>
      <c r="AS37" s="2" t="s">
        <v>222</v>
      </c>
      <c r="AU37" s="2" t="s">
        <v>1818</v>
      </c>
      <c r="AV37" s="2" t="s">
        <v>1819</v>
      </c>
      <c r="AW37" s="2" t="s">
        <v>1820</v>
      </c>
      <c r="AX37" s="2" t="s">
        <v>1821</v>
      </c>
      <c r="AY37" s="2" t="s">
        <v>79</v>
      </c>
    </row>
    <row r="38" spans="1:51" x14ac:dyDescent="0.2">
      <c r="A38" s="2" t="s">
        <v>158</v>
      </c>
      <c r="B38" s="2" t="s">
        <v>159</v>
      </c>
      <c r="C38" s="2" t="s">
        <v>160</v>
      </c>
      <c r="D38" s="2">
        <v>2006</v>
      </c>
      <c r="E38" s="2" t="s">
        <v>178</v>
      </c>
      <c r="F38" s="2" t="s">
        <v>283</v>
      </c>
      <c r="G38" s="2" t="s">
        <v>875</v>
      </c>
      <c r="H38" s="2" t="s">
        <v>190</v>
      </c>
      <c r="I38" s="2" t="s">
        <v>433</v>
      </c>
      <c r="J38" s="2" t="s">
        <v>34</v>
      </c>
      <c r="K38" s="2" t="s">
        <v>38</v>
      </c>
      <c r="L38" s="2" t="s">
        <v>11</v>
      </c>
      <c r="M38" s="2" t="s">
        <v>14</v>
      </c>
      <c r="N38" s="2" t="s">
        <v>20</v>
      </c>
      <c r="O38" s="2">
        <v>0</v>
      </c>
      <c r="P38" s="2" t="s">
        <v>22</v>
      </c>
      <c r="Q38" s="2" t="s">
        <v>27</v>
      </c>
      <c r="T38" s="2" t="s">
        <v>51</v>
      </c>
      <c r="U38" s="2" t="s">
        <v>53</v>
      </c>
      <c r="V38" s="2">
        <v>233</v>
      </c>
      <c r="W38" s="2" t="s">
        <v>92</v>
      </c>
      <c r="X38" s="2">
        <v>14</v>
      </c>
      <c r="Y38" s="2">
        <v>14</v>
      </c>
      <c r="AB38" s="2">
        <v>1.6</v>
      </c>
      <c r="AC38" s="2">
        <v>0.26</v>
      </c>
      <c r="AD38" s="2">
        <v>2.6</v>
      </c>
      <c r="AE38" s="2">
        <v>0.26</v>
      </c>
      <c r="AF38" s="2" t="s">
        <v>74</v>
      </c>
      <c r="AG38" s="2" t="s">
        <v>65</v>
      </c>
      <c r="AH38" s="2" t="str">
        <f t="shared" si="1"/>
        <v>mean</v>
      </c>
      <c r="AR38" s="2" t="s">
        <v>849</v>
      </c>
      <c r="AS38" s="2" t="s">
        <v>222</v>
      </c>
      <c r="AU38" s="2" t="s">
        <v>1818</v>
      </c>
      <c r="AV38" s="2" t="s">
        <v>1819</v>
      </c>
      <c r="AW38" s="2" t="s">
        <v>1820</v>
      </c>
      <c r="AX38" s="2" t="s">
        <v>1821</v>
      </c>
      <c r="AY38" s="2" t="s">
        <v>79</v>
      </c>
    </row>
    <row r="39" spans="1:51" x14ac:dyDescent="0.2">
      <c r="A39" s="2" t="s">
        <v>158</v>
      </c>
      <c r="B39" s="2" t="s">
        <v>159</v>
      </c>
      <c r="C39" s="2" t="s">
        <v>160</v>
      </c>
      <c r="D39" s="2">
        <v>2006</v>
      </c>
      <c r="E39" s="2" t="s">
        <v>178</v>
      </c>
      <c r="F39" s="2" t="s">
        <v>283</v>
      </c>
      <c r="G39" s="2" t="s">
        <v>875</v>
      </c>
      <c r="H39" s="2" t="s">
        <v>191</v>
      </c>
      <c r="I39" s="2" t="s">
        <v>433</v>
      </c>
      <c r="J39" s="2" t="s">
        <v>34</v>
      </c>
      <c r="K39" s="2" t="s">
        <v>38</v>
      </c>
      <c r="L39" s="2" t="s">
        <v>11</v>
      </c>
      <c r="M39" s="2" t="s">
        <v>14</v>
      </c>
      <c r="N39" s="2" t="s">
        <v>20</v>
      </c>
      <c r="O39" s="2">
        <v>0</v>
      </c>
      <c r="P39" s="2" t="s">
        <v>22</v>
      </c>
      <c r="Q39" s="2" t="s">
        <v>27</v>
      </c>
      <c r="T39" s="2" t="s">
        <v>51</v>
      </c>
      <c r="U39" s="2" t="s">
        <v>53</v>
      </c>
      <c r="V39" s="2">
        <v>233</v>
      </c>
      <c r="W39" s="2" t="s">
        <v>92</v>
      </c>
      <c r="X39" s="2">
        <v>14</v>
      </c>
      <c r="Y39" s="2">
        <v>14</v>
      </c>
      <c r="AB39" s="2">
        <v>82.3</v>
      </c>
      <c r="AC39" s="2">
        <v>3.1</v>
      </c>
      <c r="AD39" s="2">
        <v>87.7</v>
      </c>
      <c r="AE39" s="2">
        <v>3.1</v>
      </c>
      <c r="AF39" s="2" t="s">
        <v>74</v>
      </c>
      <c r="AG39" s="2" t="s">
        <v>65</v>
      </c>
      <c r="AH39" s="2" t="str">
        <f t="shared" si="1"/>
        <v>mean</v>
      </c>
      <c r="AR39" s="2" t="s">
        <v>849</v>
      </c>
      <c r="AS39" s="2" t="s">
        <v>849</v>
      </c>
      <c r="AU39" s="2" t="s">
        <v>1818</v>
      </c>
      <c r="AV39" s="2" t="s">
        <v>1819</v>
      </c>
      <c r="AW39" s="2" t="s">
        <v>1820</v>
      </c>
      <c r="AX39" s="2" t="s">
        <v>1821</v>
      </c>
      <c r="AY39" s="2" t="s">
        <v>79</v>
      </c>
    </row>
    <row r="40" spans="1:51" x14ac:dyDescent="0.2">
      <c r="A40" s="2" t="s">
        <v>158</v>
      </c>
      <c r="B40" s="2" t="s">
        <v>159</v>
      </c>
      <c r="C40" s="2" t="s">
        <v>160</v>
      </c>
      <c r="D40" s="2">
        <v>2006</v>
      </c>
      <c r="E40" s="2" t="s">
        <v>178</v>
      </c>
      <c r="F40" s="2" t="s">
        <v>283</v>
      </c>
      <c r="G40" s="2" t="s">
        <v>875</v>
      </c>
      <c r="H40" s="2" t="s">
        <v>192</v>
      </c>
      <c r="I40" s="2" t="s">
        <v>433</v>
      </c>
      <c r="J40" s="2" t="s">
        <v>34</v>
      </c>
      <c r="K40" s="2" t="s">
        <v>38</v>
      </c>
      <c r="L40" s="2" t="s">
        <v>11</v>
      </c>
      <c r="M40" s="2" t="s">
        <v>14</v>
      </c>
      <c r="N40" s="2" t="s">
        <v>20</v>
      </c>
      <c r="O40" s="2">
        <v>0</v>
      </c>
      <c r="P40" s="2" t="s">
        <v>22</v>
      </c>
      <c r="Q40" s="2" t="s">
        <v>27</v>
      </c>
      <c r="T40" s="2" t="s">
        <v>51</v>
      </c>
      <c r="U40" s="2" t="s">
        <v>53</v>
      </c>
      <c r="V40" s="2">
        <v>233</v>
      </c>
      <c r="W40" s="2" t="s">
        <v>92</v>
      </c>
      <c r="X40" s="2">
        <v>14</v>
      </c>
      <c r="Y40" s="2">
        <v>14</v>
      </c>
      <c r="AB40" s="2">
        <v>9.6</v>
      </c>
      <c r="AC40" s="2">
        <v>0.4</v>
      </c>
      <c r="AD40" s="2">
        <v>8.6</v>
      </c>
      <c r="AE40" s="2">
        <v>0.4</v>
      </c>
      <c r="AF40" s="2" t="s">
        <v>74</v>
      </c>
      <c r="AG40" s="2" t="s">
        <v>65</v>
      </c>
      <c r="AH40" s="2" t="str">
        <f t="shared" si="1"/>
        <v>mean</v>
      </c>
      <c r="AR40" s="2" t="s">
        <v>849</v>
      </c>
      <c r="AS40" s="2" t="s">
        <v>849</v>
      </c>
      <c r="AU40" s="2" t="s">
        <v>1818</v>
      </c>
      <c r="AV40" s="2" t="s">
        <v>1819</v>
      </c>
      <c r="AW40" s="2" t="s">
        <v>1820</v>
      </c>
      <c r="AX40" s="2" t="s">
        <v>1821</v>
      </c>
      <c r="AY40" s="2" t="s">
        <v>79</v>
      </c>
    </row>
    <row r="41" spans="1:51" x14ac:dyDescent="0.2">
      <c r="A41" s="2" t="s">
        <v>158</v>
      </c>
      <c r="B41" s="2" t="s">
        <v>159</v>
      </c>
      <c r="C41" s="2" t="s">
        <v>160</v>
      </c>
      <c r="D41" s="2">
        <v>2006</v>
      </c>
      <c r="E41" s="2" t="s">
        <v>178</v>
      </c>
      <c r="F41" s="2" t="s">
        <v>283</v>
      </c>
      <c r="G41" s="2" t="s">
        <v>875</v>
      </c>
      <c r="H41" s="2" t="s">
        <v>193</v>
      </c>
      <c r="I41" s="2" t="s">
        <v>433</v>
      </c>
      <c r="J41" s="2" t="s">
        <v>34</v>
      </c>
      <c r="K41" s="2" t="s">
        <v>38</v>
      </c>
      <c r="L41" s="2" t="s">
        <v>11</v>
      </c>
      <c r="M41" s="2" t="s">
        <v>14</v>
      </c>
      <c r="N41" s="2" t="s">
        <v>20</v>
      </c>
      <c r="O41" s="2">
        <v>0</v>
      </c>
      <c r="P41" s="2" t="s">
        <v>22</v>
      </c>
      <c r="Q41" s="2" t="s">
        <v>27</v>
      </c>
      <c r="T41" s="2" t="s">
        <v>51</v>
      </c>
      <c r="U41" s="2" t="s">
        <v>53</v>
      </c>
      <c r="V41" s="2">
        <v>233</v>
      </c>
      <c r="W41" s="2" t="s">
        <v>92</v>
      </c>
      <c r="X41" s="2">
        <v>14</v>
      </c>
      <c r="Y41" s="2">
        <v>14</v>
      </c>
      <c r="AB41" s="2">
        <v>4316</v>
      </c>
      <c r="AC41" s="2">
        <v>71</v>
      </c>
      <c r="AD41" s="2">
        <v>4237</v>
      </c>
      <c r="AE41" s="2">
        <v>71</v>
      </c>
      <c r="AF41" s="2" t="s">
        <v>74</v>
      </c>
      <c r="AG41" s="2" t="s">
        <v>65</v>
      </c>
      <c r="AH41" s="2" t="str">
        <f t="shared" si="1"/>
        <v>mean</v>
      </c>
      <c r="AR41" s="2" t="s">
        <v>849</v>
      </c>
      <c r="AS41" s="2" t="s">
        <v>849</v>
      </c>
      <c r="AU41" s="2" t="s">
        <v>1818</v>
      </c>
      <c r="AV41" s="2" t="s">
        <v>1819</v>
      </c>
      <c r="AW41" s="2" t="s">
        <v>1820</v>
      </c>
      <c r="AX41" s="2" t="s">
        <v>1821</v>
      </c>
      <c r="AY41" s="2" t="s">
        <v>79</v>
      </c>
    </row>
    <row r="42" spans="1:51" x14ac:dyDescent="0.2">
      <c r="A42" s="2" t="s">
        <v>158</v>
      </c>
      <c r="B42" s="2" t="s">
        <v>159</v>
      </c>
      <c r="C42" s="2" t="s">
        <v>160</v>
      </c>
      <c r="D42" s="2">
        <v>2006</v>
      </c>
      <c r="E42" s="2" t="s">
        <v>178</v>
      </c>
      <c r="F42" s="2" t="s">
        <v>283</v>
      </c>
      <c r="G42" s="2" t="s">
        <v>875</v>
      </c>
      <c r="H42" s="2" t="s">
        <v>194</v>
      </c>
      <c r="I42" s="2" t="s">
        <v>433</v>
      </c>
      <c r="J42" s="2" t="s">
        <v>34</v>
      </c>
      <c r="K42" s="2" t="s">
        <v>38</v>
      </c>
      <c r="L42" s="2" t="s">
        <v>11</v>
      </c>
      <c r="M42" s="2" t="s">
        <v>14</v>
      </c>
      <c r="N42" s="2" t="s">
        <v>20</v>
      </c>
      <c r="O42" s="2">
        <v>0</v>
      </c>
      <c r="P42" s="2" t="s">
        <v>22</v>
      </c>
      <c r="Q42" s="2" t="s">
        <v>30</v>
      </c>
      <c r="T42" s="2" t="s">
        <v>51</v>
      </c>
      <c r="U42" s="2" t="s">
        <v>53</v>
      </c>
      <c r="V42" s="2">
        <v>234</v>
      </c>
      <c r="W42" s="2" t="s">
        <v>91</v>
      </c>
      <c r="X42" s="2">
        <v>47</v>
      </c>
      <c r="Y42" s="2">
        <v>47</v>
      </c>
      <c r="AB42" s="2">
        <v>0.43</v>
      </c>
      <c r="AC42" s="2">
        <v>0.05</v>
      </c>
      <c r="AD42" s="2">
        <v>0.36</v>
      </c>
      <c r="AE42" s="2">
        <v>0.05</v>
      </c>
      <c r="AF42" s="2" t="s">
        <v>74</v>
      </c>
      <c r="AG42" s="2" t="s">
        <v>65</v>
      </c>
      <c r="AH42" s="2" t="str">
        <f t="shared" si="1"/>
        <v>mean</v>
      </c>
      <c r="AR42" s="2" t="s">
        <v>849</v>
      </c>
      <c r="AS42" s="2" t="s">
        <v>849</v>
      </c>
      <c r="AU42" s="2" t="s">
        <v>1818</v>
      </c>
      <c r="AV42" s="2" t="s">
        <v>1819</v>
      </c>
      <c r="AW42" s="2" t="s">
        <v>1820</v>
      </c>
      <c r="AX42" s="2" t="s">
        <v>1821</v>
      </c>
      <c r="AY42" s="2" t="s">
        <v>79</v>
      </c>
    </row>
    <row r="43" spans="1:51" x14ac:dyDescent="0.2">
      <c r="A43" s="2" t="s">
        <v>158</v>
      </c>
      <c r="B43" s="2" t="s">
        <v>159</v>
      </c>
      <c r="C43" s="2" t="s">
        <v>160</v>
      </c>
      <c r="D43" s="2">
        <v>2006</v>
      </c>
      <c r="E43" s="2" t="s">
        <v>178</v>
      </c>
      <c r="F43" s="2" t="s">
        <v>283</v>
      </c>
      <c r="G43" s="2" t="s">
        <v>875</v>
      </c>
      <c r="H43" s="2" t="s">
        <v>195</v>
      </c>
      <c r="I43" s="2" t="s">
        <v>433</v>
      </c>
      <c r="J43" s="2" t="s">
        <v>34</v>
      </c>
      <c r="K43" s="2" t="s">
        <v>38</v>
      </c>
      <c r="L43" s="2" t="s">
        <v>11</v>
      </c>
      <c r="M43" s="2" t="s">
        <v>14</v>
      </c>
      <c r="N43" s="2" t="s">
        <v>20</v>
      </c>
      <c r="O43" s="2">
        <v>0</v>
      </c>
      <c r="P43" s="2" t="s">
        <v>22</v>
      </c>
      <c r="Q43" s="2" t="s">
        <v>1839</v>
      </c>
      <c r="T43" s="2" t="s">
        <v>51</v>
      </c>
      <c r="U43" s="2" t="s">
        <v>53</v>
      </c>
      <c r="V43" s="2">
        <v>234</v>
      </c>
      <c r="W43" s="2" t="s">
        <v>91</v>
      </c>
      <c r="X43" s="2">
        <v>31</v>
      </c>
      <c r="Y43" s="2">
        <v>31</v>
      </c>
      <c r="AB43" s="2">
        <v>43.6</v>
      </c>
      <c r="AC43" s="2">
        <v>2.6</v>
      </c>
      <c r="AD43" s="2">
        <v>45.23</v>
      </c>
      <c r="AE43" s="2">
        <v>2.9</v>
      </c>
      <c r="AF43" s="2" t="s">
        <v>74</v>
      </c>
      <c r="AG43" s="2" t="s">
        <v>65</v>
      </c>
      <c r="AH43" s="2" t="str">
        <f t="shared" si="1"/>
        <v>mean</v>
      </c>
      <c r="AR43" s="2" t="s">
        <v>849</v>
      </c>
      <c r="AS43" s="2" t="s">
        <v>222</v>
      </c>
      <c r="AU43" s="2" t="s">
        <v>1818</v>
      </c>
      <c r="AV43" s="2" t="s">
        <v>1819</v>
      </c>
      <c r="AW43" s="2" t="s">
        <v>1820</v>
      </c>
      <c r="AX43" s="2" t="s">
        <v>1821</v>
      </c>
      <c r="AY43" s="2" t="s">
        <v>79</v>
      </c>
    </row>
    <row r="44" spans="1:51" x14ac:dyDescent="0.2">
      <c r="A44" s="2" t="s">
        <v>158</v>
      </c>
      <c r="B44" s="2" t="s">
        <v>159</v>
      </c>
      <c r="C44" s="2" t="s">
        <v>160</v>
      </c>
      <c r="D44" s="2">
        <v>2006</v>
      </c>
      <c r="E44" s="2" t="s">
        <v>178</v>
      </c>
      <c r="F44" s="2" t="s">
        <v>283</v>
      </c>
      <c r="G44" s="2" t="s">
        <v>875</v>
      </c>
      <c r="H44" s="2" t="s">
        <v>196</v>
      </c>
      <c r="I44" s="2" t="s">
        <v>433</v>
      </c>
      <c r="J44" s="2" t="s">
        <v>34</v>
      </c>
      <c r="K44" s="2" t="s">
        <v>38</v>
      </c>
      <c r="L44" s="2" t="s">
        <v>11</v>
      </c>
      <c r="M44" s="2" t="s">
        <v>14</v>
      </c>
      <c r="N44" s="2" t="s">
        <v>20</v>
      </c>
      <c r="O44" s="2">
        <v>0</v>
      </c>
      <c r="P44" s="2" t="s">
        <v>23</v>
      </c>
      <c r="Q44" s="2" t="s">
        <v>78</v>
      </c>
      <c r="T44" s="2" t="s">
        <v>51</v>
      </c>
      <c r="U44" s="2" t="s">
        <v>53</v>
      </c>
      <c r="V44" s="2">
        <v>234</v>
      </c>
      <c r="W44" s="2" t="s">
        <v>91</v>
      </c>
      <c r="X44" s="2">
        <v>25</v>
      </c>
      <c r="Y44" s="2">
        <v>25</v>
      </c>
      <c r="AB44" s="2">
        <v>13.8</v>
      </c>
      <c r="AC44" s="2">
        <v>0.2</v>
      </c>
      <c r="AD44" s="2">
        <v>9.1999999999999993</v>
      </c>
      <c r="AE44" s="2">
        <v>0.2</v>
      </c>
      <c r="AF44" s="2" t="s">
        <v>74</v>
      </c>
      <c r="AG44" s="2" t="s">
        <v>65</v>
      </c>
      <c r="AH44" s="2" t="str">
        <f t="shared" si="1"/>
        <v>mean</v>
      </c>
      <c r="AR44" s="2" t="s">
        <v>849</v>
      </c>
      <c r="AS44" s="2" t="s">
        <v>849</v>
      </c>
      <c r="AU44" s="2" t="s">
        <v>1818</v>
      </c>
      <c r="AV44" s="2" t="s">
        <v>1819</v>
      </c>
      <c r="AW44" s="2" t="s">
        <v>1820</v>
      </c>
      <c r="AX44" s="2" t="s">
        <v>1821</v>
      </c>
      <c r="AY44" s="2" t="s">
        <v>79</v>
      </c>
    </row>
    <row r="45" spans="1:51" x14ac:dyDescent="0.2">
      <c r="A45" s="2" t="s">
        <v>103</v>
      </c>
      <c r="B45" s="2" t="s">
        <v>104</v>
      </c>
      <c r="C45" s="2" t="s">
        <v>109</v>
      </c>
      <c r="D45" s="2">
        <v>1991</v>
      </c>
      <c r="E45" s="2" t="s">
        <v>179</v>
      </c>
      <c r="F45" s="2" t="s">
        <v>284</v>
      </c>
      <c r="G45" s="2" t="s">
        <v>876</v>
      </c>
      <c r="H45" s="2" t="s">
        <v>197</v>
      </c>
      <c r="I45" s="2" t="s">
        <v>105</v>
      </c>
      <c r="J45" s="2" t="s">
        <v>32</v>
      </c>
      <c r="K45" s="2" t="s">
        <v>37</v>
      </c>
      <c r="P45" s="2" t="s">
        <v>79</v>
      </c>
      <c r="Q45" s="2" t="s">
        <v>30</v>
      </c>
      <c r="R45" s="2" t="s">
        <v>41</v>
      </c>
      <c r="S45" s="2" t="s">
        <v>48</v>
      </c>
      <c r="T45" s="2" t="s">
        <v>50</v>
      </c>
      <c r="U45" s="2" t="s">
        <v>53</v>
      </c>
      <c r="V45" s="2">
        <v>339</v>
      </c>
      <c r="W45" s="2" t="s">
        <v>95</v>
      </c>
      <c r="X45" s="2">
        <v>23</v>
      </c>
      <c r="Y45" s="2">
        <v>16</v>
      </c>
      <c r="AB45" s="2">
        <v>5</v>
      </c>
      <c r="AC45" s="2">
        <v>6</v>
      </c>
      <c r="AD45" s="2">
        <v>1.5</v>
      </c>
      <c r="AE45" s="2">
        <v>5</v>
      </c>
      <c r="AF45" s="2" t="s">
        <v>75</v>
      </c>
      <c r="AG45" s="2" t="s">
        <v>66</v>
      </c>
      <c r="AH45" s="2" t="s">
        <v>75</v>
      </c>
      <c r="AR45" s="2" t="s">
        <v>222</v>
      </c>
      <c r="AS45" s="2" t="s">
        <v>849</v>
      </c>
      <c r="AU45" s="2" t="s">
        <v>1818</v>
      </c>
      <c r="AV45" s="2" t="s">
        <v>1822</v>
      </c>
      <c r="AW45" s="2" t="s">
        <v>1823</v>
      </c>
      <c r="AX45" s="2" t="s">
        <v>1829</v>
      </c>
      <c r="AY45" s="2" t="s">
        <v>79</v>
      </c>
    </row>
    <row r="46" spans="1:51" x14ac:dyDescent="0.2">
      <c r="A46" s="2" t="s">
        <v>103</v>
      </c>
      <c r="B46" s="2" t="s">
        <v>104</v>
      </c>
      <c r="C46" s="2" t="s">
        <v>109</v>
      </c>
      <c r="D46" s="2">
        <v>1991</v>
      </c>
      <c r="E46" s="2" t="s">
        <v>179</v>
      </c>
      <c r="F46" s="2" t="s">
        <v>284</v>
      </c>
      <c r="G46" s="2" t="s">
        <v>876</v>
      </c>
      <c r="H46" s="2" t="s">
        <v>198</v>
      </c>
      <c r="I46" s="2" t="s">
        <v>105</v>
      </c>
      <c r="J46" s="2" t="s">
        <v>32</v>
      </c>
      <c r="K46" s="2" t="s">
        <v>37</v>
      </c>
      <c r="P46" s="2" t="s">
        <v>79</v>
      </c>
      <c r="Q46" s="2" t="s">
        <v>30</v>
      </c>
      <c r="R46" s="2" t="s">
        <v>41</v>
      </c>
      <c r="S46" s="2" t="s">
        <v>48</v>
      </c>
      <c r="T46" s="2" t="s">
        <v>50</v>
      </c>
      <c r="U46" s="2" t="s">
        <v>53</v>
      </c>
      <c r="V46" s="2">
        <v>339</v>
      </c>
      <c r="W46" s="2" t="s">
        <v>95</v>
      </c>
      <c r="X46" s="2">
        <v>19</v>
      </c>
      <c r="Y46" s="2">
        <v>15</v>
      </c>
      <c r="AB46" s="2">
        <v>4</v>
      </c>
      <c r="AC46" s="2">
        <v>6</v>
      </c>
      <c r="AD46" s="2">
        <v>1</v>
      </c>
      <c r="AE46" s="2">
        <v>4.5</v>
      </c>
      <c r="AF46" s="2" t="s">
        <v>75</v>
      </c>
      <c r="AG46" s="2" t="s">
        <v>66</v>
      </c>
      <c r="AH46" s="2" t="s">
        <v>75</v>
      </c>
      <c r="AR46" s="2" t="s">
        <v>222</v>
      </c>
      <c r="AS46" s="2" t="s">
        <v>849</v>
      </c>
      <c r="AU46" s="2" t="s">
        <v>1818</v>
      </c>
      <c r="AV46" s="2" t="s">
        <v>1822</v>
      </c>
      <c r="AW46" s="2" t="s">
        <v>1823</v>
      </c>
      <c r="AX46" s="2" t="s">
        <v>1829</v>
      </c>
      <c r="AY46" s="2" t="s">
        <v>79</v>
      </c>
    </row>
    <row r="47" spans="1:51" x14ac:dyDescent="0.2">
      <c r="A47" s="2" t="s">
        <v>103</v>
      </c>
      <c r="B47" s="2" t="s">
        <v>104</v>
      </c>
      <c r="C47" s="2" t="s">
        <v>109</v>
      </c>
      <c r="D47" s="2">
        <v>1991</v>
      </c>
      <c r="E47" s="2" t="s">
        <v>179</v>
      </c>
      <c r="F47" s="2" t="s">
        <v>285</v>
      </c>
      <c r="G47" s="2" t="s">
        <v>877</v>
      </c>
      <c r="H47" s="2" t="s">
        <v>199</v>
      </c>
      <c r="I47" s="2" t="s">
        <v>105</v>
      </c>
      <c r="J47" s="2" t="s">
        <v>32</v>
      </c>
      <c r="K47" s="2" t="s">
        <v>37</v>
      </c>
      <c r="P47" s="2" t="s">
        <v>79</v>
      </c>
      <c r="Q47" s="2" t="s">
        <v>30</v>
      </c>
      <c r="R47" s="2" t="s">
        <v>41</v>
      </c>
      <c r="S47" s="2" t="s">
        <v>48</v>
      </c>
      <c r="T47" s="2" t="s">
        <v>50</v>
      </c>
      <c r="U47" s="2" t="s">
        <v>53</v>
      </c>
      <c r="V47" s="2">
        <v>339</v>
      </c>
      <c r="W47" s="2" t="s">
        <v>95</v>
      </c>
      <c r="X47" s="2">
        <v>19</v>
      </c>
      <c r="Y47" s="2">
        <v>13</v>
      </c>
      <c r="AB47" s="2">
        <v>7.5</v>
      </c>
      <c r="AC47" s="2">
        <v>9</v>
      </c>
      <c r="AD47" s="2">
        <v>7</v>
      </c>
      <c r="AE47" s="2">
        <v>3.5</v>
      </c>
      <c r="AF47" s="2" t="s">
        <v>75</v>
      </c>
      <c r="AG47" s="2" t="s">
        <v>66</v>
      </c>
      <c r="AH47" s="2" t="s">
        <v>75</v>
      </c>
      <c r="AR47" s="2" t="s">
        <v>222</v>
      </c>
      <c r="AS47" s="2" t="s">
        <v>849</v>
      </c>
      <c r="AU47" s="2" t="s">
        <v>1818</v>
      </c>
      <c r="AV47" s="2" t="s">
        <v>1822</v>
      </c>
      <c r="AW47" s="2" t="s">
        <v>1823</v>
      </c>
      <c r="AX47" s="2" t="s">
        <v>1829</v>
      </c>
      <c r="AY47" s="2" t="s">
        <v>79</v>
      </c>
    </row>
    <row r="48" spans="1:51" x14ac:dyDescent="0.2">
      <c r="A48" s="2" t="s">
        <v>103</v>
      </c>
      <c r="B48" s="2" t="s">
        <v>104</v>
      </c>
      <c r="C48" s="2" t="s">
        <v>109</v>
      </c>
      <c r="D48" s="2">
        <v>1991</v>
      </c>
      <c r="E48" s="2" t="s">
        <v>179</v>
      </c>
      <c r="F48" s="2" t="s">
        <v>286</v>
      </c>
      <c r="G48" s="2" t="s">
        <v>878</v>
      </c>
      <c r="H48" s="2" t="s">
        <v>200</v>
      </c>
      <c r="I48" s="2" t="s">
        <v>105</v>
      </c>
      <c r="J48" s="2" t="s">
        <v>32</v>
      </c>
      <c r="K48" s="2" t="s">
        <v>37</v>
      </c>
      <c r="P48" s="2" t="s">
        <v>79</v>
      </c>
      <c r="Q48" s="2" t="s">
        <v>30</v>
      </c>
      <c r="R48" s="2" t="s">
        <v>41</v>
      </c>
      <c r="S48" s="2" t="s">
        <v>48</v>
      </c>
      <c r="T48" s="2" t="s">
        <v>50</v>
      </c>
      <c r="U48" s="2" t="s">
        <v>53</v>
      </c>
      <c r="V48" s="2">
        <v>339</v>
      </c>
      <c r="W48" s="2" t="s">
        <v>95</v>
      </c>
      <c r="X48" s="2">
        <v>30</v>
      </c>
      <c r="Y48" s="2">
        <v>21</v>
      </c>
      <c r="AB48" s="2">
        <v>7</v>
      </c>
      <c r="AC48" s="2">
        <v>6</v>
      </c>
      <c r="AD48" s="2">
        <v>2</v>
      </c>
      <c r="AE48" s="2">
        <v>5</v>
      </c>
      <c r="AF48" s="2" t="s">
        <v>75</v>
      </c>
      <c r="AG48" s="2" t="s">
        <v>66</v>
      </c>
      <c r="AH48" s="2" t="s">
        <v>75</v>
      </c>
      <c r="AR48" s="2" t="s">
        <v>222</v>
      </c>
      <c r="AS48" s="2" t="s">
        <v>849</v>
      </c>
      <c r="AU48" s="2" t="s">
        <v>1818</v>
      </c>
      <c r="AV48" s="2" t="s">
        <v>1822</v>
      </c>
      <c r="AW48" s="2" t="s">
        <v>1823</v>
      </c>
      <c r="AX48" s="2" t="s">
        <v>1829</v>
      </c>
      <c r="AY48" s="2" t="s">
        <v>79</v>
      </c>
    </row>
    <row r="49" spans="1:51" x14ac:dyDescent="0.2">
      <c r="A49" s="2" t="s">
        <v>103</v>
      </c>
      <c r="B49" s="2" t="s">
        <v>104</v>
      </c>
      <c r="C49" s="2" t="s">
        <v>109</v>
      </c>
      <c r="D49" s="2">
        <v>1991</v>
      </c>
      <c r="E49" s="2" t="s">
        <v>179</v>
      </c>
      <c r="F49" s="2" t="s">
        <v>287</v>
      </c>
      <c r="G49" s="2" t="s">
        <v>879</v>
      </c>
      <c r="H49" s="2" t="s">
        <v>201</v>
      </c>
      <c r="I49" s="2" t="s">
        <v>105</v>
      </c>
      <c r="J49" s="2" t="s">
        <v>32</v>
      </c>
      <c r="K49" s="2" t="s">
        <v>37</v>
      </c>
      <c r="P49" s="2" t="s">
        <v>79</v>
      </c>
      <c r="Q49" s="2" t="s">
        <v>30</v>
      </c>
      <c r="R49" s="2" t="s">
        <v>41</v>
      </c>
      <c r="S49" s="2" t="s">
        <v>48</v>
      </c>
      <c r="T49" s="2" t="s">
        <v>50</v>
      </c>
      <c r="U49" s="2" t="s">
        <v>53</v>
      </c>
      <c r="V49" s="2">
        <v>339</v>
      </c>
      <c r="W49" s="2" t="s">
        <v>95</v>
      </c>
      <c r="X49" s="2">
        <v>16</v>
      </c>
      <c r="Y49" s="2">
        <v>17</v>
      </c>
      <c r="AB49" s="2">
        <v>8</v>
      </c>
      <c r="AC49" s="2">
        <v>5</v>
      </c>
      <c r="AD49" s="2">
        <v>6</v>
      </c>
      <c r="AE49" s="2">
        <v>8</v>
      </c>
      <c r="AF49" s="2" t="s">
        <v>75</v>
      </c>
      <c r="AG49" s="2" t="s">
        <v>66</v>
      </c>
      <c r="AH49" s="2" t="s">
        <v>75</v>
      </c>
      <c r="AR49" s="2" t="s">
        <v>222</v>
      </c>
      <c r="AS49" s="2" t="s">
        <v>849</v>
      </c>
      <c r="AU49" s="2" t="s">
        <v>1818</v>
      </c>
      <c r="AV49" s="2" t="s">
        <v>1822</v>
      </c>
      <c r="AW49" s="2" t="s">
        <v>1823</v>
      </c>
      <c r="AX49" s="2" t="s">
        <v>1829</v>
      </c>
      <c r="AY49" s="2" t="s">
        <v>79</v>
      </c>
    </row>
    <row r="50" spans="1:51" x14ac:dyDescent="0.2">
      <c r="A50" s="2" t="s">
        <v>103</v>
      </c>
      <c r="B50" s="2" t="s">
        <v>104</v>
      </c>
      <c r="C50" s="2" t="s">
        <v>109</v>
      </c>
      <c r="D50" s="2">
        <v>1991</v>
      </c>
      <c r="E50" s="2" t="s">
        <v>179</v>
      </c>
      <c r="F50" s="2" t="s">
        <v>288</v>
      </c>
      <c r="G50" s="2" t="s">
        <v>880</v>
      </c>
      <c r="H50" s="2" t="s">
        <v>202</v>
      </c>
      <c r="I50" s="2" t="s">
        <v>105</v>
      </c>
      <c r="J50" s="2" t="s">
        <v>32</v>
      </c>
      <c r="K50" s="2" t="s">
        <v>37</v>
      </c>
      <c r="P50" s="2" t="s">
        <v>79</v>
      </c>
      <c r="Q50" s="2" t="s">
        <v>30</v>
      </c>
      <c r="R50" s="2" t="s">
        <v>41</v>
      </c>
      <c r="S50" s="2" t="s">
        <v>48</v>
      </c>
      <c r="T50" s="2" t="s">
        <v>50</v>
      </c>
      <c r="U50" s="2" t="s">
        <v>53</v>
      </c>
      <c r="V50" s="2">
        <v>339</v>
      </c>
      <c r="W50" s="2" t="s">
        <v>95</v>
      </c>
      <c r="X50" s="2">
        <v>14</v>
      </c>
      <c r="Y50" s="2">
        <v>16</v>
      </c>
      <c r="AB50" s="2">
        <v>7</v>
      </c>
      <c r="AC50" s="2">
        <v>13</v>
      </c>
      <c r="AD50" s="2">
        <v>6.5</v>
      </c>
      <c r="AE50" s="2">
        <v>8.5</v>
      </c>
      <c r="AF50" s="2" t="s">
        <v>75</v>
      </c>
      <c r="AG50" s="2" t="s">
        <v>66</v>
      </c>
      <c r="AH50" s="2" t="s">
        <v>75</v>
      </c>
      <c r="AR50" s="2" t="s">
        <v>222</v>
      </c>
      <c r="AS50" s="2" t="s">
        <v>849</v>
      </c>
      <c r="AU50" s="2" t="s">
        <v>1818</v>
      </c>
      <c r="AV50" s="2" t="s">
        <v>1822</v>
      </c>
      <c r="AW50" s="2" t="s">
        <v>1823</v>
      </c>
      <c r="AX50" s="2" t="s">
        <v>1829</v>
      </c>
      <c r="AY50" s="2" t="s">
        <v>79</v>
      </c>
    </row>
    <row r="51" spans="1:51" x14ac:dyDescent="0.2">
      <c r="A51" s="2" t="s">
        <v>103</v>
      </c>
      <c r="B51" s="2" t="s">
        <v>104</v>
      </c>
      <c r="C51" s="2" t="s">
        <v>109</v>
      </c>
      <c r="D51" s="2">
        <v>1991</v>
      </c>
      <c r="E51" s="2" t="s">
        <v>179</v>
      </c>
      <c r="F51" s="2" t="s">
        <v>289</v>
      </c>
      <c r="G51" s="2" t="s">
        <v>881</v>
      </c>
      <c r="H51" s="2" t="s">
        <v>203</v>
      </c>
      <c r="I51" s="2" t="s">
        <v>105</v>
      </c>
      <c r="J51" s="2" t="s">
        <v>32</v>
      </c>
      <c r="K51" s="2" t="s">
        <v>37</v>
      </c>
      <c r="P51" s="2" t="s">
        <v>79</v>
      </c>
      <c r="Q51" s="2" t="s">
        <v>30</v>
      </c>
      <c r="R51" s="2" t="s">
        <v>41</v>
      </c>
      <c r="S51" s="2" t="s">
        <v>48</v>
      </c>
      <c r="T51" s="2" t="s">
        <v>50</v>
      </c>
      <c r="U51" s="2" t="s">
        <v>53</v>
      </c>
      <c r="V51" s="2">
        <v>339</v>
      </c>
      <c r="W51" s="2" t="s">
        <v>95</v>
      </c>
      <c r="X51" s="2">
        <v>47</v>
      </c>
      <c r="Y51" s="2">
        <v>52</v>
      </c>
      <c r="AB51" s="2">
        <v>11</v>
      </c>
      <c r="AC51" s="2">
        <v>7.5</v>
      </c>
      <c r="AD51" s="2">
        <v>8</v>
      </c>
      <c r="AE51" s="2">
        <v>9.5</v>
      </c>
      <c r="AF51" s="2" t="s">
        <v>75</v>
      </c>
      <c r="AG51" s="2" t="s">
        <v>66</v>
      </c>
      <c r="AH51" s="2" t="s">
        <v>75</v>
      </c>
      <c r="AR51" s="2" t="s">
        <v>222</v>
      </c>
      <c r="AS51" s="2" t="s">
        <v>849</v>
      </c>
      <c r="AU51" s="2" t="s">
        <v>1818</v>
      </c>
      <c r="AV51" s="2" t="s">
        <v>1822</v>
      </c>
      <c r="AW51" s="2" t="s">
        <v>1823</v>
      </c>
      <c r="AX51" s="2" t="s">
        <v>1829</v>
      </c>
      <c r="AY51" s="2" t="s">
        <v>79</v>
      </c>
    </row>
    <row r="52" spans="1:51" x14ac:dyDescent="0.2">
      <c r="A52" s="2" t="s">
        <v>161</v>
      </c>
      <c r="B52" s="2" t="s">
        <v>163</v>
      </c>
      <c r="C52" s="2" t="s">
        <v>162</v>
      </c>
      <c r="D52" s="2">
        <v>2011</v>
      </c>
      <c r="E52" s="2" t="s">
        <v>180</v>
      </c>
      <c r="F52" s="2" t="s">
        <v>290</v>
      </c>
      <c r="G52" s="2" t="s">
        <v>882</v>
      </c>
      <c r="H52" s="2" t="s">
        <v>204</v>
      </c>
      <c r="I52" s="2" t="s">
        <v>145</v>
      </c>
      <c r="J52" s="2" t="s">
        <v>137</v>
      </c>
      <c r="K52" s="2" t="s">
        <v>37</v>
      </c>
      <c r="P52" s="2" t="s">
        <v>22</v>
      </c>
      <c r="Q52" s="2" t="s">
        <v>30</v>
      </c>
      <c r="R52" s="2" t="s">
        <v>41</v>
      </c>
      <c r="S52" s="2" t="s">
        <v>47</v>
      </c>
      <c r="T52" s="2" t="s">
        <v>50</v>
      </c>
      <c r="U52" s="2" t="s">
        <v>223</v>
      </c>
      <c r="V52" s="2" t="s">
        <v>164</v>
      </c>
      <c r="X52" s="2">
        <v>39</v>
      </c>
      <c r="Y52" s="2">
        <v>33</v>
      </c>
      <c r="Z52" s="2">
        <v>16</v>
      </c>
      <c r="AA52" s="2">
        <v>14</v>
      </c>
      <c r="AH52" s="2" t="s">
        <v>1804</v>
      </c>
      <c r="AR52" s="2" t="s">
        <v>849</v>
      </c>
      <c r="AS52" s="2" t="s">
        <v>849</v>
      </c>
      <c r="AU52" s="2" t="s">
        <v>1818</v>
      </c>
      <c r="AV52" s="2" t="s">
        <v>1822</v>
      </c>
      <c r="AW52" s="2" t="s">
        <v>1823</v>
      </c>
      <c r="AX52" s="2" t="s">
        <v>1833</v>
      </c>
      <c r="AY52" s="2" t="s">
        <v>79</v>
      </c>
    </row>
    <row r="53" spans="1:51" x14ac:dyDescent="0.2">
      <c r="A53" s="2" t="s">
        <v>161</v>
      </c>
      <c r="B53" s="2" t="s">
        <v>163</v>
      </c>
      <c r="C53" s="2" t="s">
        <v>162</v>
      </c>
      <c r="D53" s="2">
        <v>2011</v>
      </c>
      <c r="E53" s="2" t="s">
        <v>180</v>
      </c>
      <c r="F53" s="2" t="s">
        <v>290</v>
      </c>
      <c r="G53" s="2" t="s">
        <v>883</v>
      </c>
      <c r="H53" s="2" t="s">
        <v>205</v>
      </c>
      <c r="I53" s="2" t="s">
        <v>145</v>
      </c>
      <c r="J53" s="2" t="s">
        <v>137</v>
      </c>
      <c r="K53" s="2" t="s">
        <v>37</v>
      </c>
      <c r="P53" s="2" t="s">
        <v>23</v>
      </c>
      <c r="Q53" s="2" t="s">
        <v>81</v>
      </c>
      <c r="R53" s="2" t="s">
        <v>41</v>
      </c>
      <c r="S53" s="2" t="s">
        <v>47</v>
      </c>
      <c r="T53" s="2" t="s">
        <v>50</v>
      </c>
      <c r="U53" s="2" t="s">
        <v>224</v>
      </c>
      <c r="V53" s="2">
        <v>1432</v>
      </c>
      <c r="X53" s="2">
        <v>37</v>
      </c>
      <c r="Y53" s="2">
        <v>27</v>
      </c>
      <c r="AB53" s="2">
        <v>20.74</v>
      </c>
      <c r="AC53" s="2">
        <v>1.23</v>
      </c>
      <c r="AD53" s="2">
        <v>17.77</v>
      </c>
      <c r="AE53" s="2">
        <v>2.1</v>
      </c>
      <c r="AF53" s="2" t="s">
        <v>74</v>
      </c>
      <c r="AG53" s="2" t="s">
        <v>65</v>
      </c>
      <c r="AH53" s="2" t="str">
        <f>IF(AF53="mean", "mean", "")</f>
        <v>mean</v>
      </c>
      <c r="AR53" s="2" t="s">
        <v>849</v>
      </c>
      <c r="AS53" s="2" t="s">
        <v>849</v>
      </c>
      <c r="AU53" s="2" t="s">
        <v>1818</v>
      </c>
      <c r="AV53" s="2" t="s">
        <v>1822</v>
      </c>
      <c r="AW53" s="2" t="s">
        <v>1823</v>
      </c>
      <c r="AX53" s="2" t="s">
        <v>1833</v>
      </c>
      <c r="AY53" s="2" t="s">
        <v>79</v>
      </c>
    </row>
    <row r="54" spans="1:51" x14ac:dyDescent="0.2">
      <c r="A54" s="2" t="s">
        <v>161</v>
      </c>
      <c r="B54" s="2" t="s">
        <v>163</v>
      </c>
      <c r="C54" s="2" t="s">
        <v>162</v>
      </c>
      <c r="D54" s="2">
        <v>2011</v>
      </c>
      <c r="E54" s="2" t="s">
        <v>180</v>
      </c>
      <c r="F54" s="2" t="s">
        <v>290</v>
      </c>
      <c r="G54" s="2" t="s">
        <v>884</v>
      </c>
      <c r="H54" s="2" t="s">
        <v>206</v>
      </c>
      <c r="I54" s="2" t="s">
        <v>145</v>
      </c>
      <c r="J54" s="2" t="s">
        <v>137</v>
      </c>
      <c r="K54" s="2" t="s">
        <v>37</v>
      </c>
      <c r="P54" s="2" t="s">
        <v>22</v>
      </c>
      <c r="Q54" s="2" t="s">
        <v>30</v>
      </c>
      <c r="R54" s="2" t="s">
        <v>41</v>
      </c>
      <c r="S54" s="2" t="s">
        <v>47</v>
      </c>
      <c r="T54" s="2" t="s">
        <v>50</v>
      </c>
      <c r="U54" s="2" t="s">
        <v>53</v>
      </c>
      <c r="V54" s="2">
        <v>1432</v>
      </c>
      <c r="W54" s="2" t="s">
        <v>92</v>
      </c>
      <c r="X54" s="2">
        <v>23</v>
      </c>
      <c r="Y54" s="2">
        <v>23</v>
      </c>
      <c r="Z54" s="2">
        <v>21</v>
      </c>
      <c r="AA54" s="2">
        <v>2</v>
      </c>
      <c r="AH54" s="2" t="s">
        <v>1804</v>
      </c>
      <c r="AR54" s="2" t="s">
        <v>849</v>
      </c>
      <c r="AS54" s="2" t="s">
        <v>849</v>
      </c>
      <c r="AU54" s="2" t="s">
        <v>1818</v>
      </c>
      <c r="AV54" s="2" t="s">
        <v>1822</v>
      </c>
      <c r="AW54" s="2" t="s">
        <v>1823</v>
      </c>
      <c r="AX54" s="2" t="s">
        <v>1833</v>
      </c>
      <c r="AY54" s="2" t="s">
        <v>79</v>
      </c>
    </row>
    <row r="55" spans="1:51" x14ac:dyDescent="0.2">
      <c r="A55" s="2" t="s">
        <v>165</v>
      </c>
      <c r="B55" s="2" t="s">
        <v>166</v>
      </c>
      <c r="D55" s="2">
        <v>1988</v>
      </c>
      <c r="E55" s="2" t="s">
        <v>181</v>
      </c>
      <c r="F55" s="2" t="s">
        <v>291</v>
      </c>
      <c r="G55" s="2" t="s">
        <v>885</v>
      </c>
      <c r="H55" s="2" t="s">
        <v>207</v>
      </c>
      <c r="I55" s="2" t="s">
        <v>167</v>
      </c>
      <c r="J55" s="2" t="s">
        <v>86</v>
      </c>
      <c r="K55" s="2" t="s">
        <v>37</v>
      </c>
      <c r="P55" s="2" t="s">
        <v>22</v>
      </c>
      <c r="Q55" s="2" t="s">
        <v>30</v>
      </c>
      <c r="R55" s="2" t="s">
        <v>41</v>
      </c>
      <c r="S55" s="2" t="s">
        <v>47</v>
      </c>
      <c r="T55" s="2" t="s">
        <v>50</v>
      </c>
      <c r="U55" s="2" t="s">
        <v>53</v>
      </c>
      <c r="V55" s="2">
        <v>776</v>
      </c>
      <c r="W55" s="2" t="s">
        <v>95</v>
      </c>
      <c r="X55" s="2">
        <v>94</v>
      </c>
      <c r="Y55" s="2">
        <v>24</v>
      </c>
      <c r="Z55" s="2">
        <v>65</v>
      </c>
      <c r="AA55" s="2">
        <v>12</v>
      </c>
      <c r="AH55" s="2" t="s">
        <v>1804</v>
      </c>
      <c r="AR55" s="2" t="s">
        <v>222</v>
      </c>
      <c r="AS55" s="2" t="s">
        <v>849</v>
      </c>
      <c r="AU55" s="2" t="s">
        <v>1818</v>
      </c>
      <c r="AV55" s="2" t="s">
        <v>1830</v>
      </c>
      <c r="AW55" s="2" t="s">
        <v>1831</v>
      </c>
      <c r="AX55" s="2" t="s">
        <v>1821</v>
      </c>
      <c r="AY55" s="2" t="s">
        <v>79</v>
      </c>
    </row>
    <row r="56" spans="1:51" x14ac:dyDescent="0.2">
      <c r="A56" s="2" t="s">
        <v>165</v>
      </c>
      <c r="B56" s="2" t="s">
        <v>166</v>
      </c>
      <c r="D56" s="2">
        <v>1988</v>
      </c>
      <c r="E56" s="2" t="s">
        <v>181</v>
      </c>
      <c r="F56" s="2" t="s">
        <v>291</v>
      </c>
      <c r="G56" s="2" t="s">
        <v>885</v>
      </c>
      <c r="H56" s="2" t="s">
        <v>208</v>
      </c>
      <c r="I56" s="2" t="s">
        <v>167</v>
      </c>
      <c r="J56" s="2" t="s">
        <v>86</v>
      </c>
      <c r="K56" s="2" t="s">
        <v>37</v>
      </c>
      <c r="P56" s="2" t="s">
        <v>22</v>
      </c>
      <c r="Q56" s="2" t="s">
        <v>30</v>
      </c>
      <c r="R56" s="2" t="s">
        <v>41</v>
      </c>
      <c r="S56" s="2" t="s">
        <v>47</v>
      </c>
      <c r="T56" s="2" t="s">
        <v>50</v>
      </c>
      <c r="U56" s="2" t="s">
        <v>53</v>
      </c>
      <c r="V56" s="2">
        <v>776</v>
      </c>
      <c r="W56" s="2" t="s">
        <v>95</v>
      </c>
      <c r="X56" s="2">
        <v>88</v>
      </c>
      <c r="Y56" s="2">
        <v>32</v>
      </c>
      <c r="Z56" s="2">
        <v>47</v>
      </c>
      <c r="AA56" s="2">
        <v>13</v>
      </c>
      <c r="AH56" s="2" t="s">
        <v>1804</v>
      </c>
      <c r="AR56" s="2" t="s">
        <v>222</v>
      </c>
      <c r="AS56" s="2" t="s">
        <v>849</v>
      </c>
      <c r="AU56" s="2" t="s">
        <v>1818</v>
      </c>
      <c r="AV56" s="2" t="s">
        <v>1830</v>
      </c>
      <c r="AW56" s="2" t="s">
        <v>1831</v>
      </c>
      <c r="AX56" s="2" t="s">
        <v>1821</v>
      </c>
      <c r="AY56" s="2" t="s">
        <v>79</v>
      </c>
    </row>
    <row r="57" spans="1:51" x14ac:dyDescent="0.2">
      <c r="A57" s="2" t="s">
        <v>165</v>
      </c>
      <c r="B57" s="2" t="s">
        <v>166</v>
      </c>
      <c r="D57" s="2">
        <v>1988</v>
      </c>
      <c r="E57" s="2" t="s">
        <v>181</v>
      </c>
      <c r="F57" s="2" t="s">
        <v>291</v>
      </c>
      <c r="G57" s="2" t="s">
        <v>885</v>
      </c>
      <c r="H57" s="2" t="s">
        <v>209</v>
      </c>
      <c r="I57" s="2" t="s">
        <v>167</v>
      </c>
      <c r="J57" s="2" t="s">
        <v>86</v>
      </c>
      <c r="K57" s="2" t="s">
        <v>37</v>
      </c>
      <c r="P57" s="2" t="s">
        <v>22</v>
      </c>
      <c r="Q57" s="2" t="s">
        <v>30</v>
      </c>
      <c r="R57" s="2" t="s">
        <v>41</v>
      </c>
      <c r="S57" s="2" t="s">
        <v>47</v>
      </c>
      <c r="T57" s="2" t="s">
        <v>50</v>
      </c>
      <c r="U57" s="2" t="s">
        <v>53</v>
      </c>
      <c r="V57" s="2">
        <v>776</v>
      </c>
      <c r="W57" s="2" t="s">
        <v>95</v>
      </c>
      <c r="X57" s="2">
        <v>68</v>
      </c>
      <c r="Y57" s="2">
        <v>28</v>
      </c>
      <c r="Z57" s="2">
        <v>36</v>
      </c>
      <c r="AA57" s="2">
        <v>13</v>
      </c>
      <c r="AH57" s="2" t="s">
        <v>1804</v>
      </c>
      <c r="AR57" s="2" t="s">
        <v>222</v>
      </c>
      <c r="AS57" s="2" t="s">
        <v>849</v>
      </c>
      <c r="AU57" s="2" t="s">
        <v>1818</v>
      </c>
      <c r="AV57" s="2" t="s">
        <v>1830</v>
      </c>
      <c r="AW57" s="2" t="s">
        <v>1831</v>
      </c>
      <c r="AX57" s="2" t="s">
        <v>1821</v>
      </c>
      <c r="AY57" s="2" t="s">
        <v>79</v>
      </c>
    </row>
    <row r="58" spans="1:51" x14ac:dyDescent="0.2">
      <c r="A58" s="2" t="s">
        <v>165</v>
      </c>
      <c r="B58" s="2" t="s">
        <v>166</v>
      </c>
      <c r="D58" s="2">
        <v>1988</v>
      </c>
      <c r="E58" s="2" t="s">
        <v>181</v>
      </c>
      <c r="F58" s="2" t="s">
        <v>291</v>
      </c>
      <c r="G58" s="2" t="s">
        <v>885</v>
      </c>
      <c r="H58" s="2" t="s">
        <v>210</v>
      </c>
      <c r="I58" s="2" t="s">
        <v>167</v>
      </c>
      <c r="J58" s="2" t="s">
        <v>86</v>
      </c>
      <c r="K58" s="2" t="s">
        <v>37</v>
      </c>
      <c r="P58" s="2" t="s">
        <v>22</v>
      </c>
      <c r="Q58" s="2" t="s">
        <v>30</v>
      </c>
      <c r="R58" s="2" t="s">
        <v>41</v>
      </c>
      <c r="S58" s="2" t="s">
        <v>47</v>
      </c>
      <c r="T58" s="2" t="s">
        <v>50</v>
      </c>
      <c r="U58" s="2" t="s">
        <v>53</v>
      </c>
      <c r="V58" s="2">
        <v>776</v>
      </c>
      <c r="W58" s="2" t="s">
        <v>95</v>
      </c>
      <c r="X58" s="2">
        <v>61</v>
      </c>
      <c r="Y58" s="2">
        <v>39</v>
      </c>
      <c r="Z58" s="2">
        <v>10</v>
      </c>
      <c r="AA58" s="2">
        <v>6</v>
      </c>
      <c r="AH58" s="2" t="s">
        <v>1804</v>
      </c>
      <c r="AR58" s="2" t="s">
        <v>222</v>
      </c>
      <c r="AS58" s="2" t="s">
        <v>849</v>
      </c>
      <c r="AU58" s="2" t="s">
        <v>1818</v>
      </c>
      <c r="AV58" s="2" t="s">
        <v>1830</v>
      </c>
      <c r="AW58" s="2" t="s">
        <v>1831</v>
      </c>
      <c r="AX58" s="2" t="s">
        <v>1821</v>
      </c>
      <c r="AY58" s="2" t="s">
        <v>79</v>
      </c>
    </row>
    <row r="59" spans="1:51" x14ac:dyDescent="0.2">
      <c r="A59" s="2" t="s">
        <v>165</v>
      </c>
      <c r="B59" s="2" t="s">
        <v>166</v>
      </c>
      <c r="D59" s="2">
        <v>1988</v>
      </c>
      <c r="E59" s="2" t="s">
        <v>181</v>
      </c>
      <c r="F59" s="2" t="s">
        <v>291</v>
      </c>
      <c r="G59" s="2" t="s">
        <v>885</v>
      </c>
      <c r="H59" s="2" t="s">
        <v>211</v>
      </c>
      <c r="I59" s="2" t="s">
        <v>167</v>
      </c>
      <c r="J59" s="2" t="s">
        <v>86</v>
      </c>
      <c r="K59" s="2" t="s">
        <v>37</v>
      </c>
      <c r="P59" s="2" t="s">
        <v>22</v>
      </c>
      <c r="Q59" s="2" t="s">
        <v>30</v>
      </c>
      <c r="R59" s="2" t="s">
        <v>41</v>
      </c>
      <c r="S59" s="2" t="s">
        <v>47</v>
      </c>
      <c r="T59" s="2" t="s">
        <v>50</v>
      </c>
      <c r="U59" s="2" t="s">
        <v>53</v>
      </c>
      <c r="V59" s="2">
        <v>776</v>
      </c>
      <c r="W59" s="2" t="s">
        <v>95</v>
      </c>
      <c r="X59" s="2">
        <v>50</v>
      </c>
      <c r="Y59" s="2">
        <v>40</v>
      </c>
      <c r="Z59" s="2">
        <v>32</v>
      </c>
      <c r="AA59" s="2">
        <v>18</v>
      </c>
      <c r="AH59" s="2" t="s">
        <v>1804</v>
      </c>
      <c r="AR59" s="2" t="s">
        <v>222</v>
      </c>
      <c r="AS59" s="2" t="s">
        <v>849</v>
      </c>
      <c r="AU59" s="2" t="s">
        <v>1818</v>
      </c>
      <c r="AV59" s="2" t="s">
        <v>1830</v>
      </c>
      <c r="AW59" s="2" t="s">
        <v>1831</v>
      </c>
      <c r="AX59" s="2" t="s">
        <v>1821</v>
      </c>
      <c r="AY59" s="2" t="s">
        <v>79</v>
      </c>
    </row>
    <row r="60" spans="1:51" x14ac:dyDescent="0.2">
      <c r="A60" s="2" t="s">
        <v>165</v>
      </c>
      <c r="B60" s="2" t="s">
        <v>166</v>
      </c>
      <c r="D60" s="2">
        <v>1988</v>
      </c>
      <c r="E60" s="2" t="s">
        <v>181</v>
      </c>
      <c r="F60" s="2" t="s">
        <v>291</v>
      </c>
      <c r="G60" s="2" t="s">
        <v>885</v>
      </c>
      <c r="H60" s="2" t="s">
        <v>212</v>
      </c>
      <c r="I60" s="2" t="s">
        <v>167</v>
      </c>
      <c r="J60" s="2" t="s">
        <v>86</v>
      </c>
      <c r="K60" s="2" t="s">
        <v>37</v>
      </c>
      <c r="P60" s="2" t="s">
        <v>22</v>
      </c>
      <c r="Q60" s="2" t="s">
        <v>30</v>
      </c>
      <c r="R60" s="2" t="s">
        <v>41</v>
      </c>
      <c r="S60" s="2" t="s">
        <v>47</v>
      </c>
      <c r="T60" s="2" t="s">
        <v>50</v>
      </c>
      <c r="U60" s="2" t="s">
        <v>53</v>
      </c>
      <c r="V60" s="2">
        <v>776</v>
      </c>
      <c r="W60" s="2" t="s">
        <v>95</v>
      </c>
      <c r="X60" s="2">
        <v>40</v>
      </c>
      <c r="Y60" s="2">
        <v>56</v>
      </c>
      <c r="Z60" s="2">
        <v>14</v>
      </c>
      <c r="AA60" s="2">
        <v>12</v>
      </c>
      <c r="AH60" s="2" t="s">
        <v>1804</v>
      </c>
      <c r="AR60" s="2" t="s">
        <v>222</v>
      </c>
      <c r="AS60" s="2" t="s">
        <v>849</v>
      </c>
      <c r="AU60" s="2" t="s">
        <v>1818</v>
      </c>
      <c r="AV60" s="2" t="s">
        <v>1830</v>
      </c>
      <c r="AW60" s="2" t="s">
        <v>1831</v>
      </c>
      <c r="AX60" s="2" t="s">
        <v>1821</v>
      </c>
      <c r="AY60" s="2" t="s">
        <v>79</v>
      </c>
    </row>
    <row r="61" spans="1:51" x14ac:dyDescent="0.2">
      <c r="A61" s="2" t="s">
        <v>165</v>
      </c>
      <c r="B61" s="2" t="s">
        <v>166</v>
      </c>
      <c r="D61" s="2">
        <v>1988</v>
      </c>
      <c r="E61" s="2" t="s">
        <v>181</v>
      </c>
      <c r="F61" s="2" t="s">
        <v>291</v>
      </c>
      <c r="G61" s="2" t="s">
        <v>886</v>
      </c>
      <c r="H61" s="2" t="s">
        <v>213</v>
      </c>
      <c r="I61" s="2" t="s">
        <v>167</v>
      </c>
      <c r="J61" s="2" t="s">
        <v>86</v>
      </c>
      <c r="K61" s="2" t="s">
        <v>37</v>
      </c>
      <c r="P61" s="2" t="s">
        <v>79</v>
      </c>
      <c r="Q61" s="2" t="s">
        <v>646</v>
      </c>
      <c r="R61" s="2" t="s">
        <v>41</v>
      </c>
      <c r="S61" s="2" t="s">
        <v>47</v>
      </c>
      <c r="T61" s="2" t="s">
        <v>50</v>
      </c>
      <c r="U61" s="2" t="s">
        <v>53</v>
      </c>
      <c r="V61" s="2">
        <v>777</v>
      </c>
      <c r="W61" s="2" t="s">
        <v>92</v>
      </c>
      <c r="X61" s="2">
        <v>204</v>
      </c>
      <c r="Y61" s="2">
        <v>74</v>
      </c>
      <c r="Z61" s="2">
        <v>181</v>
      </c>
      <c r="AA61" s="2">
        <v>55</v>
      </c>
      <c r="AH61" s="2" t="s">
        <v>1804</v>
      </c>
      <c r="AR61" s="2" t="s">
        <v>222</v>
      </c>
      <c r="AS61" s="2" t="s">
        <v>849</v>
      </c>
      <c r="AU61" s="2" t="s">
        <v>1818</v>
      </c>
      <c r="AV61" s="2" t="s">
        <v>1830</v>
      </c>
      <c r="AW61" s="2" t="s">
        <v>1831</v>
      </c>
      <c r="AX61" s="2" t="s">
        <v>1821</v>
      </c>
      <c r="AY61" s="2" t="s">
        <v>79</v>
      </c>
    </row>
    <row r="62" spans="1:51" x14ac:dyDescent="0.2">
      <c r="A62" s="2" t="s">
        <v>168</v>
      </c>
      <c r="B62" s="2" t="s">
        <v>169</v>
      </c>
      <c r="C62" s="2" t="s">
        <v>225</v>
      </c>
      <c r="D62" s="2">
        <v>2017</v>
      </c>
      <c r="E62" s="2" t="s">
        <v>182</v>
      </c>
      <c r="F62" s="2" t="s">
        <v>292</v>
      </c>
      <c r="G62" s="2" t="s">
        <v>887</v>
      </c>
      <c r="H62" s="2" t="s">
        <v>214</v>
      </c>
      <c r="I62" s="2" t="s">
        <v>1773</v>
      </c>
      <c r="J62" s="2" t="s">
        <v>84</v>
      </c>
      <c r="K62" s="2" t="s">
        <v>38</v>
      </c>
      <c r="L62" s="2" t="s">
        <v>11</v>
      </c>
      <c r="M62" s="2" t="s">
        <v>14</v>
      </c>
      <c r="N62" s="2" t="s">
        <v>16</v>
      </c>
      <c r="O62" s="2">
        <v>1</v>
      </c>
      <c r="P62" s="2" t="s">
        <v>23</v>
      </c>
      <c r="Q62" s="2" t="s">
        <v>81</v>
      </c>
      <c r="T62" s="2" t="s">
        <v>50</v>
      </c>
      <c r="U62" s="2" t="s">
        <v>52</v>
      </c>
      <c r="V62" s="2">
        <v>4</v>
      </c>
      <c r="W62" s="2" t="s">
        <v>170</v>
      </c>
      <c r="X62" s="2">
        <v>4</v>
      </c>
      <c r="Y62" s="2">
        <v>4</v>
      </c>
      <c r="AB62" s="2">
        <v>0.700808625336927</v>
      </c>
      <c r="AC62" s="2">
        <v>8.6253369272237104E-2</v>
      </c>
      <c r="AD62" s="2">
        <v>0.74663072776280304</v>
      </c>
      <c r="AE62" s="2">
        <v>4.4474393530997101E-2</v>
      </c>
      <c r="AF62" s="2" t="s">
        <v>74</v>
      </c>
      <c r="AG62" s="2" t="s">
        <v>64</v>
      </c>
      <c r="AH62" s="2" t="str">
        <f>IF(AF62="mean", "mean", "")</f>
        <v>mean</v>
      </c>
      <c r="AR62" s="2" t="s">
        <v>849</v>
      </c>
      <c r="AS62" s="2" t="s">
        <v>849</v>
      </c>
      <c r="AU62" s="2" t="s">
        <v>1818</v>
      </c>
      <c r="AV62" s="2" t="s">
        <v>1822</v>
      </c>
      <c r="AW62" s="2" t="s">
        <v>1823</v>
      </c>
      <c r="AX62" s="2" t="s">
        <v>1821</v>
      </c>
      <c r="AY62" s="2" t="s">
        <v>1824</v>
      </c>
    </row>
    <row r="63" spans="1:51" x14ac:dyDescent="0.2">
      <c r="A63" s="2" t="s">
        <v>168</v>
      </c>
      <c r="B63" s="2" t="s">
        <v>169</v>
      </c>
      <c r="C63" s="2" t="s">
        <v>225</v>
      </c>
      <c r="D63" s="2">
        <v>2017</v>
      </c>
      <c r="E63" s="2" t="s">
        <v>182</v>
      </c>
      <c r="F63" s="2" t="s">
        <v>292</v>
      </c>
      <c r="G63" s="2" t="s">
        <v>887</v>
      </c>
      <c r="H63" s="2" t="s">
        <v>229</v>
      </c>
      <c r="I63" s="2" t="s">
        <v>1773</v>
      </c>
      <c r="J63" s="2" t="s">
        <v>84</v>
      </c>
      <c r="K63" s="2" t="s">
        <v>38</v>
      </c>
      <c r="L63" s="2" t="s">
        <v>11</v>
      </c>
      <c r="M63" s="2" t="s">
        <v>14</v>
      </c>
      <c r="N63" s="2" t="s">
        <v>16</v>
      </c>
      <c r="O63" s="2">
        <v>1</v>
      </c>
      <c r="P63" s="2" t="s">
        <v>23</v>
      </c>
      <c r="Q63" s="2" t="s">
        <v>81</v>
      </c>
      <c r="T63" s="2" t="s">
        <v>50</v>
      </c>
      <c r="U63" s="2" t="s">
        <v>52</v>
      </c>
      <c r="V63" s="2">
        <v>4</v>
      </c>
      <c r="W63" s="2" t="s">
        <v>102</v>
      </c>
      <c r="X63" s="2">
        <v>4</v>
      </c>
      <c r="Y63" s="2">
        <v>4</v>
      </c>
      <c r="AB63" s="2">
        <v>11.564766839378199</v>
      </c>
      <c r="AC63" s="2">
        <v>0.97409326424870302</v>
      </c>
      <c r="AD63" s="2">
        <v>9.0777202072538898</v>
      </c>
      <c r="AE63" s="2">
        <v>0.76683937823834203</v>
      </c>
      <c r="AF63" s="2" t="s">
        <v>74</v>
      </c>
      <c r="AG63" s="2" t="s">
        <v>64</v>
      </c>
      <c r="AH63" s="2" t="str">
        <f>IF(AF63="mean", "mean", "")</f>
        <v>mean</v>
      </c>
      <c r="AR63" s="2" t="s">
        <v>849</v>
      </c>
      <c r="AS63" s="2" t="s">
        <v>849</v>
      </c>
      <c r="AU63" s="2" t="s">
        <v>1818</v>
      </c>
      <c r="AV63" s="2" t="s">
        <v>1822</v>
      </c>
      <c r="AW63" s="2" t="s">
        <v>1823</v>
      </c>
      <c r="AX63" s="2" t="s">
        <v>1821</v>
      </c>
      <c r="AY63" s="2" t="s">
        <v>1824</v>
      </c>
    </row>
    <row r="64" spans="1:51" x14ac:dyDescent="0.2">
      <c r="A64" s="2" t="s">
        <v>228</v>
      </c>
      <c r="B64" s="2" t="s">
        <v>226</v>
      </c>
      <c r="D64" s="2">
        <v>1990</v>
      </c>
      <c r="E64" s="2" t="s">
        <v>227</v>
      </c>
      <c r="F64" s="2" t="s">
        <v>293</v>
      </c>
      <c r="G64" s="2" t="s">
        <v>888</v>
      </c>
      <c r="H64" s="2" t="s">
        <v>233</v>
      </c>
      <c r="I64" s="2" t="s">
        <v>230</v>
      </c>
      <c r="J64" s="2" t="s">
        <v>34</v>
      </c>
      <c r="K64" s="2" t="s">
        <v>37</v>
      </c>
      <c r="P64" s="2" t="s">
        <v>23</v>
      </c>
      <c r="Q64" s="2" t="s">
        <v>1056</v>
      </c>
      <c r="R64" s="2" t="s">
        <v>41</v>
      </c>
      <c r="S64" s="2" t="s">
        <v>48</v>
      </c>
      <c r="T64" s="2" t="s">
        <v>50</v>
      </c>
      <c r="U64" s="2" t="s">
        <v>54</v>
      </c>
      <c r="V64" s="2">
        <v>405</v>
      </c>
      <c r="AH64" s="2" t="s">
        <v>4</v>
      </c>
      <c r="AN64" s="2">
        <v>25</v>
      </c>
      <c r="AO64" s="2">
        <v>-0.34699999999999998</v>
      </c>
      <c r="AR64" s="2" t="s">
        <v>222</v>
      </c>
      <c r="AS64" s="2" t="s">
        <v>849</v>
      </c>
      <c r="AU64" s="2" t="s">
        <v>1818</v>
      </c>
      <c r="AV64" s="2" t="s">
        <v>1830</v>
      </c>
      <c r="AW64" s="2" t="s">
        <v>1820</v>
      </c>
      <c r="AX64" s="2" t="s">
        <v>1821</v>
      </c>
      <c r="AY64" s="2" t="s">
        <v>79</v>
      </c>
    </row>
    <row r="65" spans="1:51" x14ac:dyDescent="0.2">
      <c r="A65" s="2" t="s">
        <v>231</v>
      </c>
      <c r="B65" s="2" t="s">
        <v>226</v>
      </c>
      <c r="D65" s="2">
        <v>1993</v>
      </c>
      <c r="E65" s="2" t="s">
        <v>232</v>
      </c>
      <c r="F65" s="2" t="s">
        <v>294</v>
      </c>
      <c r="G65" s="2" t="s">
        <v>889</v>
      </c>
      <c r="H65" s="2" t="s">
        <v>237</v>
      </c>
      <c r="I65" s="2" t="s">
        <v>234</v>
      </c>
      <c r="J65" s="2" t="s">
        <v>34</v>
      </c>
      <c r="K65" s="2" t="s">
        <v>37</v>
      </c>
      <c r="P65" s="2" t="s">
        <v>22</v>
      </c>
      <c r="Q65" s="2" t="s">
        <v>30</v>
      </c>
      <c r="R65" s="2" t="s">
        <v>41</v>
      </c>
      <c r="S65" s="2" t="s">
        <v>48</v>
      </c>
      <c r="T65" s="2" t="s">
        <v>50</v>
      </c>
      <c r="U65" s="2" t="s">
        <v>54</v>
      </c>
      <c r="V65" s="2">
        <v>137</v>
      </c>
      <c r="AH65" s="2" t="s">
        <v>1803</v>
      </c>
      <c r="AJ65" s="2">
        <v>7.9</v>
      </c>
      <c r="AL65" s="2">
        <v>23</v>
      </c>
      <c r="AM65" s="2">
        <v>24</v>
      </c>
      <c r="AR65" s="2" t="s">
        <v>222</v>
      </c>
      <c r="AS65" s="2" t="s">
        <v>849</v>
      </c>
      <c r="AU65" s="2" t="s">
        <v>1818</v>
      </c>
      <c r="AV65" s="2" t="s">
        <v>1830</v>
      </c>
      <c r="AW65" s="2" t="s">
        <v>1820</v>
      </c>
      <c r="AX65" s="2" t="s">
        <v>1833</v>
      </c>
      <c r="AY65" s="2" t="s">
        <v>79</v>
      </c>
    </row>
    <row r="66" spans="1:51" x14ac:dyDescent="0.2">
      <c r="A66" s="2" t="s">
        <v>235</v>
      </c>
      <c r="B66" s="2" t="s">
        <v>226</v>
      </c>
      <c r="D66" s="2">
        <v>1994</v>
      </c>
      <c r="E66" s="2" t="s">
        <v>236</v>
      </c>
      <c r="F66" s="2" t="s">
        <v>295</v>
      </c>
      <c r="G66" s="2" t="s">
        <v>890</v>
      </c>
      <c r="H66" s="2" t="s">
        <v>238</v>
      </c>
      <c r="I66" s="2" t="s">
        <v>234</v>
      </c>
      <c r="J66" s="2" t="s">
        <v>34</v>
      </c>
      <c r="K66" s="2" t="s">
        <v>37</v>
      </c>
      <c r="P66" s="2" t="s">
        <v>23</v>
      </c>
      <c r="Q66" s="2" t="s">
        <v>81</v>
      </c>
      <c r="R66" s="2" t="s">
        <v>41</v>
      </c>
      <c r="S66" s="2" t="s">
        <v>48</v>
      </c>
      <c r="T66" s="2" t="s">
        <v>50</v>
      </c>
      <c r="U66" s="2" t="s">
        <v>54</v>
      </c>
      <c r="V66" s="2">
        <v>262</v>
      </c>
      <c r="AH66" s="2" t="s">
        <v>4</v>
      </c>
      <c r="AN66" s="2">
        <v>65</v>
      </c>
      <c r="AO66" s="2">
        <v>-0.23599999999999999</v>
      </c>
      <c r="AR66" s="2" t="s">
        <v>222</v>
      </c>
      <c r="AS66" s="2" t="s">
        <v>849</v>
      </c>
      <c r="AU66" s="2" t="s">
        <v>1818</v>
      </c>
      <c r="AV66" s="2" t="s">
        <v>1830</v>
      </c>
      <c r="AW66" s="2" t="s">
        <v>1820</v>
      </c>
      <c r="AX66" s="2" t="s">
        <v>1833</v>
      </c>
      <c r="AY66" s="2" t="s">
        <v>79</v>
      </c>
    </row>
    <row r="67" spans="1:51" x14ac:dyDescent="0.2">
      <c r="A67" s="2" t="s">
        <v>235</v>
      </c>
      <c r="B67" s="2" t="s">
        <v>226</v>
      </c>
      <c r="D67" s="2">
        <v>1994</v>
      </c>
      <c r="E67" s="2" t="s">
        <v>236</v>
      </c>
      <c r="F67" s="2" t="s">
        <v>295</v>
      </c>
      <c r="G67" s="2" t="s">
        <v>890</v>
      </c>
      <c r="H67" s="2" t="s">
        <v>239</v>
      </c>
      <c r="I67" s="2" t="s">
        <v>234</v>
      </c>
      <c r="J67" s="2" t="s">
        <v>34</v>
      </c>
      <c r="K67" s="2" t="s">
        <v>37</v>
      </c>
      <c r="P67" s="2" t="s">
        <v>22</v>
      </c>
      <c r="Q67" s="2" t="s">
        <v>30</v>
      </c>
      <c r="R67" s="2" t="s">
        <v>41</v>
      </c>
      <c r="S67" s="2" t="s">
        <v>48</v>
      </c>
      <c r="T67" s="2" t="s">
        <v>50</v>
      </c>
      <c r="U67" s="2" t="s">
        <v>53</v>
      </c>
      <c r="V67" s="2">
        <v>263</v>
      </c>
      <c r="W67" s="2" t="s">
        <v>95</v>
      </c>
      <c r="X67" s="2">
        <v>70</v>
      </c>
      <c r="Y67" s="2">
        <v>37</v>
      </c>
      <c r="AB67" s="2">
        <v>3.5</v>
      </c>
      <c r="AC67" s="2">
        <v>0.2</v>
      </c>
      <c r="AD67" s="2">
        <v>2.9</v>
      </c>
      <c r="AE67" s="2">
        <v>0.2</v>
      </c>
      <c r="AF67" s="2" t="s">
        <v>74</v>
      </c>
      <c r="AG67" s="2" t="s">
        <v>65</v>
      </c>
      <c r="AH67" s="2" t="str">
        <f t="shared" ref="AH67:AH73" si="2">IF(AF67="mean", "mean", "")</f>
        <v>mean</v>
      </c>
      <c r="AR67" s="2" t="s">
        <v>222</v>
      </c>
      <c r="AS67" s="2" t="s">
        <v>849</v>
      </c>
      <c r="AU67" s="2" t="s">
        <v>1818</v>
      </c>
      <c r="AV67" s="2" t="s">
        <v>1830</v>
      </c>
      <c r="AW67" s="2" t="s">
        <v>1820</v>
      </c>
      <c r="AX67" s="2" t="s">
        <v>1833</v>
      </c>
      <c r="AY67" s="2" t="s">
        <v>79</v>
      </c>
    </row>
    <row r="68" spans="1:51" x14ac:dyDescent="0.2">
      <c r="A68" s="2" t="s">
        <v>235</v>
      </c>
      <c r="B68" s="2" t="s">
        <v>226</v>
      </c>
      <c r="D68" s="2">
        <v>1994</v>
      </c>
      <c r="E68" s="2" t="s">
        <v>236</v>
      </c>
      <c r="F68" s="2" t="s">
        <v>295</v>
      </c>
      <c r="G68" s="2" t="s">
        <v>891</v>
      </c>
      <c r="H68" s="2" t="s">
        <v>240</v>
      </c>
      <c r="I68" s="2" t="s">
        <v>234</v>
      </c>
      <c r="J68" s="2" t="s">
        <v>34</v>
      </c>
      <c r="K68" s="2" t="s">
        <v>38</v>
      </c>
      <c r="L68" s="2" t="s">
        <v>11</v>
      </c>
      <c r="M68" s="2" t="s">
        <v>14</v>
      </c>
      <c r="N68" s="2" t="s">
        <v>15</v>
      </c>
      <c r="O68" s="2">
        <v>1</v>
      </c>
      <c r="P68" s="2" t="s">
        <v>22</v>
      </c>
      <c r="Q68" s="2" t="s">
        <v>27</v>
      </c>
      <c r="T68" s="2" t="s">
        <v>50</v>
      </c>
      <c r="U68" s="2" t="s">
        <v>52</v>
      </c>
      <c r="V68" s="2">
        <v>264</v>
      </c>
      <c r="X68" s="2">
        <v>23.5</v>
      </c>
      <c r="Y68" s="2">
        <v>23.5</v>
      </c>
      <c r="AB68" s="2">
        <v>0.26500000000000001</v>
      </c>
      <c r="AC68" s="2">
        <v>6.6000000000000003E-2</v>
      </c>
      <c r="AD68" s="2">
        <v>0.159</v>
      </c>
      <c r="AE68" s="2">
        <v>5.7299999999999997E-2</v>
      </c>
      <c r="AF68" s="2" t="s">
        <v>74</v>
      </c>
      <c r="AG68" s="2" t="s">
        <v>65</v>
      </c>
      <c r="AH68" s="2" t="str">
        <f t="shared" si="2"/>
        <v>mean</v>
      </c>
      <c r="AL68" s="2">
        <v>45</v>
      </c>
      <c r="AR68" s="2" t="s">
        <v>849</v>
      </c>
      <c r="AS68" s="2" t="s">
        <v>849</v>
      </c>
      <c r="AU68" s="2" t="s">
        <v>1818</v>
      </c>
      <c r="AV68" s="2" t="s">
        <v>1830</v>
      </c>
      <c r="AW68" s="2" t="s">
        <v>1820</v>
      </c>
      <c r="AX68" s="2" t="s">
        <v>1833</v>
      </c>
      <c r="AY68" s="2" t="s">
        <v>79</v>
      </c>
    </row>
    <row r="69" spans="1:51" x14ac:dyDescent="0.2">
      <c r="A69" s="2" t="s">
        <v>235</v>
      </c>
      <c r="B69" s="2" t="s">
        <v>226</v>
      </c>
      <c r="D69" s="2">
        <v>1994</v>
      </c>
      <c r="E69" s="2" t="s">
        <v>236</v>
      </c>
      <c r="F69" s="2" t="s">
        <v>295</v>
      </c>
      <c r="G69" s="2" t="s">
        <v>892</v>
      </c>
      <c r="H69" s="2" t="s">
        <v>241</v>
      </c>
      <c r="I69" s="2" t="s">
        <v>234</v>
      </c>
      <c r="J69" s="2" t="s">
        <v>34</v>
      </c>
      <c r="K69" s="2" t="s">
        <v>38</v>
      </c>
      <c r="L69" s="2" t="s">
        <v>11</v>
      </c>
      <c r="M69" s="2" t="s">
        <v>14</v>
      </c>
      <c r="N69" s="2" t="s">
        <v>15</v>
      </c>
      <c r="O69" s="2">
        <v>1</v>
      </c>
      <c r="P69" s="2" t="s">
        <v>22</v>
      </c>
      <c r="Q69" s="2" t="s">
        <v>27</v>
      </c>
      <c r="T69" s="2" t="s">
        <v>50</v>
      </c>
      <c r="U69" s="2" t="s">
        <v>53</v>
      </c>
      <c r="V69" s="2">
        <v>265</v>
      </c>
      <c r="W69" s="2" t="s">
        <v>92</v>
      </c>
      <c r="X69" s="2">
        <v>9</v>
      </c>
      <c r="Y69" s="2">
        <v>10</v>
      </c>
      <c r="AB69" s="2">
        <v>53.4</v>
      </c>
      <c r="AC69" s="2">
        <v>14.9</v>
      </c>
      <c r="AD69" s="2">
        <v>50.3</v>
      </c>
      <c r="AE69" s="2">
        <v>9.6999999999999993</v>
      </c>
      <c r="AF69" s="2" t="s">
        <v>74</v>
      </c>
      <c r="AG69" s="2" t="s">
        <v>65</v>
      </c>
      <c r="AH69" s="2" t="str">
        <f t="shared" si="2"/>
        <v>mean</v>
      </c>
      <c r="AR69" s="2" t="s">
        <v>849</v>
      </c>
      <c r="AS69" s="2" t="s">
        <v>849</v>
      </c>
      <c r="AU69" s="2" t="s">
        <v>1818</v>
      </c>
      <c r="AV69" s="2" t="s">
        <v>1830</v>
      </c>
      <c r="AW69" s="2" t="s">
        <v>1820</v>
      </c>
      <c r="AX69" s="2" t="s">
        <v>1833</v>
      </c>
      <c r="AY69" s="2" t="s">
        <v>79</v>
      </c>
    </row>
    <row r="70" spans="1:51" x14ac:dyDescent="0.2">
      <c r="A70" s="2" t="s">
        <v>235</v>
      </c>
      <c r="B70" s="2" t="s">
        <v>226</v>
      </c>
      <c r="D70" s="2">
        <v>1994</v>
      </c>
      <c r="E70" s="2" t="s">
        <v>236</v>
      </c>
      <c r="F70" s="2" t="s">
        <v>295</v>
      </c>
      <c r="G70" s="2" t="s">
        <v>892</v>
      </c>
      <c r="H70" s="2" t="s">
        <v>242</v>
      </c>
      <c r="I70" s="2" t="s">
        <v>234</v>
      </c>
      <c r="J70" s="2" t="s">
        <v>34</v>
      </c>
      <c r="K70" s="2" t="s">
        <v>38</v>
      </c>
      <c r="L70" s="2" t="s">
        <v>11</v>
      </c>
      <c r="M70" s="2" t="s">
        <v>14</v>
      </c>
      <c r="N70" s="2" t="s">
        <v>15</v>
      </c>
      <c r="O70" s="2">
        <v>1</v>
      </c>
      <c r="P70" s="2" t="s">
        <v>22</v>
      </c>
      <c r="Q70" s="2" t="s">
        <v>1839</v>
      </c>
      <c r="T70" s="2" t="s">
        <v>50</v>
      </c>
      <c r="U70" s="2" t="s">
        <v>53</v>
      </c>
      <c r="V70" s="2">
        <v>265</v>
      </c>
      <c r="W70" s="2" t="s">
        <v>92</v>
      </c>
      <c r="X70" s="2">
        <v>9</v>
      </c>
      <c r="Y70" s="2">
        <v>10</v>
      </c>
      <c r="AB70" s="2">
        <v>81.7</v>
      </c>
      <c r="AC70" s="2">
        <v>11</v>
      </c>
      <c r="AD70" s="2">
        <v>35.4</v>
      </c>
      <c r="AE70" s="2">
        <v>10.5</v>
      </c>
      <c r="AF70" s="2" t="s">
        <v>74</v>
      </c>
      <c r="AG70" s="2" t="s">
        <v>65</v>
      </c>
      <c r="AH70" s="2" t="str">
        <f t="shared" si="2"/>
        <v>mean</v>
      </c>
      <c r="AR70" s="2" t="s">
        <v>849</v>
      </c>
      <c r="AS70" s="2" t="s">
        <v>849</v>
      </c>
      <c r="AU70" s="2" t="s">
        <v>1818</v>
      </c>
      <c r="AV70" s="2" t="s">
        <v>1830</v>
      </c>
      <c r="AW70" s="2" t="s">
        <v>1820</v>
      </c>
      <c r="AX70" s="2" t="s">
        <v>1833</v>
      </c>
      <c r="AY70" s="2" t="s">
        <v>79</v>
      </c>
    </row>
    <row r="71" spans="1:51" x14ac:dyDescent="0.2">
      <c r="A71" s="2" t="s">
        <v>235</v>
      </c>
      <c r="B71" s="2" t="s">
        <v>226</v>
      </c>
      <c r="D71" s="2">
        <v>1994</v>
      </c>
      <c r="E71" s="2" t="s">
        <v>236</v>
      </c>
      <c r="F71" s="2" t="s">
        <v>295</v>
      </c>
      <c r="G71" s="2" t="s">
        <v>892</v>
      </c>
      <c r="H71" s="2" t="s">
        <v>243</v>
      </c>
      <c r="I71" s="2" t="s">
        <v>234</v>
      </c>
      <c r="J71" s="2" t="s">
        <v>34</v>
      </c>
      <c r="K71" s="2" t="s">
        <v>38</v>
      </c>
      <c r="L71" s="2" t="s">
        <v>11</v>
      </c>
      <c r="M71" s="2" t="s">
        <v>14</v>
      </c>
      <c r="N71" s="2" t="s">
        <v>15</v>
      </c>
      <c r="O71" s="2">
        <v>1</v>
      </c>
      <c r="P71" s="2" t="s">
        <v>22</v>
      </c>
      <c r="Q71" s="2" t="s">
        <v>1839</v>
      </c>
      <c r="T71" s="2" t="s">
        <v>50</v>
      </c>
      <c r="U71" s="2" t="s">
        <v>53</v>
      </c>
      <c r="V71" s="2">
        <v>265</v>
      </c>
      <c r="W71" s="2" t="s">
        <v>92</v>
      </c>
      <c r="X71" s="2">
        <v>9</v>
      </c>
      <c r="Y71" s="2">
        <v>10</v>
      </c>
      <c r="AB71" s="2">
        <v>7.6</v>
      </c>
      <c r="AC71" s="2">
        <v>2.2999999999999998</v>
      </c>
      <c r="AD71" s="2">
        <v>7.2</v>
      </c>
      <c r="AE71" s="2">
        <v>2.4</v>
      </c>
      <c r="AF71" s="2" t="s">
        <v>74</v>
      </c>
      <c r="AG71" s="2" t="s">
        <v>65</v>
      </c>
      <c r="AH71" s="2" t="str">
        <f t="shared" si="2"/>
        <v>mean</v>
      </c>
      <c r="AR71" s="2" t="s">
        <v>849</v>
      </c>
      <c r="AS71" s="2" t="s">
        <v>849</v>
      </c>
      <c r="AU71" s="2" t="s">
        <v>1818</v>
      </c>
      <c r="AV71" s="2" t="s">
        <v>1830</v>
      </c>
      <c r="AW71" s="2" t="s">
        <v>1820</v>
      </c>
      <c r="AX71" s="2" t="s">
        <v>1833</v>
      </c>
      <c r="AY71" s="2" t="s">
        <v>79</v>
      </c>
    </row>
    <row r="72" spans="1:51" x14ac:dyDescent="0.2">
      <c r="A72" s="2" t="s">
        <v>235</v>
      </c>
      <c r="B72" s="2" t="s">
        <v>226</v>
      </c>
      <c r="D72" s="2">
        <v>1994</v>
      </c>
      <c r="E72" s="2" t="s">
        <v>236</v>
      </c>
      <c r="F72" s="2" t="s">
        <v>295</v>
      </c>
      <c r="G72" s="2" t="s">
        <v>892</v>
      </c>
      <c r="H72" s="2" t="s">
        <v>244</v>
      </c>
      <c r="I72" s="2" t="s">
        <v>234</v>
      </c>
      <c r="J72" s="2" t="s">
        <v>34</v>
      </c>
      <c r="K72" s="2" t="s">
        <v>38</v>
      </c>
      <c r="L72" s="2" t="s">
        <v>11</v>
      </c>
      <c r="M72" s="2" t="s">
        <v>14</v>
      </c>
      <c r="N72" s="2" t="s">
        <v>15</v>
      </c>
      <c r="O72" s="2">
        <v>1</v>
      </c>
      <c r="P72" s="2" t="s">
        <v>22</v>
      </c>
      <c r="Q72" s="2" t="s">
        <v>1839</v>
      </c>
      <c r="T72" s="2" t="s">
        <v>50</v>
      </c>
      <c r="U72" s="2" t="s">
        <v>53</v>
      </c>
      <c r="V72" s="2">
        <v>265</v>
      </c>
      <c r="W72" s="2" t="s">
        <v>92</v>
      </c>
      <c r="X72" s="2">
        <v>9</v>
      </c>
      <c r="Y72" s="2">
        <v>10</v>
      </c>
      <c r="AB72" s="2">
        <v>4</v>
      </c>
      <c r="AC72" s="2">
        <v>1.5</v>
      </c>
      <c r="AD72" s="2">
        <v>3.6</v>
      </c>
      <c r="AE72" s="2">
        <v>1.8</v>
      </c>
      <c r="AF72" s="2" t="s">
        <v>74</v>
      </c>
      <c r="AG72" s="2" t="s">
        <v>65</v>
      </c>
      <c r="AH72" s="2" t="str">
        <f t="shared" si="2"/>
        <v>mean</v>
      </c>
      <c r="AR72" s="2" t="s">
        <v>849</v>
      </c>
      <c r="AS72" s="2" t="s">
        <v>849</v>
      </c>
      <c r="AU72" s="2" t="s">
        <v>1818</v>
      </c>
      <c r="AV72" s="2" t="s">
        <v>1830</v>
      </c>
      <c r="AW72" s="2" t="s">
        <v>1820</v>
      </c>
      <c r="AX72" s="2" t="s">
        <v>1833</v>
      </c>
      <c r="AY72" s="2" t="s">
        <v>79</v>
      </c>
    </row>
    <row r="73" spans="1:51" x14ac:dyDescent="0.2">
      <c r="A73" s="2" t="s">
        <v>235</v>
      </c>
      <c r="B73" s="2" t="s">
        <v>226</v>
      </c>
      <c r="D73" s="2">
        <v>1994</v>
      </c>
      <c r="E73" s="2" t="s">
        <v>236</v>
      </c>
      <c r="F73" s="2" t="s">
        <v>295</v>
      </c>
      <c r="G73" s="2" t="s">
        <v>892</v>
      </c>
      <c r="H73" s="2" t="s">
        <v>245</v>
      </c>
      <c r="I73" s="2" t="s">
        <v>234</v>
      </c>
      <c r="J73" s="2" t="s">
        <v>34</v>
      </c>
      <c r="K73" s="2" t="s">
        <v>38</v>
      </c>
      <c r="L73" s="2" t="s">
        <v>11</v>
      </c>
      <c r="M73" s="2" t="s">
        <v>14</v>
      </c>
      <c r="N73" s="2" t="s">
        <v>15</v>
      </c>
      <c r="O73" s="2">
        <v>1</v>
      </c>
      <c r="P73" s="2" t="s">
        <v>22</v>
      </c>
      <c r="Q73" s="2" t="s">
        <v>1839</v>
      </c>
      <c r="T73" s="2" t="s">
        <v>50</v>
      </c>
      <c r="U73" s="2" t="s">
        <v>53</v>
      </c>
      <c r="V73" s="2">
        <v>265</v>
      </c>
      <c r="W73" s="2" t="s">
        <v>92</v>
      </c>
      <c r="X73" s="2">
        <v>9</v>
      </c>
      <c r="Y73" s="2">
        <v>10</v>
      </c>
      <c r="AB73" s="2">
        <v>2.8</v>
      </c>
      <c r="AC73" s="2">
        <v>1.3</v>
      </c>
      <c r="AD73" s="2">
        <v>0.7</v>
      </c>
      <c r="AE73" s="2">
        <v>0.6</v>
      </c>
      <c r="AF73" s="2" t="s">
        <v>74</v>
      </c>
      <c r="AG73" s="2" t="s">
        <v>65</v>
      </c>
      <c r="AH73" s="2" t="str">
        <f t="shared" si="2"/>
        <v>mean</v>
      </c>
      <c r="AR73" s="2" t="s">
        <v>849</v>
      </c>
      <c r="AS73" s="2" t="s">
        <v>849</v>
      </c>
      <c r="AU73" s="2" t="s">
        <v>1818</v>
      </c>
      <c r="AV73" s="2" t="s">
        <v>1830</v>
      </c>
      <c r="AW73" s="2" t="s">
        <v>1820</v>
      </c>
      <c r="AX73" s="2" t="s">
        <v>1833</v>
      </c>
      <c r="AY73" s="2" t="s">
        <v>79</v>
      </c>
    </row>
    <row r="74" spans="1:51" x14ac:dyDescent="0.2">
      <c r="A74" s="2" t="s">
        <v>235</v>
      </c>
      <c r="B74" s="2" t="s">
        <v>226</v>
      </c>
      <c r="D74" s="2">
        <v>1994</v>
      </c>
      <c r="E74" s="2" t="s">
        <v>236</v>
      </c>
      <c r="F74" s="2" t="s">
        <v>295</v>
      </c>
      <c r="G74" s="2" t="s">
        <v>892</v>
      </c>
      <c r="H74" s="2" t="s">
        <v>246</v>
      </c>
      <c r="I74" s="2" t="s">
        <v>234</v>
      </c>
      <c r="J74" s="2" t="s">
        <v>34</v>
      </c>
      <c r="K74" s="2" t="s">
        <v>38</v>
      </c>
      <c r="L74" s="2" t="s">
        <v>11</v>
      </c>
      <c r="M74" s="2" t="s">
        <v>14</v>
      </c>
      <c r="N74" s="2" t="s">
        <v>15</v>
      </c>
      <c r="O74" s="2">
        <v>1</v>
      </c>
      <c r="P74" s="2" t="s">
        <v>22</v>
      </c>
      <c r="Q74" s="2" t="s">
        <v>1839</v>
      </c>
      <c r="T74" s="2" t="s">
        <v>50</v>
      </c>
      <c r="U74" s="2" t="s">
        <v>52</v>
      </c>
      <c r="V74" s="2">
        <v>264</v>
      </c>
      <c r="W74" s="2" t="s">
        <v>247</v>
      </c>
      <c r="X74" s="2">
        <v>9</v>
      </c>
      <c r="Y74" s="2">
        <v>10</v>
      </c>
      <c r="Z74" s="2">
        <v>6</v>
      </c>
      <c r="AA74" s="2">
        <v>9</v>
      </c>
      <c r="AH74" s="2" t="s">
        <v>1804</v>
      </c>
      <c r="AR74" s="2" t="s">
        <v>849</v>
      </c>
      <c r="AS74" s="2" t="s">
        <v>222</v>
      </c>
      <c r="AU74" s="2" t="s">
        <v>1818</v>
      </c>
      <c r="AV74" s="2" t="s">
        <v>1830</v>
      </c>
      <c r="AW74" s="2" t="s">
        <v>1820</v>
      </c>
      <c r="AX74" s="2" t="s">
        <v>1833</v>
      </c>
      <c r="AY74" s="2" t="s">
        <v>79</v>
      </c>
    </row>
    <row r="75" spans="1:51" x14ac:dyDescent="0.2">
      <c r="A75" s="2" t="s">
        <v>274</v>
      </c>
      <c r="B75" s="2" t="s">
        <v>275</v>
      </c>
      <c r="D75" s="2">
        <v>1996</v>
      </c>
      <c r="E75" s="2" t="s">
        <v>248</v>
      </c>
      <c r="F75" s="2" t="s">
        <v>296</v>
      </c>
      <c r="G75" s="2" t="s">
        <v>893</v>
      </c>
      <c r="H75" s="2" t="s">
        <v>249</v>
      </c>
      <c r="I75" s="2" t="s">
        <v>1772</v>
      </c>
      <c r="J75" s="2" t="s">
        <v>137</v>
      </c>
      <c r="K75" s="2" t="s">
        <v>37</v>
      </c>
      <c r="P75" s="2" t="s">
        <v>22</v>
      </c>
      <c r="Q75" s="2" t="s">
        <v>30</v>
      </c>
      <c r="R75" s="2" t="s">
        <v>41</v>
      </c>
      <c r="S75" s="2" t="s">
        <v>47</v>
      </c>
      <c r="T75" s="2" t="s">
        <v>50</v>
      </c>
      <c r="U75" s="2" t="s">
        <v>53</v>
      </c>
      <c r="V75" s="2">
        <v>685</v>
      </c>
      <c r="W75" s="2" t="s">
        <v>95</v>
      </c>
      <c r="X75" s="2">
        <v>94</v>
      </c>
      <c r="Y75" s="2">
        <v>94</v>
      </c>
      <c r="Z75" s="2">
        <v>43</v>
      </c>
      <c r="AA75" s="2">
        <v>4</v>
      </c>
      <c r="AH75" s="2" t="s">
        <v>1804</v>
      </c>
      <c r="AR75" s="2" t="s">
        <v>849</v>
      </c>
      <c r="AS75" s="2" t="s">
        <v>849</v>
      </c>
      <c r="AU75" s="2" t="s">
        <v>1818</v>
      </c>
      <c r="AV75" s="2" t="s">
        <v>1822</v>
      </c>
      <c r="AW75" s="2" t="s">
        <v>1823</v>
      </c>
      <c r="AX75" s="2" t="s">
        <v>1833</v>
      </c>
      <c r="AY75" s="2" t="s">
        <v>79</v>
      </c>
    </row>
    <row r="76" spans="1:51" x14ac:dyDescent="0.2">
      <c r="A76" s="2" t="s">
        <v>274</v>
      </c>
      <c r="B76" s="2" t="s">
        <v>275</v>
      </c>
      <c r="D76" s="2">
        <v>1996</v>
      </c>
      <c r="E76" s="2" t="s">
        <v>248</v>
      </c>
      <c r="F76" s="2" t="s">
        <v>297</v>
      </c>
      <c r="G76" s="2" t="s">
        <v>894</v>
      </c>
      <c r="H76" s="2" t="s">
        <v>250</v>
      </c>
      <c r="I76" s="2" t="s">
        <v>1772</v>
      </c>
      <c r="J76" s="2" t="s">
        <v>137</v>
      </c>
      <c r="K76" s="2" t="s">
        <v>37</v>
      </c>
      <c r="P76" s="2" t="s">
        <v>22</v>
      </c>
      <c r="Q76" s="2" t="s">
        <v>30</v>
      </c>
      <c r="R76" s="2" t="s">
        <v>41</v>
      </c>
      <c r="S76" s="2" t="s">
        <v>48</v>
      </c>
      <c r="T76" s="2" t="s">
        <v>50</v>
      </c>
      <c r="U76" s="2" t="s">
        <v>54</v>
      </c>
      <c r="V76" s="2">
        <v>686</v>
      </c>
      <c r="X76" s="2">
        <v>24</v>
      </c>
      <c r="Y76" s="2">
        <v>23</v>
      </c>
      <c r="AB76" s="2">
        <v>5</v>
      </c>
      <c r="AC76" s="2">
        <v>5.9</v>
      </c>
      <c r="AD76" s="2">
        <v>2.4</v>
      </c>
      <c r="AE76" s="2">
        <v>6</v>
      </c>
      <c r="AF76" s="2" t="s">
        <v>74</v>
      </c>
      <c r="AG76" s="2" t="s">
        <v>64</v>
      </c>
      <c r="AH76" s="2" t="str">
        <f>IF(AF76="mean", "mean", "")</f>
        <v>mean</v>
      </c>
      <c r="AR76" s="2" t="s">
        <v>849</v>
      </c>
      <c r="AS76" s="2" t="s">
        <v>849</v>
      </c>
      <c r="AU76" s="2" t="s">
        <v>1818</v>
      </c>
      <c r="AV76" s="2" t="s">
        <v>1822</v>
      </c>
      <c r="AW76" s="2" t="s">
        <v>1823</v>
      </c>
      <c r="AX76" s="2" t="s">
        <v>1833</v>
      </c>
      <c r="AY76" s="2" t="s">
        <v>79</v>
      </c>
    </row>
    <row r="77" spans="1:51" x14ac:dyDescent="0.2">
      <c r="A77" s="2" t="s">
        <v>274</v>
      </c>
      <c r="B77" s="2" t="s">
        <v>275</v>
      </c>
      <c r="D77" s="2">
        <v>1996</v>
      </c>
      <c r="E77" s="2" t="s">
        <v>248</v>
      </c>
      <c r="F77" s="2" t="s">
        <v>297</v>
      </c>
      <c r="G77" s="2" t="s">
        <v>894</v>
      </c>
      <c r="H77" s="2" t="s">
        <v>251</v>
      </c>
      <c r="I77" s="2" t="s">
        <v>1772</v>
      </c>
      <c r="J77" s="2" t="s">
        <v>137</v>
      </c>
      <c r="K77" s="2" t="s">
        <v>37</v>
      </c>
      <c r="P77" s="2" t="s">
        <v>22</v>
      </c>
      <c r="Q77" s="2" t="s">
        <v>30</v>
      </c>
      <c r="R77" s="2" t="s">
        <v>41</v>
      </c>
      <c r="S77" s="2" t="s">
        <v>47</v>
      </c>
      <c r="T77" s="2" t="s">
        <v>50</v>
      </c>
      <c r="U77" s="2" t="s">
        <v>54</v>
      </c>
      <c r="V77" s="2">
        <v>686</v>
      </c>
      <c r="X77" s="2">
        <v>25</v>
      </c>
      <c r="Y77" s="2">
        <v>22</v>
      </c>
      <c r="AB77" s="2">
        <v>3.5</v>
      </c>
      <c r="AC77" s="2">
        <v>4.4000000000000004</v>
      </c>
      <c r="AD77" s="2">
        <v>0.8</v>
      </c>
      <c r="AE77" s="2">
        <v>1.2</v>
      </c>
      <c r="AF77" s="2" t="s">
        <v>74</v>
      </c>
      <c r="AG77" s="2" t="s">
        <v>64</v>
      </c>
      <c r="AH77" s="2" t="str">
        <f>IF(AF77="mean", "mean", "")</f>
        <v>mean</v>
      </c>
      <c r="AR77" s="2" t="s">
        <v>849</v>
      </c>
      <c r="AS77" s="2" t="s">
        <v>849</v>
      </c>
      <c r="AU77" s="2" t="s">
        <v>1818</v>
      </c>
      <c r="AV77" s="2" t="s">
        <v>1822</v>
      </c>
      <c r="AW77" s="2" t="s">
        <v>1823</v>
      </c>
      <c r="AX77" s="2" t="s">
        <v>1833</v>
      </c>
      <c r="AY77" s="2" t="s">
        <v>79</v>
      </c>
    </row>
    <row r="78" spans="1:51" x14ac:dyDescent="0.2">
      <c r="A78" s="2" t="s">
        <v>274</v>
      </c>
      <c r="B78" s="2" t="s">
        <v>275</v>
      </c>
      <c r="D78" s="2">
        <v>1996</v>
      </c>
      <c r="E78" s="2" t="s">
        <v>248</v>
      </c>
      <c r="F78" s="2" t="s">
        <v>298</v>
      </c>
      <c r="G78" s="2" t="s">
        <v>895</v>
      </c>
      <c r="H78" s="2" t="s">
        <v>252</v>
      </c>
      <c r="I78" s="2" t="s">
        <v>1772</v>
      </c>
      <c r="J78" s="2" t="s">
        <v>137</v>
      </c>
      <c r="K78" s="2" t="s">
        <v>37</v>
      </c>
      <c r="P78" s="2" t="s">
        <v>22</v>
      </c>
      <c r="Q78" s="2" t="s">
        <v>1056</v>
      </c>
      <c r="R78" s="2" t="s">
        <v>41</v>
      </c>
      <c r="S78" s="2" t="s">
        <v>48</v>
      </c>
      <c r="T78" s="2" t="s">
        <v>50</v>
      </c>
      <c r="U78" s="2" t="s">
        <v>54</v>
      </c>
      <c r="V78" s="2">
        <v>688</v>
      </c>
      <c r="AH78" s="2" t="s">
        <v>4</v>
      </c>
      <c r="AN78" s="2">
        <v>17</v>
      </c>
      <c r="AO78" s="2">
        <v>-0.06</v>
      </c>
      <c r="AR78" s="2" t="s">
        <v>222</v>
      </c>
      <c r="AS78" s="2" t="s">
        <v>222</v>
      </c>
      <c r="AU78" s="2" t="s">
        <v>1818</v>
      </c>
      <c r="AV78" s="2" t="s">
        <v>1822</v>
      </c>
      <c r="AW78" s="2" t="s">
        <v>1823</v>
      </c>
      <c r="AX78" s="2" t="s">
        <v>1833</v>
      </c>
      <c r="AY78" s="2" t="s">
        <v>79</v>
      </c>
    </row>
    <row r="79" spans="1:51" x14ac:dyDescent="0.2">
      <c r="A79" s="2" t="s">
        <v>299</v>
      </c>
      <c r="B79" s="2" t="s">
        <v>275</v>
      </c>
      <c r="D79" s="2">
        <v>1999</v>
      </c>
      <c r="E79" s="2" t="s">
        <v>300</v>
      </c>
      <c r="F79" s="2" t="s">
        <v>301</v>
      </c>
      <c r="G79" s="2" t="s">
        <v>896</v>
      </c>
      <c r="H79" s="2" t="s">
        <v>253</v>
      </c>
      <c r="I79" s="2" t="s">
        <v>302</v>
      </c>
      <c r="J79" s="2" t="s">
        <v>85</v>
      </c>
      <c r="K79" s="2" t="s">
        <v>37</v>
      </c>
      <c r="P79" s="2" t="s">
        <v>22</v>
      </c>
      <c r="Q79" s="2" t="s">
        <v>30</v>
      </c>
      <c r="R79" s="2" t="s">
        <v>41</v>
      </c>
      <c r="S79" s="2" t="s">
        <v>47</v>
      </c>
      <c r="T79" s="2" t="s">
        <v>50</v>
      </c>
      <c r="U79" s="2" t="s">
        <v>53</v>
      </c>
      <c r="V79" s="2">
        <v>255</v>
      </c>
      <c r="W79" s="2" t="s">
        <v>95</v>
      </c>
      <c r="X79" s="2">
        <v>100</v>
      </c>
      <c r="Y79" s="2">
        <v>182</v>
      </c>
      <c r="Z79" s="2">
        <v>13</v>
      </c>
      <c r="AA79" s="2">
        <v>9</v>
      </c>
      <c r="AH79" s="2" t="s">
        <v>1804</v>
      </c>
      <c r="AR79" s="2" t="s">
        <v>222</v>
      </c>
      <c r="AS79" s="2" t="s">
        <v>849</v>
      </c>
      <c r="AU79" s="2" t="s">
        <v>1818</v>
      </c>
      <c r="AV79" s="2" t="s">
        <v>1822</v>
      </c>
      <c r="AW79" s="2" t="s">
        <v>1823</v>
      </c>
      <c r="AX79" s="2" t="s">
        <v>1821</v>
      </c>
      <c r="AY79" s="2" t="s">
        <v>79</v>
      </c>
    </row>
    <row r="80" spans="1:51" x14ac:dyDescent="0.2">
      <c r="A80" s="2" t="s">
        <v>299</v>
      </c>
      <c r="B80" s="2" t="s">
        <v>275</v>
      </c>
      <c r="D80" s="2">
        <v>1999</v>
      </c>
      <c r="E80" s="2" t="s">
        <v>300</v>
      </c>
      <c r="F80" s="2" t="s">
        <v>301</v>
      </c>
      <c r="G80" s="2" t="s">
        <v>896</v>
      </c>
      <c r="H80" s="2" t="s">
        <v>254</v>
      </c>
      <c r="I80" s="2" t="s">
        <v>302</v>
      </c>
      <c r="J80" s="2" t="s">
        <v>85</v>
      </c>
      <c r="K80" s="2" t="s">
        <v>37</v>
      </c>
      <c r="P80" s="2" t="s">
        <v>22</v>
      </c>
      <c r="Q80" s="2" t="s">
        <v>30</v>
      </c>
      <c r="R80" s="2" t="s">
        <v>41</v>
      </c>
      <c r="S80" s="2" t="s">
        <v>48</v>
      </c>
      <c r="T80" s="2" t="s">
        <v>50</v>
      </c>
      <c r="U80" s="2" t="s">
        <v>53</v>
      </c>
      <c r="V80" s="2">
        <v>255</v>
      </c>
      <c r="W80" s="2" t="s">
        <v>95</v>
      </c>
      <c r="X80" s="2">
        <v>100</v>
      </c>
      <c r="Y80" s="2">
        <v>182</v>
      </c>
      <c r="AB80" s="2">
        <v>19.600000000000001</v>
      </c>
      <c r="AC80" s="2">
        <v>13.4</v>
      </c>
      <c r="AD80" s="2">
        <v>12.9</v>
      </c>
      <c r="AE80" s="2">
        <v>9.6</v>
      </c>
      <c r="AF80" s="2" t="s">
        <v>74</v>
      </c>
      <c r="AG80" s="2" t="s">
        <v>64</v>
      </c>
      <c r="AH80" s="2" t="str">
        <f>IF(AF80="mean", "mean", "")</f>
        <v>mean</v>
      </c>
      <c r="AR80" s="2" t="s">
        <v>222</v>
      </c>
      <c r="AS80" s="2" t="s">
        <v>849</v>
      </c>
      <c r="AU80" s="2" t="s">
        <v>1818</v>
      </c>
      <c r="AV80" s="2" t="s">
        <v>1822</v>
      </c>
      <c r="AW80" s="2" t="s">
        <v>1823</v>
      </c>
      <c r="AX80" s="2" t="s">
        <v>1821</v>
      </c>
      <c r="AY80" s="2" t="s">
        <v>79</v>
      </c>
    </row>
    <row r="81" spans="1:51" x14ac:dyDescent="0.2">
      <c r="A81" s="2" t="s">
        <v>303</v>
      </c>
      <c r="B81" s="2" t="s">
        <v>275</v>
      </c>
      <c r="D81" s="2">
        <v>1999</v>
      </c>
      <c r="E81" s="2" t="s">
        <v>304</v>
      </c>
      <c r="F81" s="2" t="s">
        <v>305</v>
      </c>
      <c r="G81" s="2" t="s">
        <v>897</v>
      </c>
      <c r="H81" s="2" t="s">
        <v>255</v>
      </c>
      <c r="I81" s="2" t="s">
        <v>302</v>
      </c>
      <c r="J81" s="2" t="s">
        <v>85</v>
      </c>
      <c r="K81" s="2" t="s">
        <v>37</v>
      </c>
      <c r="P81" s="2" t="s">
        <v>22</v>
      </c>
      <c r="Q81" s="2" t="s">
        <v>30</v>
      </c>
      <c r="R81" s="2" t="s">
        <v>41</v>
      </c>
      <c r="S81" s="2" t="s">
        <v>48</v>
      </c>
      <c r="T81" s="2" t="s">
        <v>50</v>
      </c>
      <c r="U81" s="2" t="s">
        <v>53</v>
      </c>
      <c r="V81" s="2">
        <v>387</v>
      </c>
      <c r="W81" s="2" t="s">
        <v>95</v>
      </c>
      <c r="X81" s="2">
        <v>100</v>
      </c>
      <c r="Y81" s="2">
        <v>182</v>
      </c>
      <c r="AB81" s="2">
        <v>827</v>
      </c>
      <c r="AC81" s="2">
        <v>389</v>
      </c>
      <c r="AD81" s="2">
        <v>687</v>
      </c>
      <c r="AE81" s="2">
        <v>417</v>
      </c>
      <c r="AF81" s="2" t="s">
        <v>74</v>
      </c>
      <c r="AG81" s="2" t="s">
        <v>64</v>
      </c>
      <c r="AH81" s="2" t="str">
        <f>IF(AF81="mean", "mean", "")</f>
        <v>mean</v>
      </c>
      <c r="AR81" s="2" t="s">
        <v>222</v>
      </c>
      <c r="AS81" s="2" t="s">
        <v>849</v>
      </c>
      <c r="AU81" s="2" t="s">
        <v>1818</v>
      </c>
      <c r="AV81" s="2" t="s">
        <v>1822</v>
      </c>
      <c r="AW81" s="2" t="s">
        <v>1823</v>
      </c>
      <c r="AX81" s="2" t="s">
        <v>1821</v>
      </c>
      <c r="AY81" s="2" t="s">
        <v>79</v>
      </c>
    </row>
    <row r="82" spans="1:51" x14ac:dyDescent="0.2">
      <c r="A82" s="2" t="s">
        <v>306</v>
      </c>
      <c r="B82" s="2" t="s">
        <v>275</v>
      </c>
      <c r="D82" s="2">
        <v>1995</v>
      </c>
      <c r="E82" s="2" t="s">
        <v>307</v>
      </c>
      <c r="F82" s="2" t="s">
        <v>308</v>
      </c>
      <c r="G82" s="2" t="s">
        <v>898</v>
      </c>
      <c r="H82" s="2" t="s">
        <v>256</v>
      </c>
      <c r="I82" s="2" t="s">
        <v>309</v>
      </c>
      <c r="J82" s="2" t="s">
        <v>137</v>
      </c>
      <c r="K82" s="2" t="s">
        <v>37</v>
      </c>
      <c r="P82" s="2" t="s">
        <v>22</v>
      </c>
      <c r="Q82" s="2" t="s">
        <v>1839</v>
      </c>
      <c r="R82" s="2" t="s">
        <v>41</v>
      </c>
      <c r="S82" s="2" t="s">
        <v>48</v>
      </c>
      <c r="T82" s="2" t="s">
        <v>50</v>
      </c>
      <c r="U82" s="2" t="s">
        <v>54</v>
      </c>
      <c r="V82" s="2">
        <v>1636</v>
      </c>
      <c r="AH82" s="2" t="s">
        <v>4</v>
      </c>
      <c r="AN82" s="2">
        <v>94</v>
      </c>
      <c r="AO82" s="2">
        <v>-0.01</v>
      </c>
      <c r="AR82" s="2" t="s">
        <v>222</v>
      </c>
      <c r="AS82" s="2" t="s">
        <v>849</v>
      </c>
      <c r="AU82" s="2" t="s">
        <v>1818</v>
      </c>
      <c r="AV82" s="2" t="s">
        <v>1822</v>
      </c>
      <c r="AW82" s="2" t="s">
        <v>1823</v>
      </c>
      <c r="AX82" s="2" t="s">
        <v>1833</v>
      </c>
      <c r="AY82" s="2" t="s">
        <v>79</v>
      </c>
    </row>
    <row r="83" spans="1:51" x14ac:dyDescent="0.2">
      <c r="A83" s="2" t="s">
        <v>306</v>
      </c>
      <c r="B83" s="2" t="s">
        <v>275</v>
      </c>
      <c r="D83" s="2">
        <v>1995</v>
      </c>
      <c r="E83" s="2" t="s">
        <v>307</v>
      </c>
      <c r="F83" s="2" t="s">
        <v>308</v>
      </c>
      <c r="G83" s="2" t="s">
        <v>898</v>
      </c>
      <c r="H83" s="2" t="s">
        <v>257</v>
      </c>
      <c r="I83" s="2" t="s">
        <v>309</v>
      </c>
      <c r="J83" s="2" t="s">
        <v>137</v>
      </c>
      <c r="K83" s="2" t="s">
        <v>37</v>
      </c>
      <c r="P83" s="2" t="s">
        <v>22</v>
      </c>
      <c r="Q83" s="2" t="s">
        <v>1839</v>
      </c>
      <c r="R83" s="2" t="s">
        <v>41</v>
      </c>
      <c r="S83" s="2" t="s">
        <v>48</v>
      </c>
      <c r="T83" s="2" t="s">
        <v>50</v>
      </c>
      <c r="U83" s="2" t="s">
        <v>54</v>
      </c>
      <c r="V83" s="2">
        <v>1636</v>
      </c>
      <c r="AH83" s="2" t="s">
        <v>4</v>
      </c>
      <c r="AN83" s="2">
        <v>94</v>
      </c>
      <c r="AO83" s="2">
        <v>-0.06</v>
      </c>
      <c r="AR83" s="2" t="s">
        <v>222</v>
      </c>
      <c r="AS83" s="2" t="s">
        <v>849</v>
      </c>
      <c r="AU83" s="2" t="s">
        <v>1818</v>
      </c>
      <c r="AV83" s="2" t="s">
        <v>1822</v>
      </c>
      <c r="AW83" s="2" t="s">
        <v>1823</v>
      </c>
      <c r="AX83" s="2" t="s">
        <v>1833</v>
      </c>
      <c r="AY83" s="2" t="s">
        <v>79</v>
      </c>
    </row>
    <row r="84" spans="1:51" x14ac:dyDescent="0.2">
      <c r="A84" s="2" t="s">
        <v>306</v>
      </c>
      <c r="B84" s="2" t="s">
        <v>275</v>
      </c>
      <c r="D84" s="2">
        <v>1995</v>
      </c>
      <c r="E84" s="2" t="s">
        <v>307</v>
      </c>
      <c r="F84" s="2" t="s">
        <v>308</v>
      </c>
      <c r="G84" s="2" t="s">
        <v>898</v>
      </c>
      <c r="H84" s="2" t="s">
        <v>258</v>
      </c>
      <c r="I84" s="2" t="s">
        <v>309</v>
      </c>
      <c r="J84" s="2" t="s">
        <v>137</v>
      </c>
      <c r="K84" s="2" t="s">
        <v>37</v>
      </c>
      <c r="P84" s="2" t="s">
        <v>22</v>
      </c>
      <c r="Q84" s="2" t="s">
        <v>1839</v>
      </c>
      <c r="R84" s="2" t="s">
        <v>41</v>
      </c>
      <c r="S84" s="2" t="s">
        <v>48</v>
      </c>
      <c r="T84" s="2" t="s">
        <v>50</v>
      </c>
      <c r="U84" s="2" t="s">
        <v>54</v>
      </c>
      <c r="V84" s="2">
        <v>1636</v>
      </c>
      <c r="AH84" s="2" t="s">
        <v>4</v>
      </c>
      <c r="AN84" s="2">
        <v>53</v>
      </c>
      <c r="AO84" s="2">
        <v>-0.01</v>
      </c>
      <c r="AR84" s="2" t="s">
        <v>222</v>
      </c>
      <c r="AS84" s="2" t="s">
        <v>849</v>
      </c>
      <c r="AU84" s="2" t="s">
        <v>1818</v>
      </c>
      <c r="AV84" s="2" t="s">
        <v>1822</v>
      </c>
      <c r="AW84" s="2" t="s">
        <v>1823</v>
      </c>
      <c r="AX84" s="2" t="s">
        <v>1833</v>
      </c>
      <c r="AY84" s="2" t="s">
        <v>79</v>
      </c>
    </row>
    <row r="85" spans="1:51" x14ac:dyDescent="0.2">
      <c r="A85" s="2" t="s">
        <v>310</v>
      </c>
      <c r="B85" s="2" t="s">
        <v>311</v>
      </c>
      <c r="C85" s="2" t="s">
        <v>2294</v>
      </c>
      <c r="D85" s="2">
        <v>2015</v>
      </c>
      <c r="E85" s="2" t="s">
        <v>312</v>
      </c>
      <c r="F85" s="2" t="s">
        <v>313</v>
      </c>
      <c r="G85" s="2" t="s">
        <v>899</v>
      </c>
      <c r="H85" s="2" t="s">
        <v>259</v>
      </c>
      <c r="I85" s="2" t="s">
        <v>1774</v>
      </c>
      <c r="J85" s="2" t="s">
        <v>85</v>
      </c>
      <c r="K85" s="2" t="s">
        <v>37</v>
      </c>
      <c r="P85" s="2" t="s">
        <v>22</v>
      </c>
      <c r="Q85" s="2" t="s">
        <v>29</v>
      </c>
      <c r="R85" s="2" t="s">
        <v>41</v>
      </c>
      <c r="S85" s="2" t="s">
        <v>47</v>
      </c>
      <c r="T85" s="2" t="s">
        <v>50</v>
      </c>
      <c r="U85" s="2" t="s">
        <v>55</v>
      </c>
      <c r="X85" s="2">
        <v>33</v>
      </c>
      <c r="Y85" s="2">
        <v>33</v>
      </c>
      <c r="Z85" s="2">
        <v>21</v>
      </c>
      <c r="AA85" s="2">
        <v>12</v>
      </c>
      <c r="AH85" s="2" t="s">
        <v>1804</v>
      </c>
      <c r="AR85" s="2" t="s">
        <v>222</v>
      </c>
      <c r="AS85" s="2" t="s">
        <v>849</v>
      </c>
      <c r="AU85" s="2" t="s">
        <v>1818</v>
      </c>
      <c r="AV85" s="2" t="s">
        <v>1830</v>
      </c>
      <c r="AW85" s="2" t="s">
        <v>1823</v>
      </c>
      <c r="AX85" s="2" t="s">
        <v>1821</v>
      </c>
      <c r="AY85" s="2" t="s">
        <v>79</v>
      </c>
    </row>
    <row r="86" spans="1:51" x14ac:dyDescent="0.2">
      <c r="A86" s="2" t="s">
        <v>310</v>
      </c>
      <c r="B86" s="2" t="s">
        <v>311</v>
      </c>
      <c r="C86" s="2" t="s">
        <v>2294</v>
      </c>
      <c r="D86" s="2">
        <v>2015</v>
      </c>
      <c r="E86" s="2" t="s">
        <v>312</v>
      </c>
      <c r="F86" s="2" t="s">
        <v>313</v>
      </c>
      <c r="G86" s="2" t="s">
        <v>899</v>
      </c>
      <c r="H86" s="2" t="s">
        <v>260</v>
      </c>
      <c r="I86" s="2" t="s">
        <v>1774</v>
      </c>
      <c r="J86" s="2" t="s">
        <v>85</v>
      </c>
      <c r="K86" s="2" t="s">
        <v>37</v>
      </c>
      <c r="P86" s="2" t="s">
        <v>22</v>
      </c>
      <c r="Q86" s="2" t="s">
        <v>29</v>
      </c>
      <c r="R86" s="2" t="s">
        <v>41</v>
      </c>
      <c r="S86" s="2" t="s">
        <v>48</v>
      </c>
      <c r="T86" s="2" t="s">
        <v>50</v>
      </c>
      <c r="U86" s="2" t="s">
        <v>55</v>
      </c>
      <c r="AH86" s="2" t="s">
        <v>4</v>
      </c>
      <c r="AN86" s="2">
        <v>34</v>
      </c>
      <c r="AO86" s="2">
        <v>0.18</v>
      </c>
      <c r="AR86" s="2" t="s">
        <v>222</v>
      </c>
      <c r="AS86" s="2" t="s">
        <v>849</v>
      </c>
      <c r="AU86" s="2" t="s">
        <v>1818</v>
      </c>
      <c r="AV86" s="2" t="s">
        <v>1830</v>
      </c>
      <c r="AW86" s="2" t="s">
        <v>1823</v>
      </c>
      <c r="AX86" s="2" t="s">
        <v>1821</v>
      </c>
      <c r="AY86" s="2" t="s">
        <v>79</v>
      </c>
    </row>
    <row r="87" spans="1:51" x14ac:dyDescent="0.2">
      <c r="A87" s="2" t="s">
        <v>314</v>
      </c>
      <c r="B87" s="2" t="s">
        <v>315</v>
      </c>
      <c r="C87" s="2" t="s">
        <v>2296</v>
      </c>
      <c r="D87" s="2">
        <v>2015</v>
      </c>
      <c r="E87" s="2" t="s">
        <v>316</v>
      </c>
      <c r="F87" s="2" t="s">
        <v>317</v>
      </c>
      <c r="G87" s="2" t="s">
        <v>900</v>
      </c>
      <c r="H87" s="2" t="s">
        <v>261</v>
      </c>
      <c r="I87" s="2" t="s">
        <v>1120</v>
      </c>
      <c r="J87" s="2" t="s">
        <v>34</v>
      </c>
      <c r="K87" s="2" t="s">
        <v>38</v>
      </c>
      <c r="L87" s="2" t="s">
        <v>11</v>
      </c>
      <c r="M87" s="2" t="s">
        <v>14</v>
      </c>
      <c r="N87" s="2" t="s">
        <v>17</v>
      </c>
      <c r="O87" s="2">
        <v>1</v>
      </c>
      <c r="P87" s="2" t="s">
        <v>22</v>
      </c>
      <c r="Q87" s="2" t="s">
        <v>29</v>
      </c>
      <c r="T87" s="2" t="s">
        <v>50</v>
      </c>
      <c r="U87" s="2" t="s">
        <v>52</v>
      </c>
      <c r="V87" s="2">
        <v>156</v>
      </c>
      <c r="W87" s="2" t="s">
        <v>318</v>
      </c>
      <c r="X87" s="2">
        <v>28</v>
      </c>
      <c r="Y87" s="2">
        <v>28</v>
      </c>
      <c r="AB87" s="2">
        <v>2.87</v>
      </c>
      <c r="AC87" s="2">
        <v>1.1499999999999999</v>
      </c>
      <c r="AD87" s="2">
        <v>1.1000000000000001</v>
      </c>
      <c r="AE87" s="2">
        <v>1.28</v>
      </c>
      <c r="AF87" s="2" t="s">
        <v>74</v>
      </c>
      <c r="AG87" s="2" t="s">
        <v>64</v>
      </c>
      <c r="AH87" s="2" t="str">
        <f>IF(AF87="mean", "mean", "")</f>
        <v>mean</v>
      </c>
      <c r="AR87" s="2" t="s">
        <v>849</v>
      </c>
      <c r="AS87" s="2" t="s">
        <v>849</v>
      </c>
      <c r="AU87" s="2" t="s">
        <v>1818</v>
      </c>
      <c r="AV87" s="2" t="s">
        <v>1830</v>
      </c>
      <c r="AW87" s="2" t="s">
        <v>1820</v>
      </c>
      <c r="AX87" s="2" t="s">
        <v>1821</v>
      </c>
      <c r="AY87" s="2" t="s">
        <v>79</v>
      </c>
    </row>
    <row r="88" spans="1:51" x14ac:dyDescent="0.2">
      <c r="A88" s="2" t="s">
        <v>314</v>
      </c>
      <c r="B88" s="2" t="s">
        <v>315</v>
      </c>
      <c r="C88" s="2" t="s">
        <v>2296</v>
      </c>
      <c r="D88" s="2">
        <v>2015</v>
      </c>
      <c r="E88" s="2" t="s">
        <v>316</v>
      </c>
      <c r="F88" s="2" t="s">
        <v>317</v>
      </c>
      <c r="G88" s="2" t="s">
        <v>901</v>
      </c>
      <c r="H88" s="2" t="s">
        <v>262</v>
      </c>
      <c r="I88" s="2" t="s">
        <v>1120</v>
      </c>
      <c r="J88" s="2" t="s">
        <v>34</v>
      </c>
      <c r="K88" s="2" t="s">
        <v>38</v>
      </c>
      <c r="L88" s="2" t="s">
        <v>11</v>
      </c>
      <c r="M88" s="2" t="s">
        <v>14</v>
      </c>
      <c r="N88" s="2" t="s">
        <v>17</v>
      </c>
      <c r="O88" s="2">
        <v>1</v>
      </c>
      <c r="P88" s="2" t="s">
        <v>22</v>
      </c>
      <c r="Q88" s="2" t="s">
        <v>29</v>
      </c>
      <c r="T88" s="2" t="s">
        <v>50</v>
      </c>
      <c r="U88" s="2" t="s">
        <v>54</v>
      </c>
      <c r="V88" s="2">
        <v>156</v>
      </c>
      <c r="X88" s="2">
        <v>20</v>
      </c>
      <c r="Y88" s="2">
        <v>20</v>
      </c>
      <c r="Z88" s="2">
        <v>12</v>
      </c>
      <c r="AA88" s="2">
        <v>8</v>
      </c>
      <c r="AH88" s="2" t="s">
        <v>1804</v>
      </c>
      <c r="AR88" s="2" t="s">
        <v>849</v>
      </c>
      <c r="AS88" s="2" t="s">
        <v>849</v>
      </c>
      <c r="AU88" s="2" t="s">
        <v>1818</v>
      </c>
      <c r="AV88" s="2" t="s">
        <v>1830</v>
      </c>
      <c r="AW88" s="2" t="s">
        <v>1820</v>
      </c>
      <c r="AX88" s="2" t="s">
        <v>1821</v>
      </c>
      <c r="AY88" s="2" t="s">
        <v>79</v>
      </c>
    </row>
    <row r="89" spans="1:51" x14ac:dyDescent="0.2">
      <c r="A89" s="2" t="s">
        <v>314</v>
      </c>
      <c r="B89" s="2" t="s">
        <v>315</v>
      </c>
      <c r="C89" s="2" t="s">
        <v>2296</v>
      </c>
      <c r="D89" s="2">
        <v>2015</v>
      </c>
      <c r="E89" s="2" t="s">
        <v>316</v>
      </c>
      <c r="F89" s="2" t="s">
        <v>317</v>
      </c>
      <c r="G89" s="2" t="s">
        <v>902</v>
      </c>
      <c r="H89" s="2" t="s">
        <v>263</v>
      </c>
      <c r="I89" s="2" t="s">
        <v>1120</v>
      </c>
      <c r="J89" s="2" t="s">
        <v>34</v>
      </c>
      <c r="K89" s="2" t="s">
        <v>38</v>
      </c>
      <c r="L89" s="2" t="s">
        <v>11</v>
      </c>
      <c r="M89" s="2" t="s">
        <v>14</v>
      </c>
      <c r="N89" s="2" t="s">
        <v>17</v>
      </c>
      <c r="O89" s="2">
        <v>1</v>
      </c>
      <c r="P89" s="2" t="s">
        <v>22</v>
      </c>
      <c r="Q89" s="2" t="s">
        <v>29</v>
      </c>
      <c r="T89" s="2" t="s">
        <v>50</v>
      </c>
      <c r="U89" s="2" t="s">
        <v>54</v>
      </c>
      <c r="V89" s="2">
        <v>156</v>
      </c>
      <c r="X89" s="2">
        <v>42</v>
      </c>
      <c r="Y89" s="2">
        <v>42</v>
      </c>
      <c r="Z89" s="2">
        <v>28</v>
      </c>
      <c r="AA89" s="2">
        <v>14</v>
      </c>
      <c r="AH89" s="2" t="s">
        <v>1804</v>
      </c>
      <c r="AR89" s="2" t="s">
        <v>849</v>
      </c>
      <c r="AS89" s="2" t="s">
        <v>849</v>
      </c>
      <c r="AU89" s="2" t="s">
        <v>1818</v>
      </c>
      <c r="AV89" s="2" t="s">
        <v>1830</v>
      </c>
      <c r="AW89" s="2" t="s">
        <v>1820</v>
      </c>
      <c r="AX89" s="2" t="s">
        <v>1821</v>
      </c>
      <c r="AY89" s="2" t="s">
        <v>79</v>
      </c>
    </row>
    <row r="90" spans="1:51" x14ac:dyDescent="0.2">
      <c r="A90" s="2" t="s">
        <v>314</v>
      </c>
      <c r="B90" s="2" t="s">
        <v>315</v>
      </c>
      <c r="C90" s="2" t="s">
        <v>2296</v>
      </c>
      <c r="D90" s="2">
        <v>2015</v>
      </c>
      <c r="E90" s="2" t="s">
        <v>316</v>
      </c>
      <c r="F90" s="2" t="s">
        <v>317</v>
      </c>
      <c r="G90" s="2" t="s">
        <v>903</v>
      </c>
      <c r="H90" s="2" t="s">
        <v>264</v>
      </c>
      <c r="I90" s="2" t="s">
        <v>1120</v>
      </c>
      <c r="J90" s="2" t="s">
        <v>34</v>
      </c>
      <c r="K90" s="2" t="s">
        <v>38</v>
      </c>
      <c r="L90" s="2" t="s">
        <v>11</v>
      </c>
      <c r="M90" s="2" t="s">
        <v>14</v>
      </c>
      <c r="N90" s="2" t="s">
        <v>17</v>
      </c>
      <c r="O90" s="2">
        <v>1</v>
      </c>
      <c r="P90" s="2" t="s">
        <v>22</v>
      </c>
      <c r="Q90" s="2" t="s">
        <v>29</v>
      </c>
      <c r="T90" s="2" t="s">
        <v>50</v>
      </c>
      <c r="U90" s="2" t="s">
        <v>54</v>
      </c>
      <c r="V90" s="2">
        <v>156</v>
      </c>
      <c r="X90" s="2">
        <v>32</v>
      </c>
      <c r="Y90" s="2">
        <v>32</v>
      </c>
      <c r="Z90" s="2">
        <v>19</v>
      </c>
      <c r="AA90" s="2">
        <v>13</v>
      </c>
      <c r="AH90" s="2" t="s">
        <v>1804</v>
      </c>
      <c r="AR90" s="2" t="s">
        <v>849</v>
      </c>
      <c r="AS90" s="2" t="s">
        <v>849</v>
      </c>
      <c r="AU90" s="2" t="s">
        <v>1818</v>
      </c>
      <c r="AV90" s="2" t="s">
        <v>1830</v>
      </c>
      <c r="AW90" s="2" t="s">
        <v>1820</v>
      </c>
      <c r="AX90" s="2" t="s">
        <v>1821</v>
      </c>
      <c r="AY90" s="2" t="s">
        <v>79</v>
      </c>
    </row>
    <row r="91" spans="1:51" x14ac:dyDescent="0.2">
      <c r="A91" s="2" t="s">
        <v>314</v>
      </c>
      <c r="B91" s="2" t="s">
        <v>315</v>
      </c>
      <c r="C91" s="2" t="s">
        <v>2296</v>
      </c>
      <c r="D91" s="2">
        <v>2015</v>
      </c>
      <c r="E91" s="2" t="s">
        <v>316</v>
      </c>
      <c r="F91" s="2" t="s">
        <v>317</v>
      </c>
      <c r="G91" s="2" t="s">
        <v>904</v>
      </c>
      <c r="H91" s="2" t="s">
        <v>265</v>
      </c>
      <c r="I91" s="2" t="s">
        <v>1120</v>
      </c>
      <c r="J91" s="2" t="s">
        <v>34</v>
      </c>
      <c r="K91" s="2" t="s">
        <v>38</v>
      </c>
      <c r="L91" s="2" t="s">
        <v>11</v>
      </c>
      <c r="M91" s="2" t="s">
        <v>14</v>
      </c>
      <c r="N91" s="2" t="s">
        <v>17</v>
      </c>
      <c r="O91" s="2">
        <v>1</v>
      </c>
      <c r="P91" s="2" t="s">
        <v>22</v>
      </c>
      <c r="Q91" s="2" t="s">
        <v>29</v>
      </c>
      <c r="T91" s="2" t="s">
        <v>50</v>
      </c>
      <c r="U91" s="2" t="s">
        <v>52</v>
      </c>
      <c r="V91" s="2">
        <v>157</v>
      </c>
      <c r="X91" s="2">
        <v>25</v>
      </c>
      <c r="Y91" s="2">
        <v>25</v>
      </c>
      <c r="Z91" s="2">
        <v>14</v>
      </c>
      <c r="AA91" s="2">
        <v>9</v>
      </c>
      <c r="AH91" s="2" t="s">
        <v>1804</v>
      </c>
      <c r="AR91" s="2" t="s">
        <v>849</v>
      </c>
      <c r="AS91" s="2" t="s">
        <v>849</v>
      </c>
      <c r="AU91" s="2" t="s">
        <v>1818</v>
      </c>
      <c r="AV91" s="2" t="s">
        <v>1830</v>
      </c>
      <c r="AW91" s="2" t="s">
        <v>1820</v>
      </c>
      <c r="AX91" s="2" t="s">
        <v>1821</v>
      </c>
      <c r="AY91" s="2" t="s">
        <v>79</v>
      </c>
    </row>
    <row r="92" spans="1:51" x14ac:dyDescent="0.2">
      <c r="A92" s="2" t="s">
        <v>314</v>
      </c>
      <c r="B92" s="2" t="s">
        <v>315</v>
      </c>
      <c r="C92" s="2" t="s">
        <v>2296</v>
      </c>
      <c r="D92" s="2">
        <v>2015</v>
      </c>
      <c r="E92" s="2" t="s">
        <v>316</v>
      </c>
      <c r="F92" s="2" t="s">
        <v>317</v>
      </c>
      <c r="G92" s="2" t="s">
        <v>905</v>
      </c>
      <c r="H92" s="2" t="s">
        <v>266</v>
      </c>
      <c r="I92" s="2" t="s">
        <v>1120</v>
      </c>
      <c r="J92" s="2" t="s">
        <v>34</v>
      </c>
      <c r="K92" s="2" t="s">
        <v>38</v>
      </c>
      <c r="L92" s="2" t="s">
        <v>11</v>
      </c>
      <c r="M92" s="2" t="s">
        <v>14</v>
      </c>
      <c r="N92" s="2" t="s">
        <v>17</v>
      </c>
      <c r="O92" s="2">
        <v>1</v>
      </c>
      <c r="P92" s="2" t="s">
        <v>22</v>
      </c>
      <c r="Q92" s="2" t="s">
        <v>29</v>
      </c>
      <c r="T92" s="2" t="s">
        <v>50</v>
      </c>
      <c r="U92" s="2" t="s">
        <v>54</v>
      </c>
      <c r="V92" s="2">
        <v>157</v>
      </c>
      <c r="X92" s="2">
        <v>28</v>
      </c>
      <c r="Y92" s="2">
        <v>28</v>
      </c>
      <c r="Z92" s="2">
        <v>20</v>
      </c>
      <c r="AA92" s="2">
        <v>8</v>
      </c>
      <c r="AH92" s="2" t="s">
        <v>1804</v>
      </c>
      <c r="AR92" s="2" t="s">
        <v>849</v>
      </c>
      <c r="AS92" s="2" t="s">
        <v>849</v>
      </c>
      <c r="AU92" s="2" t="s">
        <v>1818</v>
      </c>
      <c r="AV92" s="2" t="s">
        <v>1830</v>
      </c>
      <c r="AW92" s="2" t="s">
        <v>1820</v>
      </c>
      <c r="AX92" s="2" t="s">
        <v>1821</v>
      </c>
      <c r="AY92" s="2" t="s">
        <v>79</v>
      </c>
    </row>
    <row r="93" spans="1:51" x14ac:dyDescent="0.2">
      <c r="A93" s="2" t="s">
        <v>314</v>
      </c>
      <c r="B93" s="2" t="s">
        <v>315</v>
      </c>
      <c r="C93" s="2" t="s">
        <v>2296</v>
      </c>
      <c r="D93" s="2">
        <v>2015</v>
      </c>
      <c r="E93" s="2" t="s">
        <v>316</v>
      </c>
      <c r="F93" s="2" t="s">
        <v>319</v>
      </c>
      <c r="G93" s="2" t="s">
        <v>906</v>
      </c>
      <c r="H93" s="2" t="s">
        <v>267</v>
      </c>
      <c r="I93" s="2" t="s">
        <v>1120</v>
      </c>
      <c r="J93" s="2" t="s">
        <v>34</v>
      </c>
      <c r="K93" s="2" t="s">
        <v>38</v>
      </c>
      <c r="L93" s="2" t="s">
        <v>11</v>
      </c>
      <c r="M93" s="2" t="s">
        <v>14</v>
      </c>
      <c r="N93" s="2" t="s">
        <v>17</v>
      </c>
      <c r="O93" s="2">
        <v>1</v>
      </c>
      <c r="P93" s="2" t="s">
        <v>22</v>
      </c>
      <c r="Q93" s="2" t="s">
        <v>1056</v>
      </c>
      <c r="T93" s="2" t="s">
        <v>50</v>
      </c>
      <c r="U93" s="2" t="s">
        <v>52</v>
      </c>
      <c r="V93" s="2">
        <v>157</v>
      </c>
      <c r="X93" s="2">
        <v>51</v>
      </c>
      <c r="Y93" s="2">
        <v>51</v>
      </c>
      <c r="Z93" s="2">
        <v>45</v>
      </c>
      <c r="AA93" s="2">
        <v>36</v>
      </c>
      <c r="AH93" s="2" t="s">
        <v>1804</v>
      </c>
      <c r="AR93" s="2" t="s">
        <v>849</v>
      </c>
      <c r="AS93" s="2" t="s">
        <v>849</v>
      </c>
      <c r="AU93" s="2" t="s">
        <v>1818</v>
      </c>
      <c r="AV93" s="2" t="s">
        <v>1830</v>
      </c>
      <c r="AW93" s="2" t="s">
        <v>1820</v>
      </c>
      <c r="AX93" s="2" t="s">
        <v>1821</v>
      </c>
      <c r="AY93" s="2" t="s">
        <v>79</v>
      </c>
    </row>
    <row r="94" spans="1:51" x14ac:dyDescent="0.2">
      <c r="A94" s="2" t="s">
        <v>320</v>
      </c>
      <c r="B94" s="2" t="s">
        <v>2290</v>
      </c>
      <c r="D94" s="2">
        <v>2005</v>
      </c>
      <c r="E94" s="2" t="s">
        <v>321</v>
      </c>
      <c r="F94" s="2" t="s">
        <v>322</v>
      </c>
      <c r="G94" s="2" t="s">
        <v>907</v>
      </c>
      <c r="H94" s="2" t="s">
        <v>268</v>
      </c>
      <c r="I94" s="2" t="s">
        <v>1775</v>
      </c>
      <c r="J94" s="2" t="s">
        <v>36</v>
      </c>
      <c r="K94" s="2" t="s">
        <v>37</v>
      </c>
      <c r="P94" s="2" t="s">
        <v>22</v>
      </c>
      <c r="Q94" s="2" t="s">
        <v>27</v>
      </c>
      <c r="R94" s="2" t="s">
        <v>40</v>
      </c>
      <c r="S94" s="2" t="s">
        <v>43</v>
      </c>
      <c r="T94" s="2" t="s">
        <v>50</v>
      </c>
      <c r="U94" s="2" t="s">
        <v>52</v>
      </c>
      <c r="V94" s="2">
        <v>988</v>
      </c>
      <c r="W94" s="2" t="s">
        <v>318</v>
      </c>
      <c r="X94" s="2">
        <v>37</v>
      </c>
      <c r="Y94" s="2">
        <v>35</v>
      </c>
      <c r="AB94" s="2">
        <v>0.16774193548387101</v>
      </c>
      <c r="AC94" s="2">
        <v>7.4126855207935202E-2</v>
      </c>
      <c r="AD94" s="2">
        <v>9.3189964157706098E-2</v>
      </c>
      <c r="AE94" s="2">
        <v>6.3613761108597802E-2</v>
      </c>
      <c r="AF94" s="2" t="s">
        <v>74</v>
      </c>
      <c r="AG94" s="2" t="s">
        <v>64</v>
      </c>
      <c r="AH94" s="2" t="s">
        <v>74</v>
      </c>
      <c r="AR94" s="2" t="s">
        <v>849</v>
      </c>
      <c r="AS94" s="2" t="s">
        <v>849</v>
      </c>
      <c r="AU94" s="2" t="s">
        <v>1827</v>
      </c>
      <c r="AV94" s="2" t="s">
        <v>1830</v>
      </c>
      <c r="AW94" s="2" t="s">
        <v>1820</v>
      </c>
      <c r="AY94" s="2" t="s">
        <v>1835</v>
      </c>
    </row>
    <row r="95" spans="1:51" x14ac:dyDescent="0.2">
      <c r="A95" s="2" t="s">
        <v>320</v>
      </c>
      <c r="B95" s="2" t="s">
        <v>2290</v>
      </c>
      <c r="D95" s="2">
        <v>2005</v>
      </c>
      <c r="E95" s="2" t="s">
        <v>321</v>
      </c>
      <c r="F95" s="2" t="s">
        <v>322</v>
      </c>
      <c r="G95" s="2" t="s">
        <v>908</v>
      </c>
      <c r="H95" s="2" t="s">
        <v>269</v>
      </c>
      <c r="I95" s="2" t="s">
        <v>1775</v>
      </c>
      <c r="J95" s="2" t="s">
        <v>36</v>
      </c>
      <c r="K95" s="2" t="s">
        <v>37</v>
      </c>
      <c r="P95" s="2" t="s">
        <v>22</v>
      </c>
      <c r="Q95" s="2" t="s">
        <v>27</v>
      </c>
      <c r="R95" s="2" t="s">
        <v>41</v>
      </c>
      <c r="S95" s="2" t="s">
        <v>46</v>
      </c>
      <c r="T95" s="2" t="s">
        <v>50</v>
      </c>
      <c r="U95" s="2" t="s">
        <v>52</v>
      </c>
      <c r="V95" s="2">
        <v>989</v>
      </c>
      <c r="W95" s="2" t="s">
        <v>323</v>
      </c>
      <c r="X95" s="2">
        <v>37</v>
      </c>
      <c r="Y95" s="2">
        <v>39</v>
      </c>
      <c r="AB95" s="2">
        <v>114.366197183099</v>
      </c>
      <c r="AC95" s="2">
        <v>140.50324717871899</v>
      </c>
      <c r="AD95" s="2">
        <v>45.633802816901401</v>
      </c>
      <c r="AE95" s="2">
        <v>179.43374530609501</v>
      </c>
      <c r="AF95" s="2" t="s">
        <v>74</v>
      </c>
      <c r="AG95" s="2" t="s">
        <v>64</v>
      </c>
      <c r="AH95" s="2" t="s">
        <v>74</v>
      </c>
      <c r="AR95" s="2" t="s">
        <v>849</v>
      </c>
      <c r="AS95" s="2" t="s">
        <v>849</v>
      </c>
      <c r="AU95" s="2" t="s">
        <v>1827</v>
      </c>
      <c r="AV95" s="2" t="s">
        <v>1830</v>
      </c>
      <c r="AW95" s="2" t="s">
        <v>1820</v>
      </c>
      <c r="AY95" s="2" t="s">
        <v>1835</v>
      </c>
    </row>
    <row r="96" spans="1:51" x14ac:dyDescent="0.2">
      <c r="A96" s="2" t="s">
        <v>324</v>
      </c>
      <c r="B96" s="2" t="s">
        <v>327</v>
      </c>
      <c r="D96" s="2">
        <v>2010</v>
      </c>
      <c r="E96" s="2" t="s">
        <v>325</v>
      </c>
      <c r="F96" s="2" t="s">
        <v>326</v>
      </c>
      <c r="G96" s="2" t="s">
        <v>909</v>
      </c>
      <c r="H96" s="2" t="s">
        <v>270</v>
      </c>
      <c r="I96" s="2" t="s">
        <v>1776</v>
      </c>
      <c r="J96" s="2" t="s">
        <v>85</v>
      </c>
      <c r="K96" s="2" t="s">
        <v>37</v>
      </c>
      <c r="P96" s="2" t="s">
        <v>22</v>
      </c>
      <c r="Q96" s="2" t="s">
        <v>30</v>
      </c>
      <c r="R96" s="2" t="s">
        <v>41</v>
      </c>
      <c r="S96" s="2" t="s">
        <v>46</v>
      </c>
      <c r="T96" s="2" t="s">
        <v>50</v>
      </c>
      <c r="U96" s="2" t="s">
        <v>54</v>
      </c>
      <c r="V96" s="2">
        <v>11</v>
      </c>
      <c r="X96" s="2">
        <v>20</v>
      </c>
      <c r="Y96" s="2">
        <v>20</v>
      </c>
      <c r="AB96" s="2">
        <v>92.2</v>
      </c>
      <c r="AC96" s="2">
        <v>14.1</v>
      </c>
      <c r="AD96" s="2">
        <v>115.8</v>
      </c>
      <c r="AE96" s="2">
        <v>13.8</v>
      </c>
      <c r="AF96" s="2" t="s">
        <v>74</v>
      </c>
      <c r="AG96" s="2" t="s">
        <v>65</v>
      </c>
      <c r="AH96" s="2" t="s">
        <v>74</v>
      </c>
      <c r="AR96" s="2" t="s">
        <v>849</v>
      </c>
      <c r="AS96" s="2" t="s">
        <v>849</v>
      </c>
      <c r="AU96" s="2" t="s">
        <v>1818</v>
      </c>
      <c r="AV96" s="2" t="s">
        <v>1822</v>
      </c>
      <c r="AW96" s="2" t="s">
        <v>1823</v>
      </c>
      <c r="AX96" s="2" t="s">
        <v>1826</v>
      </c>
      <c r="AY96" s="2" t="s">
        <v>79</v>
      </c>
    </row>
    <row r="97" spans="1:51" x14ac:dyDescent="0.2">
      <c r="A97" s="2" t="s">
        <v>328</v>
      </c>
      <c r="B97" s="2" t="s">
        <v>329</v>
      </c>
      <c r="C97" s="2" t="s">
        <v>330</v>
      </c>
      <c r="D97" s="2">
        <v>2018</v>
      </c>
      <c r="E97" s="2" t="s">
        <v>331</v>
      </c>
      <c r="F97" s="2" t="s">
        <v>332</v>
      </c>
      <c r="G97" s="2" t="s">
        <v>910</v>
      </c>
      <c r="H97" s="2" t="s">
        <v>271</v>
      </c>
      <c r="I97" s="2" t="s">
        <v>1128</v>
      </c>
      <c r="J97" s="2" t="s">
        <v>34</v>
      </c>
      <c r="K97" s="2" t="s">
        <v>37</v>
      </c>
      <c r="P97" s="2" t="s">
        <v>23</v>
      </c>
      <c r="Q97" s="2" t="s">
        <v>81</v>
      </c>
      <c r="R97" s="2" t="s">
        <v>41</v>
      </c>
      <c r="S97" s="2" t="s">
        <v>46</v>
      </c>
      <c r="T97" s="2" t="s">
        <v>50</v>
      </c>
      <c r="U97" s="2" t="s">
        <v>54</v>
      </c>
      <c r="V97" s="2">
        <v>295</v>
      </c>
      <c r="AH97" s="2" t="s">
        <v>4</v>
      </c>
      <c r="AN97" s="2">
        <v>15</v>
      </c>
      <c r="AO97" s="2">
        <v>-0.51</v>
      </c>
      <c r="AR97" s="2" t="s">
        <v>849</v>
      </c>
      <c r="AS97" s="2" t="s">
        <v>849</v>
      </c>
      <c r="AU97" s="2" t="s">
        <v>1825</v>
      </c>
      <c r="AV97" s="2" t="s">
        <v>1830</v>
      </c>
      <c r="AW97" s="2" t="s">
        <v>1820</v>
      </c>
      <c r="AX97" s="2" t="s">
        <v>1826</v>
      </c>
      <c r="AY97" s="2" t="s">
        <v>79</v>
      </c>
    </row>
    <row r="98" spans="1:51" x14ac:dyDescent="0.2">
      <c r="A98" s="2" t="s">
        <v>328</v>
      </c>
      <c r="B98" s="2" t="s">
        <v>329</v>
      </c>
      <c r="C98" s="2" t="s">
        <v>330</v>
      </c>
      <c r="D98" s="2">
        <v>2018</v>
      </c>
      <c r="E98" s="2" t="s">
        <v>331</v>
      </c>
      <c r="F98" s="2" t="s">
        <v>333</v>
      </c>
      <c r="G98" s="2" t="s">
        <v>911</v>
      </c>
      <c r="H98" s="2" t="s">
        <v>272</v>
      </c>
      <c r="I98" s="2" t="s">
        <v>1128</v>
      </c>
      <c r="J98" s="2" t="s">
        <v>34</v>
      </c>
      <c r="K98" s="2" t="s">
        <v>37</v>
      </c>
      <c r="P98" s="2" t="s">
        <v>23</v>
      </c>
      <c r="Q98" s="2" t="s">
        <v>81</v>
      </c>
      <c r="R98" s="2" t="s">
        <v>41</v>
      </c>
      <c r="S98" s="2" t="s">
        <v>46</v>
      </c>
      <c r="T98" s="2" t="s">
        <v>50</v>
      </c>
      <c r="U98" s="2" t="s">
        <v>54</v>
      </c>
      <c r="V98" s="2">
        <v>295</v>
      </c>
      <c r="AH98" s="2" t="s">
        <v>4</v>
      </c>
      <c r="AN98" s="2">
        <v>23</v>
      </c>
      <c r="AO98" s="2">
        <v>-0.18</v>
      </c>
      <c r="AR98" s="2" t="s">
        <v>849</v>
      </c>
      <c r="AS98" s="2" t="s">
        <v>849</v>
      </c>
      <c r="AU98" s="2" t="s">
        <v>1825</v>
      </c>
      <c r="AV98" s="2" t="s">
        <v>1830</v>
      </c>
      <c r="AW98" s="2" t="s">
        <v>1820</v>
      </c>
      <c r="AX98" s="2" t="s">
        <v>1826</v>
      </c>
      <c r="AY98" s="2" t="s">
        <v>79</v>
      </c>
    </row>
    <row r="99" spans="1:51" x14ac:dyDescent="0.2">
      <c r="A99" s="2" t="s">
        <v>328</v>
      </c>
      <c r="B99" s="2" t="s">
        <v>329</v>
      </c>
      <c r="C99" s="2" t="s">
        <v>330</v>
      </c>
      <c r="D99" s="2">
        <v>2018</v>
      </c>
      <c r="E99" s="2" t="s">
        <v>331</v>
      </c>
      <c r="F99" s="2" t="s">
        <v>334</v>
      </c>
      <c r="G99" s="2" t="s">
        <v>912</v>
      </c>
      <c r="H99" s="2" t="s">
        <v>273</v>
      </c>
      <c r="I99" s="2" t="s">
        <v>1128</v>
      </c>
      <c r="J99" s="2" t="s">
        <v>34</v>
      </c>
      <c r="K99" s="2" t="s">
        <v>37</v>
      </c>
      <c r="P99" s="2" t="s">
        <v>23</v>
      </c>
      <c r="Q99" s="2" t="s">
        <v>81</v>
      </c>
      <c r="R99" s="2" t="s">
        <v>41</v>
      </c>
      <c r="S99" s="2" t="s">
        <v>46</v>
      </c>
      <c r="T99" s="2" t="s">
        <v>50</v>
      </c>
      <c r="U99" s="2" t="s">
        <v>54</v>
      </c>
      <c r="V99" s="2">
        <v>295</v>
      </c>
      <c r="AH99" s="2" t="s">
        <v>4</v>
      </c>
      <c r="AN99" s="2">
        <v>15</v>
      </c>
      <c r="AO99" s="2">
        <v>0.02</v>
      </c>
      <c r="AR99" s="2" t="s">
        <v>849</v>
      </c>
      <c r="AS99" s="2" t="s">
        <v>849</v>
      </c>
      <c r="AU99" s="2" t="s">
        <v>1825</v>
      </c>
      <c r="AV99" s="2" t="s">
        <v>1830</v>
      </c>
      <c r="AW99" s="2" t="s">
        <v>1820</v>
      </c>
      <c r="AX99" s="2" t="s">
        <v>1826</v>
      </c>
      <c r="AY99" s="2" t="s">
        <v>79</v>
      </c>
    </row>
    <row r="100" spans="1:51" x14ac:dyDescent="0.2">
      <c r="A100" s="2" t="s">
        <v>328</v>
      </c>
      <c r="B100" s="2" t="s">
        <v>329</v>
      </c>
      <c r="C100" s="2" t="s">
        <v>330</v>
      </c>
      <c r="D100" s="2">
        <v>2018</v>
      </c>
      <c r="E100" s="2" t="s">
        <v>331</v>
      </c>
      <c r="F100" s="2" t="s">
        <v>335</v>
      </c>
      <c r="G100" s="2" t="s">
        <v>913</v>
      </c>
      <c r="H100" s="2" t="s">
        <v>340</v>
      </c>
      <c r="I100" s="2" t="s">
        <v>1128</v>
      </c>
      <c r="J100" s="2" t="s">
        <v>34</v>
      </c>
      <c r="K100" s="2" t="s">
        <v>37</v>
      </c>
      <c r="P100" s="2" t="s">
        <v>23</v>
      </c>
      <c r="Q100" s="2" t="s">
        <v>81</v>
      </c>
      <c r="R100" s="2" t="s">
        <v>41</v>
      </c>
      <c r="S100" s="2" t="s">
        <v>46</v>
      </c>
      <c r="T100" s="2" t="s">
        <v>50</v>
      </c>
      <c r="U100" s="2" t="s">
        <v>54</v>
      </c>
      <c r="V100" s="2">
        <v>295</v>
      </c>
      <c r="AH100" s="2" t="s">
        <v>4</v>
      </c>
      <c r="AN100" s="2">
        <v>15</v>
      </c>
      <c r="AO100" s="2">
        <v>-0.44</v>
      </c>
      <c r="AR100" s="2" t="s">
        <v>849</v>
      </c>
      <c r="AS100" s="2" t="s">
        <v>849</v>
      </c>
      <c r="AU100" s="2" t="s">
        <v>1825</v>
      </c>
      <c r="AV100" s="2" t="s">
        <v>1830</v>
      </c>
      <c r="AW100" s="2" t="s">
        <v>1820</v>
      </c>
      <c r="AX100" s="2" t="s">
        <v>1826</v>
      </c>
      <c r="AY100" s="2" t="s">
        <v>79</v>
      </c>
    </row>
    <row r="101" spans="1:51" x14ac:dyDescent="0.2">
      <c r="A101" s="2" t="s">
        <v>328</v>
      </c>
      <c r="B101" s="2" t="s">
        <v>329</v>
      </c>
      <c r="C101" s="2" t="s">
        <v>330</v>
      </c>
      <c r="D101" s="2">
        <v>2018</v>
      </c>
      <c r="E101" s="2" t="s">
        <v>331</v>
      </c>
      <c r="F101" s="2" t="s">
        <v>336</v>
      </c>
      <c r="G101" s="2" t="s">
        <v>914</v>
      </c>
      <c r="H101" s="2" t="s">
        <v>341</v>
      </c>
      <c r="I101" s="2" t="s">
        <v>1128</v>
      </c>
      <c r="J101" s="2" t="s">
        <v>34</v>
      </c>
      <c r="K101" s="2" t="s">
        <v>37</v>
      </c>
      <c r="P101" s="2" t="s">
        <v>23</v>
      </c>
      <c r="Q101" s="2" t="s">
        <v>81</v>
      </c>
      <c r="R101" s="2" t="s">
        <v>41</v>
      </c>
      <c r="S101" s="2" t="s">
        <v>46</v>
      </c>
      <c r="T101" s="2" t="s">
        <v>50</v>
      </c>
      <c r="U101" s="2" t="s">
        <v>54</v>
      </c>
      <c r="V101" s="2">
        <v>295</v>
      </c>
      <c r="AH101" s="2" t="s">
        <v>4</v>
      </c>
      <c r="AN101" s="2">
        <v>18</v>
      </c>
      <c r="AO101" s="2">
        <v>0.04</v>
      </c>
      <c r="AR101" s="2" t="s">
        <v>849</v>
      </c>
      <c r="AS101" s="2" t="s">
        <v>849</v>
      </c>
      <c r="AU101" s="2" t="s">
        <v>1825</v>
      </c>
      <c r="AV101" s="2" t="s">
        <v>1830</v>
      </c>
      <c r="AW101" s="2" t="s">
        <v>1820</v>
      </c>
      <c r="AX101" s="2" t="s">
        <v>1826</v>
      </c>
      <c r="AY101" s="2" t="s">
        <v>79</v>
      </c>
    </row>
    <row r="102" spans="1:51" x14ac:dyDescent="0.2">
      <c r="A102" s="2" t="s">
        <v>328</v>
      </c>
      <c r="B102" s="2" t="s">
        <v>329</v>
      </c>
      <c r="C102" s="2" t="s">
        <v>330</v>
      </c>
      <c r="D102" s="2">
        <v>2018</v>
      </c>
      <c r="E102" s="2" t="s">
        <v>331</v>
      </c>
      <c r="F102" s="2" t="s">
        <v>337</v>
      </c>
      <c r="G102" s="2" t="s">
        <v>915</v>
      </c>
      <c r="H102" s="2" t="s">
        <v>342</v>
      </c>
      <c r="I102" s="2" t="s">
        <v>1128</v>
      </c>
      <c r="J102" s="2" t="s">
        <v>34</v>
      </c>
      <c r="K102" s="2" t="s">
        <v>37</v>
      </c>
      <c r="P102" s="2" t="s">
        <v>23</v>
      </c>
      <c r="Q102" s="2" t="s">
        <v>81</v>
      </c>
      <c r="R102" s="2" t="s">
        <v>41</v>
      </c>
      <c r="S102" s="2" t="s">
        <v>46</v>
      </c>
      <c r="T102" s="2" t="s">
        <v>50</v>
      </c>
      <c r="U102" s="2" t="s">
        <v>54</v>
      </c>
      <c r="V102" s="2">
        <v>295</v>
      </c>
      <c r="AH102" s="2" t="s">
        <v>4</v>
      </c>
      <c r="AN102" s="2">
        <v>14</v>
      </c>
      <c r="AO102" s="2">
        <v>0.04</v>
      </c>
      <c r="AR102" s="2" t="s">
        <v>849</v>
      </c>
      <c r="AS102" s="2" t="s">
        <v>849</v>
      </c>
      <c r="AU102" s="2" t="s">
        <v>1825</v>
      </c>
      <c r="AV102" s="2" t="s">
        <v>1830</v>
      </c>
      <c r="AW102" s="2" t="s">
        <v>1820</v>
      </c>
      <c r="AX102" s="2" t="s">
        <v>1826</v>
      </c>
      <c r="AY102" s="2" t="s">
        <v>79</v>
      </c>
    </row>
    <row r="103" spans="1:51" x14ac:dyDescent="0.2">
      <c r="A103" s="2" t="s">
        <v>328</v>
      </c>
      <c r="B103" s="2" t="s">
        <v>329</v>
      </c>
      <c r="C103" s="2" t="s">
        <v>330</v>
      </c>
      <c r="D103" s="2">
        <v>2018</v>
      </c>
      <c r="E103" s="2" t="s">
        <v>331</v>
      </c>
      <c r="F103" s="2" t="s">
        <v>338</v>
      </c>
      <c r="G103" s="2" t="s">
        <v>916</v>
      </c>
      <c r="H103" s="2" t="s">
        <v>343</v>
      </c>
      <c r="I103" s="2" t="s">
        <v>1128</v>
      </c>
      <c r="J103" s="2" t="s">
        <v>34</v>
      </c>
      <c r="K103" s="2" t="s">
        <v>37</v>
      </c>
      <c r="P103" s="2" t="s">
        <v>23</v>
      </c>
      <c r="Q103" s="2" t="s">
        <v>81</v>
      </c>
      <c r="R103" s="2" t="s">
        <v>41</v>
      </c>
      <c r="S103" s="2" t="s">
        <v>46</v>
      </c>
      <c r="T103" s="2" t="s">
        <v>50</v>
      </c>
      <c r="U103" s="2" t="s">
        <v>54</v>
      </c>
      <c r="V103" s="2">
        <v>295</v>
      </c>
      <c r="AH103" s="2" t="s">
        <v>4</v>
      </c>
      <c r="AN103" s="2">
        <v>16</v>
      </c>
      <c r="AO103" s="2">
        <v>0.01</v>
      </c>
      <c r="AR103" s="2" t="s">
        <v>849</v>
      </c>
      <c r="AS103" s="2" t="s">
        <v>849</v>
      </c>
      <c r="AU103" s="2" t="s">
        <v>1825</v>
      </c>
      <c r="AV103" s="2" t="s">
        <v>1830</v>
      </c>
      <c r="AW103" s="2" t="s">
        <v>1820</v>
      </c>
      <c r="AX103" s="2" t="s">
        <v>1826</v>
      </c>
      <c r="AY103" s="2" t="s">
        <v>79</v>
      </c>
    </row>
    <row r="104" spans="1:51" x14ac:dyDescent="0.2">
      <c r="A104" s="2" t="s">
        <v>328</v>
      </c>
      <c r="B104" s="2" t="s">
        <v>329</v>
      </c>
      <c r="C104" s="2" t="s">
        <v>330</v>
      </c>
      <c r="D104" s="2">
        <v>2018</v>
      </c>
      <c r="E104" s="2" t="s">
        <v>331</v>
      </c>
      <c r="F104" s="2" t="s">
        <v>339</v>
      </c>
      <c r="G104" s="2" t="s">
        <v>917</v>
      </c>
      <c r="H104" s="2" t="s">
        <v>344</v>
      </c>
      <c r="I104" s="2" t="s">
        <v>1128</v>
      </c>
      <c r="J104" s="2" t="s">
        <v>34</v>
      </c>
      <c r="K104" s="2" t="s">
        <v>37</v>
      </c>
      <c r="P104" s="2" t="s">
        <v>23</v>
      </c>
      <c r="Q104" s="2" t="s">
        <v>81</v>
      </c>
      <c r="R104" s="2" t="s">
        <v>41</v>
      </c>
      <c r="S104" s="2" t="s">
        <v>46</v>
      </c>
      <c r="T104" s="2" t="s">
        <v>50</v>
      </c>
      <c r="U104" s="2" t="s">
        <v>54</v>
      </c>
      <c r="V104" s="2">
        <v>295</v>
      </c>
      <c r="AH104" s="2" t="s">
        <v>4</v>
      </c>
      <c r="AN104" s="2">
        <v>34</v>
      </c>
      <c r="AO104" s="2">
        <v>0.01</v>
      </c>
      <c r="AR104" s="2" t="s">
        <v>849</v>
      </c>
      <c r="AS104" s="2" t="s">
        <v>849</v>
      </c>
      <c r="AU104" s="2" t="s">
        <v>1825</v>
      </c>
      <c r="AV104" s="2" t="s">
        <v>1830</v>
      </c>
      <c r="AW104" s="2" t="s">
        <v>1820</v>
      </c>
      <c r="AX104" s="2" t="s">
        <v>1826</v>
      </c>
      <c r="AY104" s="2" t="s">
        <v>79</v>
      </c>
    </row>
    <row r="105" spans="1:51" x14ac:dyDescent="0.2">
      <c r="A105" s="2" t="s">
        <v>328</v>
      </c>
      <c r="B105" s="2" t="s">
        <v>329</v>
      </c>
      <c r="C105" s="2" t="s">
        <v>330</v>
      </c>
      <c r="D105" s="2">
        <v>2018</v>
      </c>
      <c r="E105" s="2" t="s">
        <v>331</v>
      </c>
      <c r="F105" s="2" t="s">
        <v>359</v>
      </c>
      <c r="G105" s="2" t="s">
        <v>918</v>
      </c>
      <c r="H105" s="2" t="s">
        <v>345</v>
      </c>
      <c r="I105" s="2" t="s">
        <v>1128</v>
      </c>
      <c r="J105" s="2" t="s">
        <v>34</v>
      </c>
      <c r="K105" s="2" t="s">
        <v>37</v>
      </c>
      <c r="P105" s="2" t="s">
        <v>22</v>
      </c>
      <c r="Q105" s="2" t="s">
        <v>27</v>
      </c>
      <c r="R105" s="2" t="s">
        <v>41</v>
      </c>
      <c r="S105" s="2" t="s">
        <v>46</v>
      </c>
      <c r="T105" s="2" t="s">
        <v>50</v>
      </c>
      <c r="U105" s="2" t="s">
        <v>54</v>
      </c>
      <c r="V105" s="2">
        <v>296</v>
      </c>
      <c r="AH105" s="2" t="s">
        <v>4</v>
      </c>
      <c r="AN105" s="2">
        <v>15</v>
      </c>
      <c r="AO105" s="2">
        <v>-0.21</v>
      </c>
      <c r="AR105" s="2" t="s">
        <v>849</v>
      </c>
      <c r="AS105" s="2" t="s">
        <v>849</v>
      </c>
      <c r="AU105" s="2" t="s">
        <v>1825</v>
      </c>
      <c r="AV105" s="2" t="s">
        <v>1830</v>
      </c>
      <c r="AW105" s="2" t="s">
        <v>1820</v>
      </c>
      <c r="AX105" s="2" t="s">
        <v>1826</v>
      </c>
      <c r="AY105" s="2" t="s">
        <v>79</v>
      </c>
    </row>
    <row r="106" spans="1:51" x14ac:dyDescent="0.2">
      <c r="A106" s="2" t="s">
        <v>328</v>
      </c>
      <c r="B106" s="2" t="s">
        <v>329</v>
      </c>
      <c r="C106" s="2" t="s">
        <v>330</v>
      </c>
      <c r="D106" s="2">
        <v>2018</v>
      </c>
      <c r="E106" s="2" t="s">
        <v>331</v>
      </c>
      <c r="F106" s="2" t="s">
        <v>360</v>
      </c>
      <c r="G106" s="2" t="s">
        <v>919</v>
      </c>
      <c r="H106" s="2" t="s">
        <v>346</v>
      </c>
      <c r="I106" s="2" t="s">
        <v>1128</v>
      </c>
      <c r="J106" s="2" t="s">
        <v>34</v>
      </c>
      <c r="K106" s="2" t="s">
        <v>37</v>
      </c>
      <c r="P106" s="2" t="s">
        <v>22</v>
      </c>
      <c r="Q106" s="2" t="s">
        <v>27</v>
      </c>
      <c r="R106" s="2" t="s">
        <v>41</v>
      </c>
      <c r="S106" s="2" t="s">
        <v>46</v>
      </c>
      <c r="T106" s="2" t="s">
        <v>50</v>
      </c>
      <c r="U106" s="2" t="s">
        <v>54</v>
      </c>
      <c r="V106" s="2">
        <v>296</v>
      </c>
      <c r="AH106" s="2" t="s">
        <v>4</v>
      </c>
      <c r="AN106" s="2">
        <v>12</v>
      </c>
      <c r="AO106" s="2">
        <v>0.04</v>
      </c>
      <c r="AR106" s="2" t="s">
        <v>849</v>
      </c>
      <c r="AS106" s="2" t="s">
        <v>849</v>
      </c>
      <c r="AU106" s="2" t="s">
        <v>1825</v>
      </c>
      <c r="AV106" s="2" t="s">
        <v>1830</v>
      </c>
      <c r="AW106" s="2" t="s">
        <v>1820</v>
      </c>
      <c r="AX106" s="2" t="s">
        <v>1826</v>
      </c>
      <c r="AY106" s="2" t="s">
        <v>79</v>
      </c>
    </row>
    <row r="107" spans="1:51" x14ac:dyDescent="0.2">
      <c r="A107" s="2" t="s">
        <v>328</v>
      </c>
      <c r="B107" s="2" t="s">
        <v>329</v>
      </c>
      <c r="C107" s="2" t="s">
        <v>330</v>
      </c>
      <c r="D107" s="2">
        <v>2018</v>
      </c>
      <c r="E107" s="2" t="s">
        <v>331</v>
      </c>
      <c r="F107" s="2" t="s">
        <v>361</v>
      </c>
      <c r="G107" s="2" t="s">
        <v>920</v>
      </c>
      <c r="H107" s="2" t="s">
        <v>347</v>
      </c>
      <c r="I107" s="2" t="s">
        <v>1128</v>
      </c>
      <c r="J107" s="2" t="s">
        <v>34</v>
      </c>
      <c r="K107" s="2" t="s">
        <v>37</v>
      </c>
      <c r="P107" s="2" t="s">
        <v>22</v>
      </c>
      <c r="Q107" s="2" t="s">
        <v>27</v>
      </c>
      <c r="R107" s="2" t="s">
        <v>41</v>
      </c>
      <c r="S107" s="2" t="s">
        <v>46</v>
      </c>
      <c r="T107" s="2" t="s">
        <v>50</v>
      </c>
      <c r="U107" s="2" t="s">
        <v>54</v>
      </c>
      <c r="V107" s="2">
        <v>296</v>
      </c>
      <c r="AH107" s="2" t="s">
        <v>4</v>
      </c>
      <c r="AN107" s="2">
        <v>10</v>
      </c>
      <c r="AO107" s="2">
        <v>-0.36</v>
      </c>
      <c r="AR107" s="2" t="s">
        <v>849</v>
      </c>
      <c r="AS107" s="2" t="s">
        <v>849</v>
      </c>
      <c r="AU107" s="2" t="s">
        <v>1825</v>
      </c>
      <c r="AV107" s="2" t="s">
        <v>1830</v>
      </c>
      <c r="AW107" s="2" t="s">
        <v>1820</v>
      </c>
      <c r="AX107" s="2" t="s">
        <v>1826</v>
      </c>
      <c r="AY107" s="2" t="s">
        <v>79</v>
      </c>
    </row>
    <row r="108" spans="1:51" x14ac:dyDescent="0.2">
      <c r="A108" s="2" t="s">
        <v>328</v>
      </c>
      <c r="B108" s="2" t="s">
        <v>329</v>
      </c>
      <c r="C108" s="2" t="s">
        <v>330</v>
      </c>
      <c r="D108" s="2">
        <v>2018</v>
      </c>
      <c r="E108" s="2" t="s">
        <v>331</v>
      </c>
      <c r="F108" s="2" t="s">
        <v>362</v>
      </c>
      <c r="G108" s="2" t="s">
        <v>921</v>
      </c>
      <c r="H108" s="2" t="s">
        <v>348</v>
      </c>
      <c r="I108" s="2" t="s">
        <v>1128</v>
      </c>
      <c r="J108" s="2" t="s">
        <v>34</v>
      </c>
      <c r="K108" s="2" t="s">
        <v>37</v>
      </c>
      <c r="P108" s="2" t="s">
        <v>22</v>
      </c>
      <c r="Q108" s="2" t="s">
        <v>27</v>
      </c>
      <c r="R108" s="2" t="s">
        <v>41</v>
      </c>
      <c r="S108" s="2" t="s">
        <v>46</v>
      </c>
      <c r="T108" s="2" t="s">
        <v>50</v>
      </c>
      <c r="U108" s="2" t="s">
        <v>54</v>
      </c>
      <c r="V108" s="2">
        <v>296</v>
      </c>
      <c r="AH108" s="2" t="s">
        <v>4</v>
      </c>
      <c r="AN108" s="2">
        <v>12</v>
      </c>
      <c r="AO108" s="2">
        <v>0.02</v>
      </c>
      <c r="AR108" s="2" t="s">
        <v>849</v>
      </c>
      <c r="AS108" s="2" t="s">
        <v>849</v>
      </c>
      <c r="AU108" s="2" t="s">
        <v>1825</v>
      </c>
      <c r="AV108" s="2" t="s">
        <v>1830</v>
      </c>
      <c r="AW108" s="2" t="s">
        <v>1820</v>
      </c>
      <c r="AX108" s="2" t="s">
        <v>1826</v>
      </c>
      <c r="AY108" s="2" t="s">
        <v>79</v>
      </c>
    </row>
    <row r="109" spans="1:51" x14ac:dyDescent="0.2">
      <c r="A109" s="2" t="s">
        <v>328</v>
      </c>
      <c r="B109" s="2" t="s">
        <v>329</v>
      </c>
      <c r="C109" s="2" t="s">
        <v>330</v>
      </c>
      <c r="D109" s="2">
        <v>2018</v>
      </c>
      <c r="E109" s="2" t="s">
        <v>331</v>
      </c>
      <c r="F109" s="2" t="s">
        <v>363</v>
      </c>
      <c r="G109" s="2" t="s">
        <v>922</v>
      </c>
      <c r="H109" s="2" t="s">
        <v>349</v>
      </c>
      <c r="I109" s="2" t="s">
        <v>1128</v>
      </c>
      <c r="J109" s="2" t="s">
        <v>34</v>
      </c>
      <c r="K109" s="2" t="s">
        <v>37</v>
      </c>
      <c r="P109" s="2" t="s">
        <v>22</v>
      </c>
      <c r="Q109" s="2" t="s">
        <v>27</v>
      </c>
      <c r="R109" s="2" t="s">
        <v>41</v>
      </c>
      <c r="S109" s="2" t="s">
        <v>46</v>
      </c>
      <c r="T109" s="2" t="s">
        <v>50</v>
      </c>
      <c r="U109" s="2" t="s">
        <v>54</v>
      </c>
      <c r="V109" s="2">
        <v>296</v>
      </c>
      <c r="AH109" s="2" t="s">
        <v>4</v>
      </c>
      <c r="AN109" s="2">
        <v>15</v>
      </c>
      <c r="AO109" s="2">
        <v>0.31</v>
      </c>
      <c r="AR109" s="2" t="s">
        <v>849</v>
      </c>
      <c r="AS109" s="2" t="s">
        <v>849</v>
      </c>
      <c r="AU109" s="2" t="s">
        <v>1825</v>
      </c>
      <c r="AV109" s="2" t="s">
        <v>1830</v>
      </c>
      <c r="AW109" s="2" t="s">
        <v>1820</v>
      </c>
      <c r="AX109" s="2" t="s">
        <v>1826</v>
      </c>
      <c r="AY109" s="2" t="s">
        <v>79</v>
      </c>
    </row>
    <row r="110" spans="1:51" x14ac:dyDescent="0.2">
      <c r="A110" s="2" t="s">
        <v>328</v>
      </c>
      <c r="B110" s="2" t="s">
        <v>329</v>
      </c>
      <c r="C110" s="2" t="s">
        <v>330</v>
      </c>
      <c r="D110" s="2">
        <v>2018</v>
      </c>
      <c r="E110" s="2" t="s">
        <v>331</v>
      </c>
      <c r="F110" s="2" t="s">
        <v>364</v>
      </c>
      <c r="G110" s="2" t="s">
        <v>923</v>
      </c>
      <c r="H110" s="2" t="s">
        <v>350</v>
      </c>
      <c r="I110" s="2" t="s">
        <v>1128</v>
      </c>
      <c r="J110" s="2" t="s">
        <v>34</v>
      </c>
      <c r="K110" s="2" t="s">
        <v>37</v>
      </c>
      <c r="P110" s="2" t="s">
        <v>22</v>
      </c>
      <c r="Q110" s="2" t="s">
        <v>27</v>
      </c>
      <c r="R110" s="2" t="s">
        <v>41</v>
      </c>
      <c r="S110" s="2" t="s">
        <v>46</v>
      </c>
      <c r="T110" s="2" t="s">
        <v>50</v>
      </c>
      <c r="U110" s="2" t="s">
        <v>54</v>
      </c>
      <c r="V110" s="2">
        <v>296</v>
      </c>
      <c r="AH110" s="2" t="s">
        <v>4</v>
      </c>
      <c r="AN110" s="2">
        <v>16</v>
      </c>
      <c r="AO110" s="2">
        <v>0.49</v>
      </c>
      <c r="AR110" s="2" t="s">
        <v>849</v>
      </c>
      <c r="AS110" s="2" t="s">
        <v>849</v>
      </c>
      <c r="AU110" s="2" t="s">
        <v>1825</v>
      </c>
      <c r="AV110" s="2" t="s">
        <v>1830</v>
      </c>
      <c r="AW110" s="2" t="s">
        <v>1820</v>
      </c>
      <c r="AX110" s="2" t="s">
        <v>1826</v>
      </c>
      <c r="AY110" s="2" t="s">
        <v>79</v>
      </c>
    </row>
    <row r="111" spans="1:51" x14ac:dyDescent="0.2">
      <c r="A111" s="2" t="s">
        <v>328</v>
      </c>
      <c r="B111" s="2" t="s">
        <v>329</v>
      </c>
      <c r="C111" s="2" t="s">
        <v>330</v>
      </c>
      <c r="D111" s="2">
        <v>2018</v>
      </c>
      <c r="E111" s="2" t="s">
        <v>331</v>
      </c>
      <c r="F111" s="2" t="s">
        <v>365</v>
      </c>
      <c r="G111" s="2" t="s">
        <v>924</v>
      </c>
      <c r="H111" s="2" t="s">
        <v>351</v>
      </c>
      <c r="I111" s="2" t="s">
        <v>1128</v>
      </c>
      <c r="J111" s="2" t="s">
        <v>34</v>
      </c>
      <c r="K111" s="2" t="s">
        <v>37</v>
      </c>
      <c r="P111" s="2" t="s">
        <v>22</v>
      </c>
      <c r="Q111" s="2" t="s">
        <v>27</v>
      </c>
      <c r="R111" s="2" t="s">
        <v>41</v>
      </c>
      <c r="S111" s="2" t="s">
        <v>46</v>
      </c>
      <c r="T111" s="2" t="s">
        <v>50</v>
      </c>
      <c r="U111" s="2" t="s">
        <v>54</v>
      </c>
      <c r="V111" s="2">
        <v>296</v>
      </c>
      <c r="AH111" s="2" t="s">
        <v>4</v>
      </c>
      <c r="AN111" s="2">
        <v>17</v>
      </c>
      <c r="AO111" s="2">
        <v>0.26</v>
      </c>
      <c r="AR111" s="2" t="s">
        <v>849</v>
      </c>
      <c r="AS111" s="2" t="s">
        <v>849</v>
      </c>
      <c r="AU111" s="2" t="s">
        <v>1825</v>
      </c>
      <c r="AV111" s="2" t="s">
        <v>1830</v>
      </c>
      <c r="AW111" s="2" t="s">
        <v>1820</v>
      </c>
      <c r="AX111" s="2" t="s">
        <v>1826</v>
      </c>
      <c r="AY111" s="2" t="s">
        <v>79</v>
      </c>
    </row>
    <row r="112" spans="1:51" x14ac:dyDescent="0.2">
      <c r="A112" s="2" t="s">
        <v>366</v>
      </c>
      <c r="B112" s="2" t="s">
        <v>367</v>
      </c>
      <c r="C112" s="2" t="s">
        <v>368</v>
      </c>
      <c r="D112" s="2">
        <v>2019</v>
      </c>
      <c r="E112" s="2" t="s">
        <v>358</v>
      </c>
      <c r="F112" s="2" t="s">
        <v>369</v>
      </c>
      <c r="G112" s="2" t="s">
        <v>925</v>
      </c>
      <c r="H112" s="2" t="s">
        <v>352</v>
      </c>
      <c r="I112" s="2" t="s">
        <v>1777</v>
      </c>
      <c r="J112" s="2" t="s">
        <v>85</v>
      </c>
      <c r="K112" s="2" t="s">
        <v>37</v>
      </c>
      <c r="P112" s="2" t="s">
        <v>22</v>
      </c>
      <c r="Q112" s="2" t="s">
        <v>30</v>
      </c>
      <c r="R112" s="2" t="s">
        <v>40</v>
      </c>
      <c r="S112" s="2" t="s">
        <v>370</v>
      </c>
      <c r="T112" s="2" t="s">
        <v>50</v>
      </c>
      <c r="U112" s="2" t="s">
        <v>371</v>
      </c>
      <c r="X112" s="2">
        <v>47</v>
      </c>
      <c r="Y112" s="2">
        <v>156</v>
      </c>
      <c r="Z112" s="2">
        <v>5</v>
      </c>
      <c r="AA112" s="2">
        <v>36</v>
      </c>
      <c r="AH112" s="2" t="s">
        <v>1804</v>
      </c>
      <c r="AR112" s="2" t="s">
        <v>222</v>
      </c>
      <c r="AS112" s="2" t="s">
        <v>849</v>
      </c>
      <c r="AU112" s="2" t="s">
        <v>1818</v>
      </c>
      <c r="AV112" s="2" t="s">
        <v>1830</v>
      </c>
      <c r="AW112" s="2" t="s">
        <v>1838</v>
      </c>
      <c r="AX112" s="2" t="s">
        <v>1821</v>
      </c>
      <c r="AY112" s="2" t="s">
        <v>79</v>
      </c>
    </row>
    <row r="113" spans="1:51" x14ac:dyDescent="0.2">
      <c r="A113" s="2" t="s">
        <v>366</v>
      </c>
      <c r="B113" s="2" t="s">
        <v>367</v>
      </c>
      <c r="C113" s="2" t="s">
        <v>368</v>
      </c>
      <c r="D113" s="2">
        <v>2019</v>
      </c>
      <c r="E113" s="2" t="s">
        <v>358</v>
      </c>
      <c r="F113" s="2" t="s">
        <v>369</v>
      </c>
      <c r="G113" s="2" t="s">
        <v>925</v>
      </c>
      <c r="H113" s="2" t="s">
        <v>353</v>
      </c>
      <c r="I113" s="2" t="s">
        <v>1777</v>
      </c>
      <c r="J113" s="2" t="s">
        <v>85</v>
      </c>
      <c r="K113" s="2" t="s">
        <v>37</v>
      </c>
      <c r="P113" s="2" t="s">
        <v>22</v>
      </c>
      <c r="Q113" s="2" t="s">
        <v>1056</v>
      </c>
      <c r="R113" s="2" t="s">
        <v>40</v>
      </c>
      <c r="S113" s="2" t="s">
        <v>370</v>
      </c>
      <c r="T113" s="2" t="s">
        <v>50</v>
      </c>
      <c r="U113" s="2" t="s">
        <v>371</v>
      </c>
      <c r="AH113" s="2" t="s">
        <v>4</v>
      </c>
      <c r="AN113" s="2">
        <v>168</v>
      </c>
      <c r="AO113" s="2">
        <v>-0.13500000000000001</v>
      </c>
      <c r="AR113" s="2" t="s">
        <v>222</v>
      </c>
      <c r="AS113" s="2" t="s">
        <v>222</v>
      </c>
      <c r="AU113" s="2" t="s">
        <v>1818</v>
      </c>
      <c r="AV113" s="2" t="s">
        <v>1830</v>
      </c>
      <c r="AW113" s="2" t="s">
        <v>1838</v>
      </c>
      <c r="AX113" s="2" t="s">
        <v>1821</v>
      </c>
      <c r="AY113" s="2" t="s">
        <v>79</v>
      </c>
    </row>
    <row r="114" spans="1:51" x14ac:dyDescent="0.2">
      <c r="A114" s="2" t="s">
        <v>366</v>
      </c>
      <c r="B114" s="2" t="s">
        <v>367</v>
      </c>
      <c r="C114" s="2" t="s">
        <v>368</v>
      </c>
      <c r="D114" s="2">
        <v>2019</v>
      </c>
      <c r="E114" s="2" t="s">
        <v>358</v>
      </c>
      <c r="F114" s="2" t="s">
        <v>369</v>
      </c>
      <c r="G114" s="2" t="s">
        <v>925</v>
      </c>
      <c r="H114" s="2" t="s">
        <v>354</v>
      </c>
      <c r="I114" s="2" t="s">
        <v>1777</v>
      </c>
      <c r="J114" s="2" t="s">
        <v>85</v>
      </c>
      <c r="K114" s="2" t="s">
        <v>37</v>
      </c>
      <c r="P114" s="2" t="s">
        <v>22</v>
      </c>
      <c r="Q114" s="2" t="s">
        <v>30</v>
      </c>
      <c r="R114" s="2" t="s">
        <v>40</v>
      </c>
      <c r="S114" s="2" t="s">
        <v>370</v>
      </c>
      <c r="T114" s="2" t="s">
        <v>50</v>
      </c>
      <c r="U114" s="2" t="s">
        <v>371</v>
      </c>
      <c r="AH114" s="2" t="s">
        <v>4</v>
      </c>
      <c r="AN114" s="2">
        <v>203</v>
      </c>
      <c r="AO114" s="2">
        <v>0.17879999999999999</v>
      </c>
      <c r="AR114" s="2" t="s">
        <v>222</v>
      </c>
      <c r="AS114" s="2" t="s">
        <v>849</v>
      </c>
      <c r="AU114" s="2" t="s">
        <v>1818</v>
      </c>
      <c r="AV114" s="2" t="s">
        <v>1830</v>
      </c>
      <c r="AW114" s="2" t="s">
        <v>1838</v>
      </c>
      <c r="AX114" s="2" t="s">
        <v>1821</v>
      </c>
      <c r="AY114" s="2" t="s">
        <v>79</v>
      </c>
    </row>
    <row r="115" spans="1:51" x14ac:dyDescent="0.2">
      <c r="A115" s="2" t="s">
        <v>366</v>
      </c>
      <c r="B115" s="2" t="s">
        <v>367</v>
      </c>
      <c r="C115" s="2" t="s">
        <v>368</v>
      </c>
      <c r="D115" s="2">
        <v>2019</v>
      </c>
      <c r="E115" s="2" t="s">
        <v>358</v>
      </c>
      <c r="F115" s="2" t="s">
        <v>369</v>
      </c>
      <c r="G115" s="2" t="s">
        <v>925</v>
      </c>
      <c r="H115" s="2" t="s">
        <v>355</v>
      </c>
      <c r="I115" s="2" t="s">
        <v>1777</v>
      </c>
      <c r="J115" s="2" t="s">
        <v>85</v>
      </c>
      <c r="K115" s="2" t="s">
        <v>37</v>
      </c>
      <c r="P115" s="2" t="s">
        <v>22</v>
      </c>
      <c r="Q115" s="2" t="s">
        <v>1056</v>
      </c>
      <c r="R115" s="2" t="s">
        <v>40</v>
      </c>
      <c r="S115" s="2" t="s">
        <v>370</v>
      </c>
      <c r="T115" s="2" t="s">
        <v>50</v>
      </c>
      <c r="U115" s="2" t="s">
        <v>371</v>
      </c>
      <c r="AH115" s="2" t="s">
        <v>4</v>
      </c>
      <c r="AN115" s="2">
        <v>41</v>
      </c>
      <c r="AO115" s="2">
        <v>-3.7999999999999999E-2</v>
      </c>
      <c r="AR115" s="2" t="s">
        <v>222</v>
      </c>
      <c r="AS115" s="2" t="s">
        <v>222</v>
      </c>
      <c r="AU115" s="2" t="s">
        <v>1818</v>
      </c>
      <c r="AV115" s="2" t="s">
        <v>1830</v>
      </c>
      <c r="AW115" s="2" t="s">
        <v>1838</v>
      </c>
      <c r="AX115" s="2" t="s">
        <v>1821</v>
      </c>
      <c r="AY115" s="2" t="s">
        <v>79</v>
      </c>
    </row>
    <row r="116" spans="1:51" x14ac:dyDescent="0.2">
      <c r="A116" s="2" t="s">
        <v>366</v>
      </c>
      <c r="B116" s="2" t="s">
        <v>367</v>
      </c>
      <c r="C116" s="2" t="s">
        <v>368</v>
      </c>
      <c r="D116" s="2">
        <v>2019</v>
      </c>
      <c r="E116" s="2" t="s">
        <v>358</v>
      </c>
      <c r="F116" s="2" t="s">
        <v>369</v>
      </c>
      <c r="G116" s="2" t="s">
        <v>925</v>
      </c>
      <c r="H116" s="2" t="s">
        <v>356</v>
      </c>
      <c r="I116" s="2" t="s">
        <v>1777</v>
      </c>
      <c r="J116" s="2" t="s">
        <v>85</v>
      </c>
      <c r="K116" s="2" t="s">
        <v>37</v>
      </c>
      <c r="P116" s="2" t="s">
        <v>22</v>
      </c>
      <c r="Q116" s="2" t="s">
        <v>1056</v>
      </c>
      <c r="R116" s="2" t="s">
        <v>40</v>
      </c>
      <c r="S116" s="2" t="s">
        <v>370</v>
      </c>
      <c r="T116" s="2" t="s">
        <v>50</v>
      </c>
      <c r="U116" s="2" t="s">
        <v>371</v>
      </c>
      <c r="AH116" s="2" t="s">
        <v>4</v>
      </c>
      <c r="AN116" s="2">
        <v>41</v>
      </c>
      <c r="AO116" s="2">
        <v>-0.19400000000000001</v>
      </c>
      <c r="AR116" s="2" t="s">
        <v>222</v>
      </c>
      <c r="AS116" s="2" t="s">
        <v>849</v>
      </c>
      <c r="AU116" s="2" t="s">
        <v>1818</v>
      </c>
      <c r="AV116" s="2" t="s">
        <v>1830</v>
      </c>
      <c r="AW116" s="2" t="s">
        <v>1838</v>
      </c>
      <c r="AX116" s="2" t="s">
        <v>1821</v>
      </c>
      <c r="AY116" s="2" t="s">
        <v>79</v>
      </c>
    </row>
    <row r="117" spans="1:51" x14ac:dyDescent="0.2">
      <c r="A117" s="2" t="s">
        <v>372</v>
      </c>
      <c r="B117" s="2" t="s">
        <v>373</v>
      </c>
      <c r="C117" s="2" t="s">
        <v>374</v>
      </c>
      <c r="D117" s="2">
        <v>2007</v>
      </c>
      <c r="E117" s="2" t="s">
        <v>375</v>
      </c>
      <c r="F117" s="2" t="s">
        <v>338</v>
      </c>
      <c r="G117" s="2" t="s">
        <v>926</v>
      </c>
      <c r="H117" s="2" t="s">
        <v>357</v>
      </c>
      <c r="I117" s="2" t="s">
        <v>1778</v>
      </c>
      <c r="J117" s="2" t="s">
        <v>376</v>
      </c>
      <c r="K117" s="2" t="s">
        <v>38</v>
      </c>
      <c r="L117" s="2" t="s">
        <v>12</v>
      </c>
      <c r="P117" s="2" t="s">
        <v>22</v>
      </c>
      <c r="Q117" s="2" t="s">
        <v>30</v>
      </c>
      <c r="R117" s="2" t="s">
        <v>41</v>
      </c>
      <c r="S117" s="2" t="s">
        <v>46</v>
      </c>
      <c r="T117" s="2" t="s">
        <v>50</v>
      </c>
      <c r="U117" s="2" t="s">
        <v>54</v>
      </c>
      <c r="V117" s="2">
        <v>139</v>
      </c>
      <c r="X117" s="2">
        <v>22</v>
      </c>
      <c r="Y117" s="2">
        <v>20</v>
      </c>
      <c r="AB117" s="2">
        <v>10205</v>
      </c>
      <c r="AC117" s="2">
        <v>3554</v>
      </c>
      <c r="AD117" s="2">
        <v>15583</v>
      </c>
      <c r="AE117" s="2">
        <v>4185</v>
      </c>
      <c r="AF117" s="2" t="s">
        <v>74</v>
      </c>
      <c r="AG117" s="2" t="s">
        <v>64</v>
      </c>
      <c r="AH117" s="2" t="str">
        <f t="shared" ref="AH117:AH125" si="3">IF(AF117="mean", "mean", "")</f>
        <v>mean</v>
      </c>
      <c r="AR117" s="2" t="s">
        <v>849</v>
      </c>
      <c r="AS117" s="2" t="s">
        <v>849</v>
      </c>
      <c r="AU117" s="2" t="s">
        <v>1827</v>
      </c>
      <c r="AV117" s="2" t="s">
        <v>1822</v>
      </c>
      <c r="AW117" s="2" t="s">
        <v>1823</v>
      </c>
      <c r="AY117" s="2" t="s">
        <v>1828</v>
      </c>
    </row>
    <row r="118" spans="1:51" x14ac:dyDescent="0.2">
      <c r="A118" s="2" t="s">
        <v>379</v>
      </c>
      <c r="B118" s="2" t="s">
        <v>380</v>
      </c>
      <c r="C118" s="2" t="s">
        <v>381</v>
      </c>
      <c r="D118" s="2">
        <v>2007</v>
      </c>
      <c r="E118" s="2" t="s">
        <v>377</v>
      </c>
      <c r="F118" s="2" t="s">
        <v>339</v>
      </c>
      <c r="G118" s="2" t="s">
        <v>927</v>
      </c>
      <c r="H118" s="2" t="s">
        <v>378</v>
      </c>
      <c r="I118" s="2" t="s">
        <v>474</v>
      </c>
      <c r="J118" s="2" t="s">
        <v>85</v>
      </c>
      <c r="K118" s="2" t="s">
        <v>37</v>
      </c>
      <c r="P118" s="2" t="s">
        <v>22</v>
      </c>
      <c r="Q118" s="2" t="s">
        <v>29</v>
      </c>
      <c r="R118" s="2" t="s">
        <v>40</v>
      </c>
      <c r="S118" s="2" t="s">
        <v>42</v>
      </c>
      <c r="T118" s="2" t="s">
        <v>50</v>
      </c>
      <c r="U118" s="2" t="s">
        <v>54</v>
      </c>
      <c r="V118" s="2">
        <v>616</v>
      </c>
      <c r="X118" s="2">
        <v>10</v>
      </c>
      <c r="Y118" s="2">
        <v>10</v>
      </c>
      <c r="AB118" s="2">
        <v>226.2</v>
      </c>
      <c r="AC118" s="2">
        <v>79.31</v>
      </c>
      <c r="AD118" s="2">
        <v>606.73</v>
      </c>
      <c r="AE118" s="2">
        <v>99.87</v>
      </c>
      <c r="AF118" s="2" t="s">
        <v>74</v>
      </c>
      <c r="AG118" s="2" t="s">
        <v>65</v>
      </c>
      <c r="AH118" s="2" t="str">
        <f t="shared" si="3"/>
        <v>mean</v>
      </c>
      <c r="AR118" s="2" t="s">
        <v>849</v>
      </c>
      <c r="AS118" s="2" t="s">
        <v>849</v>
      </c>
      <c r="AU118" s="2" t="s">
        <v>1818</v>
      </c>
      <c r="AV118" s="2" t="s">
        <v>1830</v>
      </c>
      <c r="AW118" s="2" t="s">
        <v>28</v>
      </c>
      <c r="AX118" s="2" t="s">
        <v>1829</v>
      </c>
      <c r="AY118" s="2" t="s">
        <v>79</v>
      </c>
    </row>
    <row r="119" spans="1:51" x14ac:dyDescent="0.2">
      <c r="A119" s="2" t="s">
        <v>379</v>
      </c>
      <c r="B119" s="2" t="s">
        <v>380</v>
      </c>
      <c r="C119" s="2" t="s">
        <v>381</v>
      </c>
      <c r="D119" s="2">
        <v>2007</v>
      </c>
      <c r="E119" s="2" t="s">
        <v>377</v>
      </c>
      <c r="F119" s="2" t="s">
        <v>339</v>
      </c>
      <c r="G119" s="2" t="s">
        <v>927</v>
      </c>
      <c r="H119" s="2" t="s">
        <v>382</v>
      </c>
      <c r="I119" s="2" t="s">
        <v>474</v>
      </c>
      <c r="J119" s="2" t="s">
        <v>85</v>
      </c>
      <c r="K119" s="2" t="s">
        <v>37</v>
      </c>
      <c r="P119" s="2" t="s">
        <v>22</v>
      </c>
      <c r="Q119" s="2" t="s">
        <v>29</v>
      </c>
      <c r="R119" s="2" t="s">
        <v>41</v>
      </c>
      <c r="S119" s="2" t="s">
        <v>42</v>
      </c>
      <c r="T119" s="2" t="s">
        <v>50</v>
      </c>
      <c r="U119" s="2" t="s">
        <v>54</v>
      </c>
      <c r="V119" s="2">
        <v>616</v>
      </c>
      <c r="X119" s="2">
        <v>10</v>
      </c>
      <c r="Y119" s="2">
        <v>10</v>
      </c>
      <c r="AB119" s="2">
        <v>1352.33</v>
      </c>
      <c r="AC119" s="2">
        <v>271.10000000000002</v>
      </c>
      <c r="AD119" s="2">
        <v>5123</v>
      </c>
      <c r="AE119" s="2">
        <v>3041.65</v>
      </c>
      <c r="AF119" s="2" t="s">
        <v>74</v>
      </c>
      <c r="AG119" s="2" t="s">
        <v>65</v>
      </c>
      <c r="AH119" s="2" t="str">
        <f t="shared" si="3"/>
        <v>mean</v>
      </c>
      <c r="AR119" s="2" t="s">
        <v>849</v>
      </c>
      <c r="AS119" s="2" t="s">
        <v>849</v>
      </c>
      <c r="AU119" s="2" t="s">
        <v>1818</v>
      </c>
      <c r="AV119" s="2" t="s">
        <v>1830</v>
      </c>
      <c r="AW119" s="2" t="s">
        <v>28</v>
      </c>
      <c r="AX119" s="2" t="s">
        <v>1829</v>
      </c>
      <c r="AY119" s="2" t="s">
        <v>79</v>
      </c>
    </row>
    <row r="120" spans="1:51" x14ac:dyDescent="0.2">
      <c r="A120" s="2" t="s">
        <v>379</v>
      </c>
      <c r="B120" s="2" t="s">
        <v>380</v>
      </c>
      <c r="C120" s="2" t="s">
        <v>381</v>
      </c>
      <c r="D120" s="2">
        <v>2007</v>
      </c>
      <c r="E120" s="2" t="s">
        <v>377</v>
      </c>
      <c r="F120" s="2" t="s">
        <v>339</v>
      </c>
      <c r="G120" s="2" t="s">
        <v>928</v>
      </c>
      <c r="H120" s="2" t="s">
        <v>383</v>
      </c>
      <c r="I120" s="2" t="s">
        <v>474</v>
      </c>
      <c r="J120" s="2" t="s">
        <v>85</v>
      </c>
      <c r="K120" s="2" t="s">
        <v>37</v>
      </c>
      <c r="P120" s="2" t="s">
        <v>22</v>
      </c>
      <c r="Q120" s="2" t="s">
        <v>29</v>
      </c>
      <c r="R120" s="2" t="s">
        <v>40</v>
      </c>
      <c r="S120" s="2" t="s">
        <v>397</v>
      </c>
      <c r="T120" s="2" t="s">
        <v>50</v>
      </c>
      <c r="U120" s="2" t="s">
        <v>54</v>
      </c>
      <c r="V120" s="2">
        <v>616</v>
      </c>
      <c r="X120" s="2">
        <v>10</v>
      </c>
      <c r="Y120" s="2">
        <v>10</v>
      </c>
      <c r="AB120" s="2">
        <v>3.53</v>
      </c>
      <c r="AC120" s="2">
        <v>2.15</v>
      </c>
      <c r="AD120" s="2">
        <v>34.51</v>
      </c>
      <c r="AE120" s="2">
        <v>13.91</v>
      </c>
      <c r="AF120" s="2" t="s">
        <v>74</v>
      </c>
      <c r="AG120" s="2" t="s">
        <v>65</v>
      </c>
      <c r="AH120" s="2" t="str">
        <f t="shared" si="3"/>
        <v>mean</v>
      </c>
      <c r="AR120" s="2" t="s">
        <v>849</v>
      </c>
      <c r="AS120" s="2" t="s">
        <v>849</v>
      </c>
      <c r="AU120" s="2" t="s">
        <v>1818</v>
      </c>
      <c r="AV120" s="2" t="s">
        <v>1830</v>
      </c>
      <c r="AW120" s="2" t="s">
        <v>28</v>
      </c>
      <c r="AX120" s="2" t="s">
        <v>1829</v>
      </c>
      <c r="AY120" s="2" t="s">
        <v>79</v>
      </c>
    </row>
    <row r="121" spans="1:51" x14ac:dyDescent="0.2">
      <c r="A121" s="2" t="s">
        <v>379</v>
      </c>
      <c r="B121" s="2" t="s">
        <v>380</v>
      </c>
      <c r="C121" s="2" t="s">
        <v>381</v>
      </c>
      <c r="D121" s="2">
        <v>2007</v>
      </c>
      <c r="E121" s="2" t="s">
        <v>377</v>
      </c>
      <c r="F121" s="2" t="s">
        <v>339</v>
      </c>
      <c r="G121" s="2" t="s">
        <v>928</v>
      </c>
      <c r="H121" s="2" t="s">
        <v>384</v>
      </c>
      <c r="I121" s="2" t="s">
        <v>474</v>
      </c>
      <c r="J121" s="2" t="s">
        <v>85</v>
      </c>
      <c r="K121" s="2" t="s">
        <v>37</v>
      </c>
      <c r="P121" s="2" t="s">
        <v>22</v>
      </c>
      <c r="Q121" s="2" t="s">
        <v>29</v>
      </c>
      <c r="R121" s="2" t="s">
        <v>41</v>
      </c>
      <c r="S121" s="2" t="s">
        <v>397</v>
      </c>
      <c r="T121" s="2" t="s">
        <v>50</v>
      </c>
      <c r="U121" s="2" t="s">
        <v>54</v>
      </c>
      <c r="V121" s="2">
        <v>616</v>
      </c>
      <c r="X121" s="2">
        <v>10</v>
      </c>
      <c r="Y121" s="2">
        <v>10</v>
      </c>
      <c r="AB121" s="2">
        <v>6.94</v>
      </c>
      <c r="AC121" s="2">
        <v>1.27</v>
      </c>
      <c r="AD121" s="2">
        <v>87.23</v>
      </c>
      <c r="AE121" s="2">
        <v>33.340000000000003</v>
      </c>
      <c r="AF121" s="2" t="s">
        <v>74</v>
      </c>
      <c r="AG121" s="2" t="s">
        <v>65</v>
      </c>
      <c r="AH121" s="2" t="str">
        <f t="shared" si="3"/>
        <v>mean</v>
      </c>
      <c r="AR121" s="2" t="s">
        <v>849</v>
      </c>
      <c r="AS121" s="2" t="s">
        <v>849</v>
      </c>
      <c r="AU121" s="2" t="s">
        <v>1818</v>
      </c>
      <c r="AV121" s="2" t="s">
        <v>1830</v>
      </c>
      <c r="AW121" s="2" t="s">
        <v>28</v>
      </c>
      <c r="AX121" s="2" t="s">
        <v>1829</v>
      </c>
      <c r="AY121" s="2" t="s">
        <v>79</v>
      </c>
    </row>
    <row r="122" spans="1:51" x14ac:dyDescent="0.2">
      <c r="A122" s="2" t="s">
        <v>379</v>
      </c>
      <c r="B122" s="2" t="s">
        <v>380</v>
      </c>
      <c r="C122" s="2" t="s">
        <v>381</v>
      </c>
      <c r="D122" s="2">
        <v>2007</v>
      </c>
      <c r="E122" s="2" t="s">
        <v>377</v>
      </c>
      <c r="F122" s="2" t="s">
        <v>339</v>
      </c>
      <c r="G122" s="2" t="s">
        <v>929</v>
      </c>
      <c r="H122" s="2" t="s">
        <v>385</v>
      </c>
      <c r="I122" s="2" t="s">
        <v>474</v>
      </c>
      <c r="J122" s="2" t="s">
        <v>85</v>
      </c>
      <c r="K122" s="2" t="s">
        <v>37</v>
      </c>
      <c r="P122" s="2" t="s">
        <v>22</v>
      </c>
      <c r="Q122" s="2" t="s">
        <v>29</v>
      </c>
      <c r="R122" s="2" t="s">
        <v>41</v>
      </c>
      <c r="S122" s="2" t="s">
        <v>42</v>
      </c>
      <c r="T122" s="2" t="s">
        <v>50</v>
      </c>
      <c r="U122" s="2" t="s">
        <v>398</v>
      </c>
      <c r="V122" s="2">
        <v>618</v>
      </c>
      <c r="X122" s="2">
        <v>7</v>
      </c>
      <c r="Y122" s="2">
        <v>7</v>
      </c>
      <c r="AB122" s="2">
        <v>1341.6646993356101</v>
      </c>
      <c r="AC122" s="2">
        <v>277.57193807127697</v>
      </c>
      <c r="AD122" s="2">
        <v>5103.8312367205099</v>
      </c>
      <c r="AE122" s="2">
        <v>3053.29131878407</v>
      </c>
      <c r="AF122" s="2" t="s">
        <v>74</v>
      </c>
      <c r="AG122" s="2" t="s">
        <v>64</v>
      </c>
      <c r="AH122" s="2" t="str">
        <f t="shared" si="3"/>
        <v>mean</v>
      </c>
      <c r="AR122" s="2" t="s">
        <v>849</v>
      </c>
      <c r="AS122" s="2" t="s">
        <v>849</v>
      </c>
      <c r="AU122" s="2" t="s">
        <v>1818</v>
      </c>
      <c r="AV122" s="2" t="s">
        <v>1830</v>
      </c>
      <c r="AW122" s="2" t="s">
        <v>28</v>
      </c>
      <c r="AX122" s="2" t="s">
        <v>1829</v>
      </c>
      <c r="AY122" s="2" t="s">
        <v>79</v>
      </c>
    </row>
    <row r="123" spans="1:51" x14ac:dyDescent="0.2">
      <c r="A123" s="2" t="s">
        <v>379</v>
      </c>
      <c r="B123" s="2" t="s">
        <v>380</v>
      </c>
      <c r="C123" s="2" t="s">
        <v>381</v>
      </c>
      <c r="D123" s="2">
        <v>2007</v>
      </c>
      <c r="E123" s="2" t="s">
        <v>377</v>
      </c>
      <c r="F123" s="2" t="s">
        <v>339</v>
      </c>
      <c r="G123" s="2" t="s">
        <v>930</v>
      </c>
      <c r="H123" s="2" t="s">
        <v>386</v>
      </c>
      <c r="I123" s="2" t="s">
        <v>474</v>
      </c>
      <c r="J123" s="2" t="s">
        <v>85</v>
      </c>
      <c r="K123" s="2" t="s">
        <v>37</v>
      </c>
      <c r="P123" s="2" t="s">
        <v>22</v>
      </c>
      <c r="Q123" s="2" t="s">
        <v>29</v>
      </c>
      <c r="R123" s="2" t="s">
        <v>41</v>
      </c>
      <c r="S123" s="2" t="s">
        <v>397</v>
      </c>
      <c r="T123" s="2" t="s">
        <v>50</v>
      </c>
      <c r="U123" s="2" t="s">
        <v>398</v>
      </c>
      <c r="V123" s="2">
        <v>618</v>
      </c>
      <c r="X123" s="2">
        <v>7</v>
      </c>
      <c r="Y123" s="2">
        <v>7</v>
      </c>
      <c r="AB123" s="2">
        <v>37.986523849509503</v>
      </c>
      <c r="AC123" s="2">
        <v>7.7638037939937901</v>
      </c>
      <c r="AD123" s="2">
        <v>94.107727282036606</v>
      </c>
      <c r="AE123" s="2">
        <v>12.6161811652398</v>
      </c>
      <c r="AF123" s="2" t="s">
        <v>74</v>
      </c>
      <c r="AG123" s="2" t="s">
        <v>64</v>
      </c>
      <c r="AH123" s="2" t="str">
        <f t="shared" si="3"/>
        <v>mean</v>
      </c>
      <c r="AR123" s="2" t="s">
        <v>849</v>
      </c>
      <c r="AS123" s="2" t="s">
        <v>849</v>
      </c>
      <c r="AU123" s="2" t="s">
        <v>1818</v>
      </c>
      <c r="AV123" s="2" t="s">
        <v>1830</v>
      </c>
      <c r="AW123" s="2" t="s">
        <v>28</v>
      </c>
      <c r="AX123" s="2" t="s">
        <v>1829</v>
      </c>
      <c r="AY123" s="2" t="s">
        <v>79</v>
      </c>
    </row>
    <row r="124" spans="1:51" x14ac:dyDescent="0.2">
      <c r="A124" s="2" t="s">
        <v>379</v>
      </c>
      <c r="B124" s="2" t="s">
        <v>380</v>
      </c>
      <c r="C124" s="2" t="s">
        <v>381</v>
      </c>
      <c r="D124" s="2">
        <v>2007</v>
      </c>
      <c r="E124" s="2" t="s">
        <v>377</v>
      </c>
      <c r="F124" s="2" t="s">
        <v>339</v>
      </c>
      <c r="G124" s="2" t="s">
        <v>931</v>
      </c>
      <c r="H124" s="2" t="s">
        <v>387</v>
      </c>
      <c r="I124" s="2" t="s">
        <v>474</v>
      </c>
      <c r="J124" s="2" t="s">
        <v>85</v>
      </c>
      <c r="K124" s="2" t="s">
        <v>37</v>
      </c>
      <c r="P124" s="2" t="s">
        <v>22</v>
      </c>
      <c r="Q124" s="2" t="s">
        <v>29</v>
      </c>
      <c r="R124" s="2" t="s">
        <v>40</v>
      </c>
      <c r="S124" s="2" t="s">
        <v>42</v>
      </c>
      <c r="T124" s="2" t="s">
        <v>50</v>
      </c>
      <c r="U124" s="2" t="s">
        <v>54</v>
      </c>
      <c r="V124" s="2">
        <v>616</v>
      </c>
      <c r="X124" s="2">
        <v>14</v>
      </c>
      <c r="Y124" s="2">
        <v>14</v>
      </c>
      <c r="AB124" s="2">
        <v>8.1159420289855008E-3</v>
      </c>
      <c r="AC124" s="2">
        <v>4.3381534919118697E-3</v>
      </c>
      <c r="AD124" s="2">
        <v>1.7391304347826101E-2</v>
      </c>
      <c r="AE124" s="2">
        <v>2.74749721154415E-2</v>
      </c>
      <c r="AF124" s="2" t="s">
        <v>74</v>
      </c>
      <c r="AG124" s="2" t="s">
        <v>65</v>
      </c>
      <c r="AH124" s="2" t="str">
        <f t="shared" si="3"/>
        <v>mean</v>
      </c>
      <c r="AR124" s="2" t="s">
        <v>849</v>
      </c>
      <c r="AS124" s="2" t="s">
        <v>849</v>
      </c>
      <c r="AU124" s="2" t="s">
        <v>1818</v>
      </c>
      <c r="AV124" s="2" t="s">
        <v>1830</v>
      </c>
      <c r="AW124" s="2" t="s">
        <v>28</v>
      </c>
      <c r="AX124" s="2" t="s">
        <v>1829</v>
      </c>
      <c r="AY124" s="2" t="s">
        <v>79</v>
      </c>
    </row>
    <row r="125" spans="1:51" x14ac:dyDescent="0.2">
      <c r="A125" s="2" t="s">
        <v>379</v>
      </c>
      <c r="B125" s="2" t="s">
        <v>380</v>
      </c>
      <c r="C125" s="2" t="s">
        <v>381</v>
      </c>
      <c r="D125" s="2">
        <v>2007</v>
      </c>
      <c r="E125" s="2" t="s">
        <v>377</v>
      </c>
      <c r="F125" s="2" t="s">
        <v>339</v>
      </c>
      <c r="G125" s="2" t="s">
        <v>932</v>
      </c>
      <c r="H125" s="2" t="s">
        <v>388</v>
      </c>
      <c r="I125" s="2" t="s">
        <v>474</v>
      </c>
      <c r="J125" s="2" t="s">
        <v>85</v>
      </c>
      <c r="K125" s="2" t="s">
        <v>37</v>
      </c>
      <c r="P125" s="2" t="s">
        <v>22</v>
      </c>
      <c r="Q125" s="2" t="s">
        <v>29</v>
      </c>
      <c r="R125" s="2" t="s">
        <v>41</v>
      </c>
      <c r="S125" s="2" t="s">
        <v>42</v>
      </c>
      <c r="T125" s="2" t="s">
        <v>50</v>
      </c>
      <c r="U125" s="2" t="s">
        <v>54</v>
      </c>
      <c r="V125" s="2">
        <v>616</v>
      </c>
      <c r="X125" s="2">
        <v>14</v>
      </c>
      <c r="Y125" s="2">
        <v>14</v>
      </c>
      <c r="AB125" s="2">
        <v>2.1359223300970901E-2</v>
      </c>
      <c r="AC125" s="2">
        <v>1.30776374683361E-2</v>
      </c>
      <c r="AD125" s="2">
        <v>6.3300970873786402E-2</v>
      </c>
      <c r="AE125" s="2">
        <v>3.7779841575193103E-2</v>
      </c>
      <c r="AF125" s="2" t="s">
        <v>74</v>
      </c>
      <c r="AG125" s="2" t="s">
        <v>65</v>
      </c>
      <c r="AH125" s="2" t="str">
        <f t="shared" si="3"/>
        <v>mean</v>
      </c>
      <c r="AR125" s="2" t="s">
        <v>849</v>
      </c>
      <c r="AS125" s="2" t="s">
        <v>849</v>
      </c>
      <c r="AU125" s="2" t="s">
        <v>1818</v>
      </c>
      <c r="AV125" s="2" t="s">
        <v>1830</v>
      </c>
      <c r="AW125" s="2" t="s">
        <v>28</v>
      </c>
      <c r="AX125" s="2" t="s">
        <v>1829</v>
      </c>
      <c r="AY125" s="2" t="s">
        <v>79</v>
      </c>
    </row>
    <row r="126" spans="1:51" x14ac:dyDescent="0.2">
      <c r="A126" s="2" t="s">
        <v>379</v>
      </c>
      <c r="B126" s="2" t="s">
        <v>380</v>
      </c>
      <c r="C126" s="2" t="s">
        <v>381</v>
      </c>
      <c r="D126" s="2">
        <v>2007</v>
      </c>
      <c r="E126" s="2" t="s">
        <v>377</v>
      </c>
      <c r="F126" s="2" t="s">
        <v>339</v>
      </c>
      <c r="G126" s="2" t="s">
        <v>933</v>
      </c>
      <c r="H126" s="2" t="s">
        <v>389</v>
      </c>
      <c r="I126" s="2" t="s">
        <v>474</v>
      </c>
      <c r="J126" s="2" t="s">
        <v>85</v>
      </c>
      <c r="K126" s="2" t="s">
        <v>37</v>
      </c>
      <c r="P126" s="2" t="s">
        <v>22</v>
      </c>
      <c r="Q126" s="2" t="s">
        <v>29</v>
      </c>
      <c r="R126" s="2" t="s">
        <v>40</v>
      </c>
      <c r="S126" s="2" t="s">
        <v>44</v>
      </c>
      <c r="T126" s="2" t="s">
        <v>50</v>
      </c>
      <c r="U126" s="2" t="s">
        <v>54</v>
      </c>
      <c r="V126" s="2">
        <v>617</v>
      </c>
      <c r="X126" s="2">
        <v>30</v>
      </c>
      <c r="Y126" s="2">
        <v>30</v>
      </c>
      <c r="Z126" s="2">
        <v>14</v>
      </c>
      <c r="AA126" s="2">
        <v>25</v>
      </c>
      <c r="AH126" s="2" t="s">
        <v>1804</v>
      </c>
      <c r="AR126" s="2" t="s">
        <v>849</v>
      </c>
      <c r="AS126" s="2" t="s">
        <v>849</v>
      </c>
      <c r="AU126" s="2" t="s">
        <v>1818</v>
      </c>
      <c r="AV126" s="2" t="s">
        <v>1830</v>
      </c>
      <c r="AW126" s="2" t="s">
        <v>28</v>
      </c>
      <c r="AX126" s="2" t="s">
        <v>1829</v>
      </c>
      <c r="AY126" s="2" t="s">
        <v>79</v>
      </c>
    </row>
    <row r="127" spans="1:51" x14ac:dyDescent="0.2">
      <c r="A127" s="2" t="s">
        <v>379</v>
      </c>
      <c r="B127" s="2" t="s">
        <v>380</v>
      </c>
      <c r="C127" s="2" t="s">
        <v>381</v>
      </c>
      <c r="D127" s="2">
        <v>2007</v>
      </c>
      <c r="E127" s="2" t="s">
        <v>377</v>
      </c>
      <c r="F127" s="2" t="s">
        <v>339</v>
      </c>
      <c r="G127" s="2" t="s">
        <v>933</v>
      </c>
      <c r="H127" s="2" t="s">
        <v>390</v>
      </c>
      <c r="I127" s="2" t="s">
        <v>474</v>
      </c>
      <c r="J127" s="2" t="s">
        <v>85</v>
      </c>
      <c r="K127" s="2" t="s">
        <v>37</v>
      </c>
      <c r="P127" s="2" t="s">
        <v>22</v>
      </c>
      <c r="Q127" s="2" t="s">
        <v>29</v>
      </c>
      <c r="R127" s="2" t="s">
        <v>41</v>
      </c>
      <c r="S127" s="2" t="s">
        <v>44</v>
      </c>
      <c r="T127" s="2" t="s">
        <v>50</v>
      </c>
      <c r="U127" s="2" t="s">
        <v>54</v>
      </c>
      <c r="V127" s="2">
        <v>617</v>
      </c>
      <c r="X127" s="2">
        <v>30</v>
      </c>
      <c r="Y127" s="2">
        <v>30</v>
      </c>
      <c r="Z127" s="2">
        <v>1</v>
      </c>
      <c r="AA127" s="2">
        <v>19</v>
      </c>
      <c r="AH127" s="2" t="s">
        <v>1804</v>
      </c>
      <c r="AR127" s="2" t="s">
        <v>849</v>
      </c>
      <c r="AS127" s="2" t="s">
        <v>849</v>
      </c>
      <c r="AU127" s="2" t="s">
        <v>1818</v>
      </c>
      <c r="AV127" s="2" t="s">
        <v>1830</v>
      </c>
      <c r="AW127" s="2" t="s">
        <v>28</v>
      </c>
      <c r="AX127" s="2" t="s">
        <v>1829</v>
      </c>
      <c r="AY127" s="2" t="s">
        <v>79</v>
      </c>
    </row>
    <row r="128" spans="1:51" x14ac:dyDescent="0.2">
      <c r="A128" s="2" t="s">
        <v>399</v>
      </c>
      <c r="B128" s="2" t="s">
        <v>99</v>
      </c>
      <c r="C128" s="2" t="s">
        <v>400</v>
      </c>
      <c r="D128" s="2">
        <v>2017</v>
      </c>
      <c r="E128" s="2" t="s">
        <v>401</v>
      </c>
      <c r="F128" s="2" t="s">
        <v>359</v>
      </c>
      <c r="G128" s="2" t="s">
        <v>934</v>
      </c>
      <c r="H128" s="2" t="s">
        <v>391</v>
      </c>
      <c r="I128" s="2" t="s">
        <v>1770</v>
      </c>
      <c r="J128" s="2" t="s">
        <v>85</v>
      </c>
      <c r="K128" s="2" t="s">
        <v>37</v>
      </c>
      <c r="P128" s="2" t="s">
        <v>22</v>
      </c>
      <c r="Q128" s="2" t="s">
        <v>26</v>
      </c>
      <c r="R128" s="2" t="s">
        <v>41</v>
      </c>
      <c r="S128" s="2" t="s">
        <v>46</v>
      </c>
      <c r="T128" s="2" t="s">
        <v>50</v>
      </c>
      <c r="U128" s="2" t="s">
        <v>54</v>
      </c>
      <c r="V128" s="2">
        <v>53</v>
      </c>
      <c r="AH128" s="2" t="s">
        <v>4</v>
      </c>
      <c r="AN128" s="2">
        <v>83</v>
      </c>
      <c r="AO128" s="2">
        <v>0.05</v>
      </c>
      <c r="AR128" s="2" t="s">
        <v>849</v>
      </c>
      <c r="AS128" s="2" t="s">
        <v>849</v>
      </c>
      <c r="AU128" s="2" t="s">
        <v>1818</v>
      </c>
      <c r="AV128" s="2" t="s">
        <v>1830</v>
      </c>
      <c r="AW128" s="2" t="s">
        <v>1837</v>
      </c>
      <c r="AX128" s="2" t="s">
        <v>1821</v>
      </c>
      <c r="AY128" s="2" t="s">
        <v>79</v>
      </c>
    </row>
    <row r="129" spans="1:51" x14ac:dyDescent="0.2">
      <c r="A129" s="2" t="s">
        <v>399</v>
      </c>
      <c r="B129" s="2" t="s">
        <v>99</v>
      </c>
      <c r="C129" s="2" t="s">
        <v>400</v>
      </c>
      <c r="D129" s="2">
        <v>2017</v>
      </c>
      <c r="E129" s="2" t="s">
        <v>401</v>
      </c>
      <c r="F129" s="2" t="s">
        <v>359</v>
      </c>
      <c r="G129" s="2" t="s">
        <v>934</v>
      </c>
      <c r="H129" s="2" t="s">
        <v>392</v>
      </c>
      <c r="I129" s="2" t="s">
        <v>1770</v>
      </c>
      <c r="J129" s="2" t="s">
        <v>85</v>
      </c>
      <c r="K129" s="2" t="s">
        <v>37</v>
      </c>
      <c r="P129" s="2" t="s">
        <v>22</v>
      </c>
      <c r="Q129" s="2" t="s">
        <v>26</v>
      </c>
      <c r="R129" s="2" t="s">
        <v>41</v>
      </c>
      <c r="S129" s="2" t="s">
        <v>46</v>
      </c>
      <c r="T129" s="2" t="s">
        <v>50</v>
      </c>
      <c r="U129" s="2" t="s">
        <v>54</v>
      </c>
      <c r="V129" s="2">
        <v>53</v>
      </c>
      <c r="AH129" s="2" t="s">
        <v>4</v>
      </c>
      <c r="AN129" s="2">
        <v>83</v>
      </c>
      <c r="AO129" s="2">
        <v>-0.01</v>
      </c>
      <c r="AR129" s="2" t="s">
        <v>849</v>
      </c>
      <c r="AS129" s="2" t="s">
        <v>849</v>
      </c>
      <c r="AU129" s="2" t="s">
        <v>1818</v>
      </c>
      <c r="AV129" s="2" t="s">
        <v>1830</v>
      </c>
      <c r="AW129" s="2" t="s">
        <v>1837</v>
      </c>
      <c r="AX129" s="2" t="s">
        <v>1821</v>
      </c>
      <c r="AY129" s="2" t="s">
        <v>79</v>
      </c>
    </row>
    <row r="130" spans="1:51" x14ac:dyDescent="0.2">
      <c r="A130" s="2" t="s">
        <v>399</v>
      </c>
      <c r="B130" s="2" t="s">
        <v>99</v>
      </c>
      <c r="C130" s="2" t="s">
        <v>400</v>
      </c>
      <c r="D130" s="2">
        <v>2017</v>
      </c>
      <c r="E130" s="2" t="s">
        <v>401</v>
      </c>
      <c r="F130" s="2" t="s">
        <v>359</v>
      </c>
      <c r="G130" s="2" t="s">
        <v>934</v>
      </c>
      <c r="H130" s="2" t="s">
        <v>393</v>
      </c>
      <c r="I130" s="2" t="s">
        <v>1770</v>
      </c>
      <c r="J130" s="2" t="s">
        <v>85</v>
      </c>
      <c r="K130" s="2" t="s">
        <v>37</v>
      </c>
      <c r="P130" s="2" t="s">
        <v>22</v>
      </c>
      <c r="Q130" s="2" t="s">
        <v>26</v>
      </c>
      <c r="R130" s="2" t="s">
        <v>41</v>
      </c>
      <c r="S130" s="2" t="s">
        <v>46</v>
      </c>
      <c r="T130" s="2" t="s">
        <v>50</v>
      </c>
      <c r="U130" s="2" t="s">
        <v>54</v>
      </c>
      <c r="V130" s="2">
        <v>53</v>
      </c>
      <c r="AH130" s="2" t="s">
        <v>4</v>
      </c>
      <c r="AN130" s="2">
        <v>83</v>
      </c>
      <c r="AO130" s="2">
        <v>-0.06</v>
      </c>
      <c r="AR130" s="2" t="s">
        <v>849</v>
      </c>
      <c r="AS130" s="2" t="s">
        <v>849</v>
      </c>
      <c r="AU130" s="2" t="s">
        <v>1818</v>
      </c>
      <c r="AV130" s="2" t="s">
        <v>1830</v>
      </c>
      <c r="AW130" s="2" t="s">
        <v>1837</v>
      </c>
      <c r="AX130" s="2" t="s">
        <v>1821</v>
      </c>
      <c r="AY130" s="2" t="s">
        <v>79</v>
      </c>
    </row>
    <row r="131" spans="1:51" x14ac:dyDescent="0.2">
      <c r="A131" s="2" t="s">
        <v>399</v>
      </c>
      <c r="B131" s="2" t="s">
        <v>99</v>
      </c>
      <c r="C131" s="2" t="s">
        <v>400</v>
      </c>
      <c r="D131" s="2">
        <v>2017</v>
      </c>
      <c r="E131" s="2" t="s">
        <v>401</v>
      </c>
      <c r="F131" s="2" t="s">
        <v>359</v>
      </c>
      <c r="G131" s="2" t="s">
        <v>935</v>
      </c>
      <c r="H131" s="2" t="s">
        <v>394</v>
      </c>
      <c r="I131" s="2" t="s">
        <v>1770</v>
      </c>
      <c r="J131" s="2" t="s">
        <v>85</v>
      </c>
      <c r="K131" s="2" t="s">
        <v>38</v>
      </c>
      <c r="L131" s="2" t="s">
        <v>11</v>
      </c>
      <c r="M131" s="2" t="s">
        <v>14</v>
      </c>
      <c r="N131" s="2" t="s">
        <v>21</v>
      </c>
      <c r="O131" s="2">
        <v>0</v>
      </c>
      <c r="P131" s="2" t="s">
        <v>22</v>
      </c>
      <c r="Q131" s="2" t="s">
        <v>26</v>
      </c>
      <c r="T131" s="2" t="s">
        <v>50</v>
      </c>
      <c r="U131" s="2" t="s">
        <v>52</v>
      </c>
      <c r="V131" s="2">
        <v>10</v>
      </c>
      <c r="X131" s="2">
        <v>24</v>
      </c>
      <c r="Y131" s="2">
        <v>24</v>
      </c>
      <c r="AB131" s="2">
        <v>25.647058823529399</v>
      </c>
      <c r="AC131" s="2">
        <v>44.955341161667697</v>
      </c>
      <c r="AD131" s="2">
        <v>16.235294117647101</v>
      </c>
      <c r="AE131" s="2">
        <v>35.733732718248703</v>
      </c>
      <c r="AF131" s="2" t="s">
        <v>74</v>
      </c>
      <c r="AG131" s="2" t="s">
        <v>64</v>
      </c>
      <c r="AH131" s="2" t="str">
        <f>IF(AF131="mean", "mean", "")</f>
        <v>mean</v>
      </c>
      <c r="AR131" s="2" t="s">
        <v>849</v>
      </c>
      <c r="AS131" s="2" t="s">
        <v>849</v>
      </c>
      <c r="AU131" s="2" t="s">
        <v>1818</v>
      </c>
      <c r="AV131" s="2" t="s">
        <v>1830</v>
      </c>
      <c r="AW131" s="2" t="s">
        <v>1837</v>
      </c>
      <c r="AX131" s="2" t="s">
        <v>1821</v>
      </c>
      <c r="AY131" s="2" t="s">
        <v>79</v>
      </c>
    </row>
    <row r="132" spans="1:51" x14ac:dyDescent="0.2">
      <c r="A132" s="2" t="s">
        <v>399</v>
      </c>
      <c r="B132" s="2" t="s">
        <v>99</v>
      </c>
      <c r="C132" s="2" t="s">
        <v>400</v>
      </c>
      <c r="D132" s="2">
        <v>2017</v>
      </c>
      <c r="E132" s="2" t="s">
        <v>401</v>
      </c>
      <c r="F132" s="2" t="s">
        <v>359</v>
      </c>
      <c r="G132" s="2" t="s">
        <v>935</v>
      </c>
      <c r="H132" s="2" t="s">
        <v>395</v>
      </c>
      <c r="I132" s="2" t="s">
        <v>1770</v>
      </c>
      <c r="J132" s="2" t="s">
        <v>85</v>
      </c>
      <c r="K132" s="2" t="s">
        <v>38</v>
      </c>
      <c r="L132" s="2" t="s">
        <v>11</v>
      </c>
      <c r="M132" s="2" t="s">
        <v>14</v>
      </c>
      <c r="N132" s="2" t="s">
        <v>17</v>
      </c>
      <c r="O132" s="2">
        <v>1</v>
      </c>
      <c r="P132" s="2" t="s">
        <v>22</v>
      </c>
      <c r="Q132" s="2" t="s">
        <v>26</v>
      </c>
      <c r="T132" s="2" t="s">
        <v>50</v>
      </c>
      <c r="U132" s="2" t="s">
        <v>52</v>
      </c>
      <c r="V132" s="2">
        <v>10</v>
      </c>
      <c r="X132" s="2">
        <v>24</v>
      </c>
      <c r="Y132" s="2">
        <v>24</v>
      </c>
      <c r="AB132" s="2">
        <v>25.647058823529399</v>
      </c>
      <c r="AC132" s="2">
        <v>44.955341161667697</v>
      </c>
      <c r="AD132" s="2">
        <v>13.176470588235301</v>
      </c>
      <c r="AE132" s="2">
        <v>11.5270105542737</v>
      </c>
      <c r="AF132" s="2" t="s">
        <v>74</v>
      </c>
      <c r="AG132" s="2" t="s">
        <v>64</v>
      </c>
      <c r="AH132" s="2" t="str">
        <f>IF(AF132="mean", "mean", "")</f>
        <v>mean</v>
      </c>
      <c r="AR132" s="2" t="s">
        <v>849</v>
      </c>
      <c r="AS132" s="2" t="s">
        <v>849</v>
      </c>
      <c r="AU132" s="2" t="s">
        <v>1818</v>
      </c>
      <c r="AV132" s="2" t="s">
        <v>1830</v>
      </c>
      <c r="AW132" s="2" t="s">
        <v>1837</v>
      </c>
      <c r="AX132" s="2" t="s">
        <v>1821</v>
      </c>
      <c r="AY132" s="2" t="s">
        <v>79</v>
      </c>
    </row>
    <row r="133" spans="1:51" x14ac:dyDescent="0.2">
      <c r="A133" s="2" t="s">
        <v>399</v>
      </c>
      <c r="B133" s="2" t="s">
        <v>99</v>
      </c>
      <c r="C133" s="2" t="s">
        <v>400</v>
      </c>
      <c r="D133" s="2">
        <v>2017</v>
      </c>
      <c r="E133" s="2" t="s">
        <v>401</v>
      </c>
      <c r="F133" s="2" t="s">
        <v>359</v>
      </c>
      <c r="G133" s="2" t="s">
        <v>935</v>
      </c>
      <c r="H133" s="2" t="s">
        <v>396</v>
      </c>
      <c r="I133" s="2" t="s">
        <v>1770</v>
      </c>
      <c r="J133" s="2" t="s">
        <v>85</v>
      </c>
      <c r="K133" s="2" t="s">
        <v>38</v>
      </c>
      <c r="L133" s="2" t="s">
        <v>11</v>
      </c>
      <c r="M133" s="2" t="s">
        <v>14</v>
      </c>
      <c r="N133" s="2" t="s">
        <v>21</v>
      </c>
      <c r="O133" s="2">
        <v>0</v>
      </c>
      <c r="P133" s="2" t="s">
        <v>22</v>
      </c>
      <c r="Q133" s="2" t="s">
        <v>26</v>
      </c>
      <c r="T133" s="2" t="s">
        <v>50</v>
      </c>
      <c r="U133" s="2" t="s">
        <v>52</v>
      </c>
      <c r="V133" s="2">
        <v>10</v>
      </c>
      <c r="X133" s="2">
        <v>24</v>
      </c>
      <c r="Y133" s="2">
        <v>24</v>
      </c>
      <c r="AB133" s="2">
        <v>35.15625</v>
      </c>
      <c r="AC133" s="2">
        <v>21.815768021662699</v>
      </c>
      <c r="AD133" s="2">
        <v>40.78125</v>
      </c>
      <c r="AE133" s="2">
        <v>52.817122578762302</v>
      </c>
      <c r="AF133" s="2" t="s">
        <v>74</v>
      </c>
      <c r="AG133" s="2" t="s">
        <v>64</v>
      </c>
      <c r="AH133" s="2" t="str">
        <f>IF(AF133="mean", "mean", "")</f>
        <v>mean</v>
      </c>
      <c r="AR133" s="2" t="s">
        <v>849</v>
      </c>
      <c r="AS133" s="2" t="s">
        <v>849</v>
      </c>
      <c r="AU133" s="2" t="s">
        <v>1818</v>
      </c>
      <c r="AV133" s="2" t="s">
        <v>1830</v>
      </c>
      <c r="AW133" s="2" t="s">
        <v>1837</v>
      </c>
      <c r="AX133" s="2" t="s">
        <v>1821</v>
      </c>
      <c r="AY133" s="2" t="s">
        <v>79</v>
      </c>
    </row>
    <row r="134" spans="1:51" x14ac:dyDescent="0.2">
      <c r="A134" s="2" t="s">
        <v>399</v>
      </c>
      <c r="B134" s="2" t="s">
        <v>99</v>
      </c>
      <c r="C134" s="2" t="s">
        <v>400</v>
      </c>
      <c r="D134" s="2">
        <v>2017</v>
      </c>
      <c r="E134" s="2" t="s">
        <v>401</v>
      </c>
      <c r="F134" s="2" t="s">
        <v>359</v>
      </c>
      <c r="G134" s="2" t="s">
        <v>935</v>
      </c>
      <c r="H134" s="2" t="s">
        <v>402</v>
      </c>
      <c r="I134" s="2" t="s">
        <v>1770</v>
      </c>
      <c r="J134" s="2" t="s">
        <v>85</v>
      </c>
      <c r="K134" s="2" t="s">
        <v>38</v>
      </c>
      <c r="L134" s="2" t="s">
        <v>11</v>
      </c>
      <c r="M134" s="2" t="s">
        <v>14</v>
      </c>
      <c r="N134" s="2" t="s">
        <v>17</v>
      </c>
      <c r="O134" s="2">
        <v>1</v>
      </c>
      <c r="P134" s="2" t="s">
        <v>22</v>
      </c>
      <c r="Q134" s="2" t="s">
        <v>26</v>
      </c>
      <c r="T134" s="2" t="s">
        <v>50</v>
      </c>
      <c r="U134" s="2" t="s">
        <v>52</v>
      </c>
      <c r="V134" s="2">
        <v>10</v>
      </c>
      <c r="X134" s="2">
        <v>24</v>
      </c>
      <c r="Y134" s="2">
        <v>24</v>
      </c>
      <c r="AB134" s="2">
        <v>35.15625</v>
      </c>
      <c r="AC134" s="2">
        <v>21.815768021662699</v>
      </c>
      <c r="AD134" s="2">
        <v>45.234375</v>
      </c>
      <c r="AE134" s="2">
        <v>27.556759606310798</v>
      </c>
      <c r="AF134" s="2" t="s">
        <v>74</v>
      </c>
      <c r="AG134" s="2" t="s">
        <v>64</v>
      </c>
      <c r="AH134" s="2" t="str">
        <f>IF(AF134="mean", "mean", "")</f>
        <v>mean</v>
      </c>
      <c r="AR134" s="2" t="s">
        <v>849</v>
      </c>
      <c r="AS134" s="2" t="s">
        <v>849</v>
      </c>
      <c r="AU134" s="2" t="s">
        <v>1818</v>
      </c>
      <c r="AV134" s="2" t="s">
        <v>1830</v>
      </c>
      <c r="AW134" s="2" t="s">
        <v>1837</v>
      </c>
      <c r="AX134" s="2" t="s">
        <v>1821</v>
      </c>
      <c r="AY134" s="2" t="s">
        <v>79</v>
      </c>
    </row>
    <row r="135" spans="1:51" x14ac:dyDescent="0.2">
      <c r="A135" s="2" t="s">
        <v>399</v>
      </c>
      <c r="B135" s="2" t="s">
        <v>99</v>
      </c>
      <c r="C135" s="2" t="s">
        <v>400</v>
      </c>
      <c r="D135" s="2">
        <v>2017</v>
      </c>
      <c r="E135" s="2" t="s">
        <v>401</v>
      </c>
      <c r="F135" s="2" t="s">
        <v>359</v>
      </c>
      <c r="G135" s="2" t="s">
        <v>936</v>
      </c>
      <c r="H135" s="2" t="s">
        <v>403</v>
      </c>
      <c r="I135" s="2" t="s">
        <v>1770</v>
      </c>
      <c r="J135" s="2" t="s">
        <v>85</v>
      </c>
      <c r="K135" s="2" t="s">
        <v>37</v>
      </c>
      <c r="P135" s="2" t="s">
        <v>22</v>
      </c>
      <c r="Q135" s="2" t="s">
        <v>26</v>
      </c>
      <c r="R135" s="2" t="s">
        <v>41</v>
      </c>
      <c r="S135" s="2" t="s">
        <v>46</v>
      </c>
      <c r="T135" s="2" t="s">
        <v>50</v>
      </c>
      <c r="U135" s="2" t="s">
        <v>52</v>
      </c>
      <c r="V135" s="2" t="s">
        <v>415</v>
      </c>
      <c r="AH135" s="2" t="s">
        <v>4</v>
      </c>
      <c r="AN135" s="2">
        <v>83</v>
      </c>
      <c r="AO135" s="2">
        <v>0.11671919741211199</v>
      </c>
      <c r="AR135" s="2" t="s">
        <v>849</v>
      </c>
      <c r="AS135" s="2" t="s">
        <v>849</v>
      </c>
      <c r="AU135" s="2" t="s">
        <v>1818</v>
      </c>
      <c r="AV135" s="2" t="s">
        <v>1830</v>
      </c>
      <c r="AW135" s="2" t="s">
        <v>1837</v>
      </c>
      <c r="AX135" s="2" t="s">
        <v>1821</v>
      </c>
      <c r="AY135" s="2" t="s">
        <v>79</v>
      </c>
    </row>
    <row r="136" spans="1:51" x14ac:dyDescent="0.2">
      <c r="A136" s="2" t="s">
        <v>399</v>
      </c>
      <c r="B136" s="2" t="s">
        <v>99</v>
      </c>
      <c r="C136" s="2" t="s">
        <v>400</v>
      </c>
      <c r="D136" s="2">
        <v>2017</v>
      </c>
      <c r="E136" s="2" t="s">
        <v>401</v>
      </c>
      <c r="F136" s="2" t="s">
        <v>359</v>
      </c>
      <c r="G136" s="2" t="s">
        <v>937</v>
      </c>
      <c r="H136" s="2" t="s">
        <v>404</v>
      </c>
      <c r="I136" s="2" t="s">
        <v>1770</v>
      </c>
      <c r="J136" s="2" t="s">
        <v>85</v>
      </c>
      <c r="K136" s="2" t="s">
        <v>38</v>
      </c>
      <c r="L136" s="2" t="s">
        <v>11</v>
      </c>
      <c r="M136" s="2" t="s">
        <v>14</v>
      </c>
      <c r="N136" s="2" t="s">
        <v>21</v>
      </c>
      <c r="O136" s="2">
        <v>0</v>
      </c>
      <c r="P136" s="2" t="s">
        <v>22</v>
      </c>
      <c r="Q136" s="2" t="s">
        <v>26</v>
      </c>
      <c r="T136" s="2" t="s">
        <v>50</v>
      </c>
      <c r="U136" s="2" t="s">
        <v>52</v>
      </c>
      <c r="V136" s="2" t="s">
        <v>415</v>
      </c>
      <c r="X136" s="2">
        <v>24</v>
      </c>
      <c r="Y136" s="2">
        <v>24</v>
      </c>
      <c r="AB136" s="2">
        <v>101.505376344086</v>
      </c>
      <c r="AC136" s="2">
        <v>52.677198769530698</v>
      </c>
      <c r="AD136" s="2">
        <v>63.225806451612897</v>
      </c>
      <c r="AE136" s="2">
        <v>35.820495163280903</v>
      </c>
      <c r="AF136" s="2" t="s">
        <v>74</v>
      </c>
      <c r="AG136" s="2" t="s">
        <v>64</v>
      </c>
      <c r="AH136" s="2" t="str">
        <f t="shared" ref="AH136:AH148" si="4">IF(AF136="mean", "mean", "")</f>
        <v>mean</v>
      </c>
      <c r="AR136" s="2" t="s">
        <v>849</v>
      </c>
      <c r="AS136" s="2" t="s">
        <v>849</v>
      </c>
      <c r="AU136" s="2" t="s">
        <v>1818</v>
      </c>
      <c r="AV136" s="2" t="s">
        <v>1830</v>
      </c>
      <c r="AW136" s="2" t="s">
        <v>1837</v>
      </c>
      <c r="AX136" s="2" t="s">
        <v>1821</v>
      </c>
      <c r="AY136" s="2" t="s">
        <v>79</v>
      </c>
    </row>
    <row r="137" spans="1:51" x14ac:dyDescent="0.2">
      <c r="A137" s="2" t="s">
        <v>399</v>
      </c>
      <c r="B137" s="2" t="s">
        <v>99</v>
      </c>
      <c r="C137" s="2" t="s">
        <v>400</v>
      </c>
      <c r="D137" s="2">
        <v>2017</v>
      </c>
      <c r="E137" s="2" t="s">
        <v>401</v>
      </c>
      <c r="F137" s="2" t="s">
        <v>359</v>
      </c>
      <c r="G137" s="2" t="s">
        <v>937</v>
      </c>
      <c r="H137" s="2" t="s">
        <v>405</v>
      </c>
      <c r="I137" s="2" t="s">
        <v>1770</v>
      </c>
      <c r="J137" s="2" t="s">
        <v>85</v>
      </c>
      <c r="K137" s="2" t="s">
        <v>38</v>
      </c>
      <c r="L137" s="2" t="s">
        <v>11</v>
      </c>
      <c r="M137" s="2" t="s">
        <v>14</v>
      </c>
      <c r="N137" s="2" t="s">
        <v>17</v>
      </c>
      <c r="O137" s="2">
        <v>1</v>
      </c>
      <c r="P137" s="2" t="s">
        <v>22</v>
      </c>
      <c r="Q137" s="2" t="s">
        <v>26</v>
      </c>
      <c r="T137" s="2" t="s">
        <v>50</v>
      </c>
      <c r="U137" s="2" t="s">
        <v>52</v>
      </c>
      <c r="V137" s="2" t="s">
        <v>415</v>
      </c>
      <c r="X137" s="2">
        <v>24</v>
      </c>
      <c r="Y137" s="2">
        <v>24</v>
      </c>
      <c r="AB137" s="2">
        <v>101.505376344086</v>
      </c>
      <c r="AC137" s="2">
        <v>52.677198769530698</v>
      </c>
      <c r="AD137" s="2">
        <v>76.129032258064498</v>
      </c>
      <c r="AE137" s="2">
        <v>50.570110818749498</v>
      </c>
      <c r="AF137" s="2" t="s">
        <v>74</v>
      </c>
      <c r="AG137" s="2" t="s">
        <v>64</v>
      </c>
      <c r="AH137" s="2" t="str">
        <f t="shared" si="4"/>
        <v>mean</v>
      </c>
      <c r="AR137" s="2" t="s">
        <v>849</v>
      </c>
      <c r="AS137" s="2" t="s">
        <v>849</v>
      </c>
      <c r="AU137" s="2" t="s">
        <v>1818</v>
      </c>
      <c r="AV137" s="2" t="s">
        <v>1830</v>
      </c>
      <c r="AW137" s="2" t="s">
        <v>1837</v>
      </c>
      <c r="AX137" s="2" t="s">
        <v>1821</v>
      </c>
      <c r="AY137" s="2" t="s">
        <v>79</v>
      </c>
    </row>
    <row r="138" spans="1:51" x14ac:dyDescent="0.2">
      <c r="A138" s="2" t="s">
        <v>399</v>
      </c>
      <c r="B138" s="2" t="s">
        <v>99</v>
      </c>
      <c r="C138" s="2" t="s">
        <v>400</v>
      </c>
      <c r="D138" s="2">
        <v>2017</v>
      </c>
      <c r="E138" s="2" t="s">
        <v>401</v>
      </c>
      <c r="F138" s="2" t="s">
        <v>360</v>
      </c>
      <c r="G138" s="2" t="s">
        <v>938</v>
      </c>
      <c r="H138" s="2" t="s">
        <v>406</v>
      </c>
      <c r="I138" s="2" t="s">
        <v>1770</v>
      </c>
      <c r="J138" s="2" t="s">
        <v>85</v>
      </c>
      <c r="K138" s="2" t="s">
        <v>38</v>
      </c>
      <c r="L138" s="2" t="s">
        <v>11</v>
      </c>
      <c r="M138" s="2" t="s">
        <v>14</v>
      </c>
      <c r="N138" s="2" t="s">
        <v>21</v>
      </c>
      <c r="O138" s="2">
        <v>0</v>
      </c>
      <c r="P138" s="2" t="s">
        <v>22</v>
      </c>
      <c r="Q138" s="2" t="s">
        <v>26</v>
      </c>
      <c r="T138" s="2" t="s">
        <v>50</v>
      </c>
      <c r="U138" s="2" t="s">
        <v>421</v>
      </c>
      <c r="X138" s="2">
        <v>24</v>
      </c>
      <c r="Y138" s="2">
        <v>24</v>
      </c>
      <c r="AB138" s="2">
        <v>1.5833299999999999</v>
      </c>
      <c r="AC138" s="2">
        <v>2.2440000000000002</v>
      </c>
      <c r="AD138" s="2">
        <v>1.5</v>
      </c>
      <c r="AE138" s="2">
        <v>1.7937000000000001</v>
      </c>
      <c r="AF138" s="2" t="s">
        <v>74</v>
      </c>
      <c r="AG138" s="2" t="s">
        <v>64</v>
      </c>
      <c r="AH138" s="2" t="str">
        <f t="shared" si="4"/>
        <v>mean</v>
      </c>
      <c r="AR138" s="2" t="s">
        <v>849</v>
      </c>
      <c r="AS138" s="2" t="s">
        <v>849</v>
      </c>
      <c r="AU138" s="2" t="s">
        <v>1818</v>
      </c>
      <c r="AV138" s="2" t="s">
        <v>1830</v>
      </c>
      <c r="AW138" s="2" t="s">
        <v>1837</v>
      </c>
      <c r="AX138" s="2" t="s">
        <v>1821</v>
      </c>
      <c r="AY138" s="2" t="s">
        <v>79</v>
      </c>
    </row>
    <row r="139" spans="1:51" x14ac:dyDescent="0.2">
      <c r="A139" s="2" t="s">
        <v>399</v>
      </c>
      <c r="B139" s="2" t="s">
        <v>99</v>
      </c>
      <c r="C139" s="2" t="s">
        <v>400</v>
      </c>
      <c r="D139" s="2">
        <v>2017</v>
      </c>
      <c r="E139" s="2" t="s">
        <v>401</v>
      </c>
      <c r="F139" s="2" t="s">
        <v>359</v>
      </c>
      <c r="G139" s="2" t="s">
        <v>939</v>
      </c>
      <c r="H139" s="2" t="s">
        <v>407</v>
      </c>
      <c r="I139" s="2" t="s">
        <v>1770</v>
      </c>
      <c r="J139" s="2" t="s">
        <v>85</v>
      </c>
      <c r="K139" s="2" t="s">
        <v>38</v>
      </c>
      <c r="L139" s="2" t="s">
        <v>11</v>
      </c>
      <c r="M139" s="2" t="s">
        <v>14</v>
      </c>
      <c r="N139" s="2" t="s">
        <v>17</v>
      </c>
      <c r="O139" s="2">
        <v>1</v>
      </c>
      <c r="P139" s="2" t="s">
        <v>22</v>
      </c>
      <c r="Q139" s="2" t="s">
        <v>26</v>
      </c>
      <c r="T139" s="2" t="s">
        <v>50</v>
      </c>
      <c r="U139" s="2" t="s">
        <v>421</v>
      </c>
      <c r="X139" s="2">
        <v>24</v>
      </c>
      <c r="Y139" s="2">
        <v>24</v>
      </c>
      <c r="AB139" s="2">
        <v>1.5833299999999999</v>
      </c>
      <c r="AC139" s="2">
        <v>2.2440000000000002</v>
      </c>
      <c r="AD139" s="2">
        <v>1.91666</v>
      </c>
      <c r="AE139" s="2">
        <v>3.0491100000000002</v>
      </c>
      <c r="AF139" s="2" t="s">
        <v>74</v>
      </c>
      <c r="AG139" s="2" t="s">
        <v>64</v>
      </c>
      <c r="AH139" s="2" t="str">
        <f t="shared" si="4"/>
        <v>mean</v>
      </c>
      <c r="AR139" s="2" t="s">
        <v>849</v>
      </c>
      <c r="AS139" s="2" t="s">
        <v>849</v>
      </c>
      <c r="AU139" s="2" t="s">
        <v>1818</v>
      </c>
      <c r="AV139" s="2" t="s">
        <v>1830</v>
      </c>
      <c r="AW139" s="2" t="s">
        <v>1837</v>
      </c>
      <c r="AX139" s="2" t="s">
        <v>1821</v>
      </c>
      <c r="AY139" s="2" t="s">
        <v>79</v>
      </c>
    </row>
    <row r="140" spans="1:51" x14ac:dyDescent="0.2">
      <c r="A140" s="2" t="s">
        <v>422</v>
      </c>
      <c r="B140" s="2" t="s">
        <v>423</v>
      </c>
      <c r="C140" s="2" t="s">
        <v>424</v>
      </c>
      <c r="D140" s="2">
        <v>2007</v>
      </c>
      <c r="E140" s="2" t="s">
        <v>416</v>
      </c>
      <c r="F140" s="2" t="s">
        <v>361</v>
      </c>
      <c r="G140" s="2" t="s">
        <v>940</v>
      </c>
      <c r="H140" s="2" t="s">
        <v>408</v>
      </c>
      <c r="I140" s="2" t="s">
        <v>1777</v>
      </c>
      <c r="J140" s="2" t="s">
        <v>85</v>
      </c>
      <c r="K140" s="2" t="s">
        <v>37</v>
      </c>
      <c r="P140" s="2" t="s">
        <v>22</v>
      </c>
      <c r="Q140" s="2" t="s">
        <v>1832</v>
      </c>
      <c r="R140" s="2" t="s">
        <v>40</v>
      </c>
      <c r="S140" s="2" t="s">
        <v>42</v>
      </c>
      <c r="T140" s="2" t="s">
        <v>51</v>
      </c>
      <c r="U140" s="2" t="s">
        <v>54</v>
      </c>
      <c r="V140" s="2">
        <v>334</v>
      </c>
      <c r="X140" s="2">
        <v>87.5</v>
      </c>
      <c r="Y140" s="2">
        <v>87.5</v>
      </c>
      <c r="AB140" s="2">
        <v>18.22</v>
      </c>
      <c r="AC140" s="2">
        <v>0.76</v>
      </c>
      <c r="AD140" s="2">
        <v>22.59</v>
      </c>
      <c r="AE140" s="2">
        <v>0.91</v>
      </c>
      <c r="AF140" s="2" t="s">
        <v>74</v>
      </c>
      <c r="AG140" s="2" t="s">
        <v>65</v>
      </c>
      <c r="AH140" s="2" t="str">
        <f t="shared" si="4"/>
        <v>mean</v>
      </c>
      <c r="AR140" s="2" t="s">
        <v>849</v>
      </c>
      <c r="AS140" s="2" t="s">
        <v>849</v>
      </c>
      <c r="AU140" s="2" t="s">
        <v>1818</v>
      </c>
      <c r="AV140" s="2" t="s">
        <v>1830</v>
      </c>
      <c r="AW140" s="2" t="s">
        <v>1838</v>
      </c>
      <c r="AX140" s="2" t="s">
        <v>1821</v>
      </c>
      <c r="AY140" s="2" t="s">
        <v>79</v>
      </c>
    </row>
    <row r="141" spans="1:51" x14ac:dyDescent="0.2">
      <c r="A141" s="2" t="s">
        <v>425</v>
      </c>
      <c r="B141" s="2" t="s">
        <v>426</v>
      </c>
      <c r="C141" s="2" t="s">
        <v>427</v>
      </c>
      <c r="D141" s="2">
        <v>2012</v>
      </c>
      <c r="E141" s="2" t="s">
        <v>428</v>
      </c>
      <c r="F141" s="2" t="s">
        <v>362</v>
      </c>
      <c r="G141" s="2" t="s">
        <v>941</v>
      </c>
      <c r="H141" s="2" t="s">
        <v>409</v>
      </c>
      <c r="I141" s="2" t="s">
        <v>1779</v>
      </c>
      <c r="J141" s="2" t="s">
        <v>85</v>
      </c>
      <c r="K141" s="2" t="s">
        <v>38</v>
      </c>
      <c r="L141" s="2" t="s">
        <v>11</v>
      </c>
      <c r="M141" s="2" t="s">
        <v>14</v>
      </c>
      <c r="N141" s="2" t="s">
        <v>15</v>
      </c>
      <c r="O141" s="2">
        <v>1</v>
      </c>
      <c r="P141" s="2" t="s">
        <v>22</v>
      </c>
      <c r="Q141" s="2" t="s">
        <v>1832</v>
      </c>
      <c r="T141" s="2" t="s">
        <v>51</v>
      </c>
      <c r="U141" s="2" t="s">
        <v>53</v>
      </c>
      <c r="V141" s="2">
        <v>4</v>
      </c>
      <c r="X141" s="2">
        <v>100</v>
      </c>
      <c r="Y141" s="2">
        <v>28</v>
      </c>
      <c r="AB141" s="2">
        <v>489.92</v>
      </c>
      <c r="AC141" s="2">
        <v>8.25</v>
      </c>
      <c r="AD141" s="2">
        <v>401.42</v>
      </c>
      <c r="AE141" s="2">
        <v>14.63</v>
      </c>
      <c r="AF141" s="2" t="s">
        <v>74</v>
      </c>
      <c r="AG141" s="2" t="s">
        <v>65</v>
      </c>
      <c r="AH141" s="2" t="str">
        <f t="shared" si="4"/>
        <v>mean</v>
      </c>
      <c r="AR141" s="2" t="s">
        <v>849</v>
      </c>
      <c r="AS141" s="2" t="s">
        <v>849</v>
      </c>
      <c r="AU141" s="2" t="s">
        <v>1818</v>
      </c>
      <c r="AV141" s="2" t="s">
        <v>1830</v>
      </c>
      <c r="AW141" s="2" t="s">
        <v>1832</v>
      </c>
      <c r="AX141" s="2" t="s">
        <v>1821</v>
      </c>
      <c r="AY141" s="2" t="s">
        <v>79</v>
      </c>
    </row>
    <row r="142" spans="1:51" x14ac:dyDescent="0.2">
      <c r="A142" s="2" t="s">
        <v>431</v>
      </c>
      <c r="B142" s="2" t="s">
        <v>432</v>
      </c>
      <c r="D142" s="2">
        <v>2004</v>
      </c>
      <c r="E142" s="2" t="s">
        <v>430</v>
      </c>
      <c r="F142" s="2" t="s">
        <v>363</v>
      </c>
      <c r="G142" s="2" t="s">
        <v>942</v>
      </c>
      <c r="H142" s="2" t="s">
        <v>410</v>
      </c>
      <c r="I142" s="2" t="s">
        <v>433</v>
      </c>
      <c r="J142" s="2" t="s">
        <v>34</v>
      </c>
      <c r="K142" s="2" t="s">
        <v>38</v>
      </c>
      <c r="L142" s="2" t="s">
        <v>12</v>
      </c>
      <c r="P142" s="2" t="s">
        <v>22</v>
      </c>
      <c r="Q142" s="2" t="s">
        <v>30</v>
      </c>
      <c r="R142" s="2" t="s">
        <v>40</v>
      </c>
      <c r="S142" s="2" t="s">
        <v>45</v>
      </c>
      <c r="T142" s="2" t="s">
        <v>50</v>
      </c>
      <c r="U142" s="2" t="s">
        <v>52</v>
      </c>
      <c r="V142" s="2">
        <v>2482</v>
      </c>
      <c r="X142" s="2">
        <v>46</v>
      </c>
      <c r="Y142" s="2">
        <v>60</v>
      </c>
      <c r="AB142" s="2">
        <v>13.953488372093</v>
      </c>
      <c r="AC142" s="2">
        <v>10.087770576168101</v>
      </c>
      <c r="AD142" s="2">
        <v>7.0697674418604697</v>
      </c>
      <c r="AE142" s="2">
        <v>5.6782297533141399</v>
      </c>
      <c r="AF142" s="2" t="s">
        <v>74</v>
      </c>
      <c r="AG142" s="2" t="s">
        <v>64</v>
      </c>
      <c r="AH142" s="2" t="str">
        <f t="shared" si="4"/>
        <v>mean</v>
      </c>
      <c r="AR142" s="2" t="s">
        <v>849</v>
      </c>
      <c r="AS142" s="2" t="s">
        <v>849</v>
      </c>
      <c r="AU142" s="2" t="s">
        <v>1818</v>
      </c>
      <c r="AV142" s="2" t="s">
        <v>1819</v>
      </c>
      <c r="AW142" s="2" t="s">
        <v>1820</v>
      </c>
      <c r="AX142" s="2" t="s">
        <v>1821</v>
      </c>
      <c r="AY142" s="2" t="s">
        <v>79</v>
      </c>
    </row>
    <row r="143" spans="1:51" x14ac:dyDescent="0.2">
      <c r="A143" s="2" t="s">
        <v>431</v>
      </c>
      <c r="B143" s="2" t="s">
        <v>432</v>
      </c>
      <c r="D143" s="2">
        <v>2004</v>
      </c>
      <c r="E143" s="2" t="s">
        <v>430</v>
      </c>
      <c r="F143" s="2" t="s">
        <v>363</v>
      </c>
      <c r="G143" s="2" t="s">
        <v>943</v>
      </c>
      <c r="H143" s="2" t="s">
        <v>411</v>
      </c>
      <c r="I143" s="2" t="s">
        <v>433</v>
      </c>
      <c r="J143" s="2" t="s">
        <v>34</v>
      </c>
      <c r="K143" s="2" t="s">
        <v>38</v>
      </c>
      <c r="L143" s="2" t="s">
        <v>12</v>
      </c>
      <c r="P143" s="2" t="s">
        <v>22</v>
      </c>
      <c r="Q143" s="2" t="s">
        <v>30</v>
      </c>
      <c r="R143" s="2" t="s">
        <v>40</v>
      </c>
      <c r="S143" s="2" t="s">
        <v>42</v>
      </c>
      <c r="T143" s="2" t="s">
        <v>50</v>
      </c>
      <c r="U143" s="2" t="s">
        <v>52</v>
      </c>
      <c r="V143" s="2">
        <v>2482</v>
      </c>
      <c r="X143" s="2">
        <v>60</v>
      </c>
      <c r="Y143" s="2">
        <v>60</v>
      </c>
      <c r="AB143" s="2">
        <v>1.24031007751938E-2</v>
      </c>
      <c r="AC143" s="2">
        <v>2.4018501371828899E-2</v>
      </c>
      <c r="AD143" s="2">
        <v>1.2015503875969001E-2</v>
      </c>
      <c r="AE143" s="2">
        <v>5.4041628086615202E-2</v>
      </c>
      <c r="AF143" s="2" t="s">
        <v>74</v>
      </c>
      <c r="AG143" s="2" t="s">
        <v>64</v>
      </c>
      <c r="AH143" s="2" t="str">
        <f t="shared" si="4"/>
        <v>mean</v>
      </c>
      <c r="AR143" s="2" t="s">
        <v>849</v>
      </c>
      <c r="AS143" s="2" t="s">
        <v>849</v>
      </c>
      <c r="AU143" s="2" t="s">
        <v>1818</v>
      </c>
      <c r="AV143" s="2" t="s">
        <v>1819</v>
      </c>
      <c r="AW143" s="2" t="s">
        <v>1820</v>
      </c>
      <c r="AX143" s="2" t="s">
        <v>1821</v>
      </c>
      <c r="AY143" s="2" t="s">
        <v>79</v>
      </c>
    </row>
    <row r="144" spans="1:51" x14ac:dyDescent="0.2">
      <c r="A144" s="2" t="s">
        <v>431</v>
      </c>
      <c r="B144" s="2" t="s">
        <v>432</v>
      </c>
      <c r="D144" s="2">
        <v>2004</v>
      </c>
      <c r="E144" s="2" t="s">
        <v>430</v>
      </c>
      <c r="F144" s="2" t="s">
        <v>363</v>
      </c>
      <c r="G144" s="2" t="s">
        <v>943</v>
      </c>
      <c r="H144" s="2" t="s">
        <v>412</v>
      </c>
      <c r="I144" s="2" t="s">
        <v>433</v>
      </c>
      <c r="J144" s="2" t="s">
        <v>34</v>
      </c>
      <c r="K144" s="2" t="s">
        <v>38</v>
      </c>
      <c r="L144" s="2" t="s">
        <v>12</v>
      </c>
      <c r="P144" s="2" t="s">
        <v>22</v>
      </c>
      <c r="Q144" s="2" t="s">
        <v>30</v>
      </c>
      <c r="R144" s="2" t="s">
        <v>40</v>
      </c>
      <c r="S144" s="2" t="s">
        <v>42</v>
      </c>
      <c r="T144" s="2" t="s">
        <v>50</v>
      </c>
      <c r="U144" s="2" t="s">
        <v>52</v>
      </c>
      <c r="V144" s="2">
        <v>2482</v>
      </c>
      <c r="X144" s="2">
        <v>46</v>
      </c>
      <c r="Y144" s="2">
        <v>60</v>
      </c>
      <c r="AB144" s="2">
        <v>1.24031007751938E-2</v>
      </c>
      <c r="AC144" s="2">
        <v>2.4018501371828899E-2</v>
      </c>
      <c r="AD144" s="2">
        <v>4.2635658914729098E-3</v>
      </c>
      <c r="AE144" s="2">
        <v>7.8864302129363403E-3</v>
      </c>
      <c r="AF144" s="2" t="s">
        <v>74</v>
      </c>
      <c r="AG144" s="2" t="s">
        <v>64</v>
      </c>
      <c r="AH144" s="2" t="str">
        <f t="shared" si="4"/>
        <v>mean</v>
      </c>
      <c r="AR144" s="2" t="s">
        <v>849</v>
      </c>
      <c r="AS144" s="2" t="s">
        <v>849</v>
      </c>
      <c r="AU144" s="2" t="s">
        <v>1818</v>
      </c>
      <c r="AV144" s="2" t="s">
        <v>1819</v>
      </c>
      <c r="AW144" s="2" t="s">
        <v>1820</v>
      </c>
      <c r="AX144" s="2" t="s">
        <v>1821</v>
      </c>
      <c r="AY144" s="2" t="s">
        <v>79</v>
      </c>
    </row>
    <row r="145" spans="1:51" x14ac:dyDescent="0.2">
      <c r="A145" s="2" t="s">
        <v>431</v>
      </c>
      <c r="B145" s="2" t="s">
        <v>432</v>
      </c>
      <c r="D145" s="2">
        <v>2004</v>
      </c>
      <c r="E145" s="2" t="s">
        <v>430</v>
      </c>
      <c r="F145" s="2" t="s">
        <v>363</v>
      </c>
      <c r="G145" s="2" t="s">
        <v>944</v>
      </c>
      <c r="H145" s="2" t="s">
        <v>413</v>
      </c>
      <c r="I145" s="2" t="s">
        <v>433</v>
      </c>
      <c r="J145" s="2" t="s">
        <v>34</v>
      </c>
      <c r="K145" s="2" t="s">
        <v>38</v>
      </c>
      <c r="L145" s="2" t="s">
        <v>12</v>
      </c>
      <c r="P145" s="2" t="s">
        <v>22</v>
      </c>
      <c r="Q145" s="2" t="s">
        <v>30</v>
      </c>
      <c r="R145" s="2" t="s">
        <v>40</v>
      </c>
      <c r="S145" s="2" t="s">
        <v>43</v>
      </c>
      <c r="T145" s="2" t="s">
        <v>50</v>
      </c>
      <c r="U145" s="2" t="s">
        <v>52</v>
      </c>
      <c r="V145" s="2">
        <v>2482</v>
      </c>
      <c r="X145" s="2">
        <v>60</v>
      </c>
      <c r="Y145" s="2">
        <v>60</v>
      </c>
      <c r="AB145" s="2">
        <v>1.46511627906977</v>
      </c>
      <c r="AC145" s="2">
        <v>1.8374153549449099</v>
      </c>
      <c r="AD145" s="2">
        <v>1.01860465116279</v>
      </c>
      <c r="AE145" s="2">
        <v>1.94549861111815</v>
      </c>
      <c r="AF145" s="2" t="s">
        <v>74</v>
      </c>
      <c r="AG145" s="2" t="s">
        <v>64</v>
      </c>
      <c r="AH145" s="2" t="str">
        <f t="shared" si="4"/>
        <v>mean</v>
      </c>
      <c r="AR145" s="2" t="s">
        <v>849</v>
      </c>
      <c r="AS145" s="2" t="s">
        <v>849</v>
      </c>
      <c r="AU145" s="2" t="s">
        <v>1818</v>
      </c>
      <c r="AV145" s="2" t="s">
        <v>1819</v>
      </c>
      <c r="AW145" s="2" t="s">
        <v>1820</v>
      </c>
      <c r="AX145" s="2" t="s">
        <v>1821</v>
      </c>
      <c r="AY145" s="2" t="s">
        <v>79</v>
      </c>
    </row>
    <row r="146" spans="1:51" x14ac:dyDescent="0.2">
      <c r="A146" s="2" t="s">
        <v>431</v>
      </c>
      <c r="B146" s="2" t="s">
        <v>432</v>
      </c>
      <c r="D146" s="2">
        <v>2004</v>
      </c>
      <c r="E146" s="2" t="s">
        <v>430</v>
      </c>
      <c r="F146" s="2" t="s">
        <v>363</v>
      </c>
      <c r="G146" s="2" t="s">
        <v>944</v>
      </c>
      <c r="H146" s="2" t="s">
        <v>414</v>
      </c>
      <c r="I146" s="2" t="s">
        <v>433</v>
      </c>
      <c r="J146" s="2" t="s">
        <v>34</v>
      </c>
      <c r="K146" s="2" t="s">
        <v>38</v>
      </c>
      <c r="L146" s="2" t="s">
        <v>12</v>
      </c>
      <c r="P146" s="2" t="s">
        <v>22</v>
      </c>
      <c r="Q146" s="2" t="s">
        <v>30</v>
      </c>
      <c r="R146" s="2" t="s">
        <v>40</v>
      </c>
      <c r="S146" s="2" t="s">
        <v>43</v>
      </c>
      <c r="T146" s="2" t="s">
        <v>50</v>
      </c>
      <c r="U146" s="2" t="s">
        <v>52</v>
      </c>
      <c r="V146" s="2">
        <v>2482</v>
      </c>
      <c r="X146" s="2">
        <v>46</v>
      </c>
      <c r="Y146" s="2">
        <v>60</v>
      </c>
      <c r="AB146" s="2">
        <v>1.46511627906977</v>
      </c>
      <c r="AC146" s="2">
        <v>1.8374153549449099</v>
      </c>
      <c r="AD146" s="2">
        <v>0.334883720930233</v>
      </c>
      <c r="AE146" s="2">
        <v>1.3249202757733101</v>
      </c>
      <c r="AF146" s="2" t="s">
        <v>74</v>
      </c>
      <c r="AG146" s="2" t="s">
        <v>64</v>
      </c>
      <c r="AH146" s="2" t="str">
        <f t="shared" si="4"/>
        <v>mean</v>
      </c>
      <c r="AR146" s="2" t="s">
        <v>849</v>
      </c>
      <c r="AS146" s="2" t="s">
        <v>849</v>
      </c>
      <c r="AU146" s="2" t="s">
        <v>1818</v>
      </c>
      <c r="AV146" s="2" t="s">
        <v>1819</v>
      </c>
      <c r="AW146" s="2" t="s">
        <v>1820</v>
      </c>
      <c r="AX146" s="2" t="s">
        <v>1821</v>
      </c>
      <c r="AY146" s="2" t="s">
        <v>79</v>
      </c>
    </row>
    <row r="147" spans="1:51" x14ac:dyDescent="0.2">
      <c r="A147" s="2" t="s">
        <v>431</v>
      </c>
      <c r="B147" s="2" t="s">
        <v>432</v>
      </c>
      <c r="D147" s="2">
        <v>2004</v>
      </c>
      <c r="E147" s="2" t="s">
        <v>430</v>
      </c>
      <c r="F147" s="2" t="s">
        <v>363</v>
      </c>
      <c r="G147" s="2" t="s">
        <v>945</v>
      </c>
      <c r="H147" s="2" t="s">
        <v>420</v>
      </c>
      <c r="I147" s="2" t="s">
        <v>433</v>
      </c>
      <c r="J147" s="2" t="s">
        <v>34</v>
      </c>
      <c r="K147" s="2" t="s">
        <v>38</v>
      </c>
      <c r="L147" s="2" t="s">
        <v>12</v>
      </c>
      <c r="P147" s="2" t="s">
        <v>22</v>
      </c>
      <c r="Q147" s="2" t="s">
        <v>30</v>
      </c>
      <c r="R147" s="2" t="s">
        <v>41</v>
      </c>
      <c r="S147" s="2" t="s">
        <v>46</v>
      </c>
      <c r="T147" s="2" t="s">
        <v>50</v>
      </c>
      <c r="U147" s="2" t="s">
        <v>52</v>
      </c>
      <c r="V147" s="2">
        <v>2482</v>
      </c>
      <c r="X147" s="2">
        <v>60</v>
      </c>
      <c r="Y147" s="2">
        <v>60</v>
      </c>
      <c r="AB147" s="2">
        <v>104.318181818182</v>
      </c>
      <c r="AC147" s="2">
        <v>24.939665486941699</v>
      </c>
      <c r="AD147" s="2">
        <v>105.265151515151</v>
      </c>
      <c r="AE147" s="2">
        <v>22.005587194360299</v>
      </c>
      <c r="AF147" s="2" t="s">
        <v>74</v>
      </c>
      <c r="AG147" s="2" t="s">
        <v>64</v>
      </c>
      <c r="AH147" s="2" t="str">
        <f t="shared" si="4"/>
        <v>mean</v>
      </c>
      <c r="AR147" s="2" t="s">
        <v>849</v>
      </c>
      <c r="AS147" s="2" t="s">
        <v>849</v>
      </c>
      <c r="AU147" s="2" t="s">
        <v>1818</v>
      </c>
      <c r="AV147" s="2" t="s">
        <v>1819</v>
      </c>
      <c r="AW147" s="2" t="s">
        <v>1820</v>
      </c>
      <c r="AX147" s="2" t="s">
        <v>1821</v>
      </c>
      <c r="AY147" s="2" t="s">
        <v>79</v>
      </c>
    </row>
    <row r="148" spans="1:51" x14ac:dyDescent="0.2">
      <c r="A148" s="2" t="s">
        <v>431</v>
      </c>
      <c r="B148" s="2" t="s">
        <v>432</v>
      </c>
      <c r="D148" s="2">
        <v>2004</v>
      </c>
      <c r="E148" s="2" t="s">
        <v>430</v>
      </c>
      <c r="F148" s="2" t="s">
        <v>363</v>
      </c>
      <c r="G148" s="2" t="s">
        <v>945</v>
      </c>
      <c r="H148" s="2" t="s">
        <v>429</v>
      </c>
      <c r="I148" s="2" t="s">
        <v>433</v>
      </c>
      <c r="J148" s="2" t="s">
        <v>34</v>
      </c>
      <c r="K148" s="2" t="s">
        <v>38</v>
      </c>
      <c r="L148" s="2" t="s">
        <v>12</v>
      </c>
      <c r="P148" s="2" t="s">
        <v>22</v>
      </c>
      <c r="Q148" s="2" t="s">
        <v>30</v>
      </c>
      <c r="R148" s="2" t="s">
        <v>41</v>
      </c>
      <c r="S148" s="2" t="s">
        <v>46</v>
      </c>
      <c r="T148" s="2" t="s">
        <v>50</v>
      </c>
      <c r="U148" s="2" t="s">
        <v>52</v>
      </c>
      <c r="V148" s="2">
        <v>2482</v>
      </c>
      <c r="X148" s="2">
        <v>46</v>
      </c>
      <c r="Y148" s="2">
        <v>60</v>
      </c>
      <c r="AB148" s="2">
        <v>104.318181818182</v>
      </c>
      <c r="AC148" s="2">
        <v>24.939665486941699</v>
      </c>
      <c r="AD148" s="2">
        <v>87.462121212121104</v>
      </c>
      <c r="AE148" s="2">
        <v>17.983450712832202</v>
      </c>
      <c r="AF148" s="2" t="s">
        <v>74</v>
      </c>
      <c r="AG148" s="2" t="s">
        <v>64</v>
      </c>
      <c r="AH148" s="2" t="str">
        <f t="shared" si="4"/>
        <v>mean</v>
      </c>
      <c r="AR148" s="2" t="s">
        <v>849</v>
      </c>
      <c r="AS148" s="2" t="s">
        <v>849</v>
      </c>
      <c r="AU148" s="2" t="s">
        <v>1818</v>
      </c>
      <c r="AV148" s="2" t="s">
        <v>1819</v>
      </c>
      <c r="AW148" s="2" t="s">
        <v>1820</v>
      </c>
      <c r="AX148" s="2" t="s">
        <v>1821</v>
      </c>
      <c r="AY148" s="2" t="s">
        <v>79</v>
      </c>
    </row>
    <row r="149" spans="1:51" x14ac:dyDescent="0.2">
      <c r="A149" s="2" t="s">
        <v>434</v>
      </c>
      <c r="B149" s="2" t="s">
        <v>435</v>
      </c>
      <c r="C149" s="2" t="s">
        <v>436</v>
      </c>
      <c r="D149" s="2">
        <v>2010</v>
      </c>
      <c r="E149" s="2" t="s">
        <v>437</v>
      </c>
      <c r="F149" s="2" t="s">
        <v>438</v>
      </c>
      <c r="G149" s="2" t="s">
        <v>946</v>
      </c>
      <c r="H149" s="2" t="s">
        <v>439</v>
      </c>
      <c r="I149" s="2" t="s">
        <v>440</v>
      </c>
      <c r="J149" s="2" t="s">
        <v>34</v>
      </c>
      <c r="K149" s="2" t="s">
        <v>37</v>
      </c>
      <c r="P149" s="2" t="s">
        <v>23</v>
      </c>
      <c r="Q149" s="2" t="s">
        <v>81</v>
      </c>
      <c r="R149" s="2" t="s">
        <v>40</v>
      </c>
      <c r="S149" s="2" t="s">
        <v>43</v>
      </c>
      <c r="T149" s="2" t="s">
        <v>50</v>
      </c>
      <c r="U149" s="2" t="s">
        <v>54</v>
      </c>
      <c r="V149" s="2">
        <v>833</v>
      </c>
      <c r="AH149" s="2" t="s">
        <v>83</v>
      </c>
      <c r="AN149" s="2">
        <v>30</v>
      </c>
      <c r="AP149" s="2">
        <v>0.21</v>
      </c>
      <c r="AQ149" s="2">
        <v>1</v>
      </c>
      <c r="AR149" s="2" t="s">
        <v>849</v>
      </c>
      <c r="AS149" s="2" t="s">
        <v>849</v>
      </c>
      <c r="AT149" s="2" t="s">
        <v>2284</v>
      </c>
      <c r="AU149" s="2" t="s">
        <v>1818</v>
      </c>
      <c r="AV149" s="2" t="s">
        <v>1830</v>
      </c>
      <c r="AW149" s="2" t="s">
        <v>1820</v>
      </c>
      <c r="AX149" s="2" t="s">
        <v>1821</v>
      </c>
      <c r="AY149" s="2" t="s">
        <v>79</v>
      </c>
    </row>
    <row r="150" spans="1:51" x14ac:dyDescent="0.2">
      <c r="A150" s="2" t="s">
        <v>441</v>
      </c>
      <c r="B150" s="2" t="s">
        <v>442</v>
      </c>
      <c r="C150" s="2" t="s">
        <v>443</v>
      </c>
      <c r="D150" s="2">
        <v>2008</v>
      </c>
      <c r="E150" s="2" t="s">
        <v>444</v>
      </c>
      <c r="F150" s="2" t="s">
        <v>445</v>
      </c>
      <c r="G150" s="2" t="s">
        <v>947</v>
      </c>
      <c r="H150" s="2" t="s">
        <v>446</v>
      </c>
      <c r="I150" s="2" t="s">
        <v>1780</v>
      </c>
      <c r="J150" s="2" t="s">
        <v>34</v>
      </c>
      <c r="K150" s="2" t="s">
        <v>38</v>
      </c>
      <c r="L150" s="2" t="s">
        <v>12</v>
      </c>
      <c r="P150" s="2" t="s">
        <v>22</v>
      </c>
      <c r="Q150" s="2" t="s">
        <v>30</v>
      </c>
      <c r="R150" s="2" t="s">
        <v>41</v>
      </c>
      <c r="S150" s="2" t="s">
        <v>44</v>
      </c>
      <c r="T150" s="2" t="s">
        <v>50</v>
      </c>
      <c r="U150" s="2" t="s">
        <v>54</v>
      </c>
      <c r="V150" s="2">
        <v>812</v>
      </c>
      <c r="X150" s="2">
        <v>77</v>
      </c>
      <c r="Y150" s="2">
        <v>72</v>
      </c>
      <c r="Z150" s="2">
        <v>45</v>
      </c>
      <c r="AA150" s="2">
        <v>38</v>
      </c>
      <c r="AH150" s="2" t="s">
        <v>1804</v>
      </c>
      <c r="AR150" s="2" t="s">
        <v>849</v>
      </c>
      <c r="AS150" s="2" t="s">
        <v>849</v>
      </c>
      <c r="AU150" s="2" t="s">
        <v>1818</v>
      </c>
      <c r="AV150" s="2" t="s">
        <v>1830</v>
      </c>
      <c r="AW150" s="2" t="s">
        <v>1820</v>
      </c>
      <c r="AX150" s="2" t="s">
        <v>1821</v>
      </c>
      <c r="AY150" s="2" t="s">
        <v>79</v>
      </c>
    </row>
    <row r="151" spans="1:51" x14ac:dyDescent="0.2">
      <c r="A151" s="2" t="s">
        <v>441</v>
      </c>
      <c r="B151" s="2" t="s">
        <v>442</v>
      </c>
      <c r="C151" s="2" t="s">
        <v>443</v>
      </c>
      <c r="D151" s="2">
        <v>2008</v>
      </c>
      <c r="E151" s="2" t="s">
        <v>444</v>
      </c>
      <c r="F151" s="2" t="s">
        <v>445</v>
      </c>
      <c r="G151" s="2" t="s">
        <v>948</v>
      </c>
      <c r="H151" s="2" t="s">
        <v>447</v>
      </c>
      <c r="I151" s="2" t="s">
        <v>1780</v>
      </c>
      <c r="J151" s="2" t="s">
        <v>34</v>
      </c>
      <c r="K151" s="2" t="s">
        <v>38</v>
      </c>
      <c r="L151" s="2" t="s">
        <v>12</v>
      </c>
      <c r="P151" s="2" t="s">
        <v>22</v>
      </c>
      <c r="Q151" s="2" t="s">
        <v>30</v>
      </c>
      <c r="R151" s="2" t="s">
        <v>40</v>
      </c>
      <c r="S151" s="2" t="s">
        <v>43</v>
      </c>
      <c r="T151" s="2" t="s">
        <v>50</v>
      </c>
      <c r="U151" s="2" t="s">
        <v>52</v>
      </c>
      <c r="V151" s="2">
        <v>813</v>
      </c>
      <c r="X151" s="2">
        <v>30</v>
      </c>
      <c r="Y151" s="2">
        <v>36</v>
      </c>
      <c r="AB151" s="2">
        <v>7.9687499999999995E-4</v>
      </c>
      <c r="AC151" s="2">
        <v>2.2593555497088099E-4</v>
      </c>
      <c r="AD151" s="2">
        <v>7.9874999999999998E-4</v>
      </c>
      <c r="AE151" s="2">
        <v>2.8124999999999998E-4</v>
      </c>
      <c r="AF151" s="2" t="s">
        <v>74</v>
      </c>
      <c r="AG151" s="2" t="s">
        <v>64</v>
      </c>
      <c r="AH151" s="2" t="str">
        <f>IF(AF151="mean", "mean", "")</f>
        <v>mean</v>
      </c>
      <c r="AR151" s="2" t="s">
        <v>849</v>
      </c>
      <c r="AS151" s="2" t="s">
        <v>849</v>
      </c>
      <c r="AU151" s="2" t="s">
        <v>1818</v>
      </c>
      <c r="AV151" s="2" t="s">
        <v>1830</v>
      </c>
      <c r="AW151" s="2" t="s">
        <v>1820</v>
      </c>
      <c r="AX151" s="2" t="s">
        <v>1821</v>
      </c>
      <c r="AY151" s="2" t="s">
        <v>79</v>
      </c>
    </row>
    <row r="152" spans="1:51" x14ac:dyDescent="0.2">
      <c r="A152" s="2" t="s">
        <v>441</v>
      </c>
      <c r="B152" s="2" t="s">
        <v>442</v>
      </c>
      <c r="C152" s="2" t="s">
        <v>443</v>
      </c>
      <c r="D152" s="2">
        <v>2008</v>
      </c>
      <c r="E152" s="2" t="s">
        <v>444</v>
      </c>
      <c r="F152" s="2" t="s">
        <v>445</v>
      </c>
      <c r="G152" s="2" t="s">
        <v>948</v>
      </c>
      <c r="H152" s="2" t="s">
        <v>448</v>
      </c>
      <c r="I152" s="2" t="s">
        <v>1780</v>
      </c>
      <c r="J152" s="2" t="s">
        <v>34</v>
      </c>
      <c r="K152" s="2" t="s">
        <v>38</v>
      </c>
      <c r="L152" s="2" t="s">
        <v>12</v>
      </c>
      <c r="P152" s="2" t="s">
        <v>22</v>
      </c>
      <c r="Q152" s="2" t="s">
        <v>30</v>
      </c>
      <c r="R152" s="2" t="s">
        <v>40</v>
      </c>
      <c r="S152" s="2" t="s">
        <v>42</v>
      </c>
      <c r="T152" s="2" t="s">
        <v>50</v>
      </c>
      <c r="U152" s="2" t="s">
        <v>52</v>
      </c>
      <c r="V152" s="2">
        <v>813</v>
      </c>
      <c r="X152" s="2">
        <v>32</v>
      </c>
      <c r="Y152" s="2">
        <v>31</v>
      </c>
      <c r="AB152" s="2">
        <v>1.8900000000000001E-4</v>
      </c>
      <c r="AC152" s="3">
        <v>7.6367532368147202E-5</v>
      </c>
      <c r="AD152" s="2">
        <v>1.785E-4</v>
      </c>
      <c r="AE152" s="3">
        <v>8.3516465442450198E-5</v>
      </c>
      <c r="AF152" s="2" t="s">
        <v>74</v>
      </c>
      <c r="AG152" s="2" t="s">
        <v>64</v>
      </c>
      <c r="AH152" s="2" t="str">
        <f>IF(AF152="mean", "mean", "")</f>
        <v>mean</v>
      </c>
      <c r="AR152" s="2" t="s">
        <v>849</v>
      </c>
      <c r="AS152" s="2" t="s">
        <v>849</v>
      </c>
      <c r="AU152" s="2" t="s">
        <v>1818</v>
      </c>
      <c r="AV152" s="2" t="s">
        <v>1830</v>
      </c>
      <c r="AW152" s="2" t="s">
        <v>1820</v>
      </c>
      <c r="AX152" s="2" t="s">
        <v>1821</v>
      </c>
      <c r="AY152" s="2" t="s">
        <v>79</v>
      </c>
    </row>
    <row r="153" spans="1:51" x14ac:dyDescent="0.2">
      <c r="A153" s="2" t="s">
        <v>441</v>
      </c>
      <c r="B153" s="2" t="s">
        <v>442</v>
      </c>
      <c r="C153" s="2" t="s">
        <v>443</v>
      </c>
      <c r="D153" s="2">
        <v>2008</v>
      </c>
      <c r="E153" s="2" t="s">
        <v>444</v>
      </c>
      <c r="F153" s="2" t="s">
        <v>445</v>
      </c>
      <c r="G153" s="2" t="s">
        <v>948</v>
      </c>
      <c r="H153" s="2" t="s">
        <v>449</v>
      </c>
      <c r="I153" s="2" t="s">
        <v>1780</v>
      </c>
      <c r="J153" s="2" t="s">
        <v>34</v>
      </c>
      <c r="K153" s="2" t="s">
        <v>38</v>
      </c>
      <c r="L153" s="2" t="s">
        <v>12</v>
      </c>
      <c r="P153" s="2" t="s">
        <v>22</v>
      </c>
      <c r="Q153" s="2" t="s">
        <v>30</v>
      </c>
      <c r="R153" s="2" t="s">
        <v>41</v>
      </c>
      <c r="S153" s="2" t="s">
        <v>46</v>
      </c>
      <c r="T153" s="2" t="s">
        <v>50</v>
      </c>
      <c r="U153" s="2" t="s">
        <v>52</v>
      </c>
      <c r="V153" s="2">
        <v>813</v>
      </c>
      <c r="X153" s="2">
        <v>32</v>
      </c>
      <c r="Y153" s="2">
        <v>36</v>
      </c>
      <c r="AB153" s="2">
        <v>223.65217391304299</v>
      </c>
      <c r="AC153" s="2">
        <v>7.8704059123372598</v>
      </c>
      <c r="AD153" s="2">
        <v>224.173913043478</v>
      </c>
      <c r="AE153" s="2">
        <v>10.956521739130499</v>
      </c>
      <c r="AF153" s="2" t="s">
        <v>74</v>
      </c>
      <c r="AG153" s="2" t="s">
        <v>64</v>
      </c>
      <c r="AH153" s="2" t="str">
        <f>IF(AF153="mean", "mean", "")</f>
        <v>mean</v>
      </c>
      <c r="AR153" s="2" t="s">
        <v>849</v>
      </c>
      <c r="AS153" s="2" t="s">
        <v>849</v>
      </c>
      <c r="AU153" s="2" t="s">
        <v>1818</v>
      </c>
      <c r="AV153" s="2" t="s">
        <v>1830</v>
      </c>
      <c r="AW153" s="2" t="s">
        <v>1820</v>
      </c>
      <c r="AX153" s="2" t="s">
        <v>1821</v>
      </c>
      <c r="AY153" s="2" t="s">
        <v>79</v>
      </c>
    </row>
    <row r="154" spans="1:51" x14ac:dyDescent="0.2">
      <c r="A154" s="2" t="s">
        <v>441</v>
      </c>
      <c r="B154" s="2" t="s">
        <v>442</v>
      </c>
      <c r="C154" s="2" t="s">
        <v>443</v>
      </c>
      <c r="D154" s="2">
        <v>2008</v>
      </c>
      <c r="E154" s="2" t="s">
        <v>444</v>
      </c>
      <c r="F154" s="2" t="s">
        <v>445</v>
      </c>
      <c r="G154" s="2" t="s">
        <v>949</v>
      </c>
      <c r="H154" s="2" t="s">
        <v>450</v>
      </c>
      <c r="I154" s="2" t="s">
        <v>1780</v>
      </c>
      <c r="J154" s="2" t="s">
        <v>34</v>
      </c>
      <c r="K154" s="2" t="s">
        <v>37</v>
      </c>
      <c r="P154" s="2" t="s">
        <v>22</v>
      </c>
      <c r="Q154" s="2" t="s">
        <v>30</v>
      </c>
      <c r="R154" s="2" t="s">
        <v>40</v>
      </c>
      <c r="S154" s="2" t="s">
        <v>43</v>
      </c>
      <c r="T154" s="2" t="s">
        <v>50</v>
      </c>
      <c r="U154" s="2" t="s">
        <v>52</v>
      </c>
      <c r="V154" s="2">
        <v>814</v>
      </c>
      <c r="AH154" s="2" t="s">
        <v>4</v>
      </c>
      <c r="AN154" s="2">
        <v>58</v>
      </c>
      <c r="AO154" s="2">
        <v>-0.10298</v>
      </c>
      <c r="AR154" s="2" t="s">
        <v>849</v>
      </c>
      <c r="AS154" s="2" t="s">
        <v>849</v>
      </c>
      <c r="AU154" s="2" t="s">
        <v>1818</v>
      </c>
      <c r="AV154" s="2" t="s">
        <v>1830</v>
      </c>
      <c r="AW154" s="2" t="s">
        <v>1820</v>
      </c>
      <c r="AX154" s="2" t="s">
        <v>1821</v>
      </c>
      <c r="AY154" s="2" t="s">
        <v>79</v>
      </c>
    </row>
    <row r="155" spans="1:51" x14ac:dyDescent="0.2">
      <c r="A155" s="2" t="s">
        <v>441</v>
      </c>
      <c r="B155" s="2" t="s">
        <v>442</v>
      </c>
      <c r="C155" s="2" t="s">
        <v>443</v>
      </c>
      <c r="D155" s="2">
        <v>2008</v>
      </c>
      <c r="E155" s="2" t="s">
        <v>444</v>
      </c>
      <c r="F155" s="2" t="s">
        <v>445</v>
      </c>
      <c r="G155" s="2" t="s">
        <v>949</v>
      </c>
      <c r="H155" s="2" t="s">
        <v>451</v>
      </c>
      <c r="I155" s="2" t="s">
        <v>1780</v>
      </c>
      <c r="J155" s="2" t="s">
        <v>34</v>
      </c>
      <c r="K155" s="2" t="s">
        <v>37</v>
      </c>
      <c r="P155" s="2" t="s">
        <v>22</v>
      </c>
      <c r="Q155" s="2" t="s">
        <v>30</v>
      </c>
      <c r="R155" s="2" t="s">
        <v>40</v>
      </c>
      <c r="S155" s="2" t="s">
        <v>42</v>
      </c>
      <c r="T155" s="2" t="s">
        <v>50</v>
      </c>
      <c r="U155" s="2" t="s">
        <v>52</v>
      </c>
      <c r="V155" s="2">
        <v>814</v>
      </c>
      <c r="AH155" s="2" t="s">
        <v>4</v>
      </c>
      <c r="AN155" s="2">
        <v>57</v>
      </c>
      <c r="AO155" s="2">
        <v>0.20337218338135701</v>
      </c>
      <c r="AR155" s="2" t="s">
        <v>849</v>
      </c>
      <c r="AS155" s="2" t="s">
        <v>849</v>
      </c>
      <c r="AU155" s="2" t="s">
        <v>1818</v>
      </c>
      <c r="AV155" s="2" t="s">
        <v>1830</v>
      </c>
      <c r="AW155" s="2" t="s">
        <v>1820</v>
      </c>
      <c r="AX155" s="2" t="s">
        <v>1821</v>
      </c>
      <c r="AY155" s="2" t="s">
        <v>79</v>
      </c>
    </row>
    <row r="156" spans="1:51" x14ac:dyDescent="0.2">
      <c r="A156" s="2" t="s">
        <v>441</v>
      </c>
      <c r="B156" s="2" t="s">
        <v>442</v>
      </c>
      <c r="C156" s="2" t="s">
        <v>443</v>
      </c>
      <c r="D156" s="2">
        <v>2008</v>
      </c>
      <c r="E156" s="2" t="s">
        <v>444</v>
      </c>
      <c r="F156" s="2" t="s">
        <v>445</v>
      </c>
      <c r="G156" s="2" t="s">
        <v>949</v>
      </c>
      <c r="H156" s="2" t="s">
        <v>452</v>
      </c>
      <c r="I156" s="2" t="s">
        <v>1780</v>
      </c>
      <c r="J156" s="2" t="s">
        <v>34</v>
      </c>
      <c r="K156" s="2" t="s">
        <v>37</v>
      </c>
      <c r="P156" s="2" t="s">
        <v>22</v>
      </c>
      <c r="Q156" s="2" t="s">
        <v>30</v>
      </c>
      <c r="R156" s="2" t="s">
        <v>41</v>
      </c>
      <c r="S156" s="2" t="s">
        <v>46</v>
      </c>
      <c r="T156" s="2" t="s">
        <v>50</v>
      </c>
      <c r="U156" s="2" t="s">
        <v>52</v>
      </c>
      <c r="V156" s="2">
        <v>814</v>
      </c>
      <c r="AH156" s="2" t="s">
        <v>4</v>
      </c>
      <c r="AN156" s="2">
        <v>58</v>
      </c>
      <c r="AO156" s="2">
        <v>0.17909756276057601</v>
      </c>
      <c r="AR156" s="2" t="s">
        <v>849</v>
      </c>
      <c r="AS156" s="2" t="s">
        <v>849</v>
      </c>
      <c r="AU156" s="2" t="s">
        <v>1818</v>
      </c>
      <c r="AV156" s="2" t="s">
        <v>1830</v>
      </c>
      <c r="AW156" s="2" t="s">
        <v>1820</v>
      </c>
      <c r="AX156" s="2" t="s">
        <v>1821</v>
      </c>
      <c r="AY156" s="2" t="s">
        <v>79</v>
      </c>
    </row>
    <row r="157" spans="1:51" x14ac:dyDescent="0.2">
      <c r="A157" s="2" t="s">
        <v>453</v>
      </c>
      <c r="B157" s="2" t="s">
        <v>454</v>
      </c>
      <c r="D157" s="2">
        <v>2017</v>
      </c>
      <c r="E157" s="2" t="s">
        <v>455</v>
      </c>
      <c r="F157" s="2" t="s">
        <v>456</v>
      </c>
      <c r="G157" s="2" t="s">
        <v>950</v>
      </c>
      <c r="H157" s="2" t="s">
        <v>457</v>
      </c>
      <c r="I157" s="2" t="s">
        <v>1171</v>
      </c>
      <c r="J157" s="2" t="s">
        <v>85</v>
      </c>
      <c r="K157" s="2" t="s">
        <v>37</v>
      </c>
      <c r="P157" s="2" t="s">
        <v>22</v>
      </c>
      <c r="Q157" s="2" t="s">
        <v>30</v>
      </c>
      <c r="R157" s="2" t="s">
        <v>40</v>
      </c>
      <c r="S157" s="2" t="s">
        <v>42</v>
      </c>
      <c r="T157" s="2" t="s">
        <v>50</v>
      </c>
      <c r="U157" s="2" t="s">
        <v>53</v>
      </c>
      <c r="V157" s="2">
        <v>167</v>
      </c>
      <c r="W157" s="2">
        <v>1</v>
      </c>
      <c r="X157" s="2">
        <v>90</v>
      </c>
      <c r="Y157" s="2">
        <v>90</v>
      </c>
      <c r="AB157" s="2">
        <v>4.51</v>
      </c>
      <c r="AC157" s="2">
        <v>2.8</v>
      </c>
      <c r="AD157" s="2">
        <v>8.98</v>
      </c>
      <c r="AE157" s="2">
        <v>0.8</v>
      </c>
      <c r="AF157" s="2" t="s">
        <v>74</v>
      </c>
      <c r="AG157" s="2" t="s">
        <v>64</v>
      </c>
      <c r="AH157" s="2" t="str">
        <f>IF(AF157="mean", "mean", "")</f>
        <v>mean</v>
      </c>
      <c r="AR157" s="2" t="s">
        <v>849</v>
      </c>
      <c r="AS157" s="2" t="s">
        <v>849</v>
      </c>
      <c r="AU157" s="2" t="s">
        <v>1825</v>
      </c>
      <c r="AV157" s="2" t="s">
        <v>1822</v>
      </c>
      <c r="AW157" s="2" t="s">
        <v>1823</v>
      </c>
      <c r="AX157" s="2" t="s">
        <v>1821</v>
      </c>
      <c r="AY157" s="2" t="s">
        <v>79</v>
      </c>
    </row>
    <row r="158" spans="1:51" x14ac:dyDescent="0.2">
      <c r="A158" s="2" t="s">
        <v>464</v>
      </c>
      <c r="B158" s="2" t="s">
        <v>465</v>
      </c>
      <c r="C158" s="2" t="s">
        <v>466</v>
      </c>
      <c r="D158" s="2">
        <v>2016</v>
      </c>
      <c r="E158" s="2" t="s">
        <v>467</v>
      </c>
      <c r="F158" s="2" t="s">
        <v>468</v>
      </c>
      <c r="G158" s="2" t="s">
        <v>951</v>
      </c>
      <c r="H158" s="2" t="s">
        <v>458</v>
      </c>
      <c r="I158" s="2" t="s">
        <v>1175</v>
      </c>
      <c r="J158" s="2" t="s">
        <v>36</v>
      </c>
      <c r="K158" s="2" t="s">
        <v>38</v>
      </c>
      <c r="L158" s="2" t="s">
        <v>11</v>
      </c>
      <c r="M158" s="2" t="s">
        <v>14</v>
      </c>
      <c r="N158" s="2" t="s">
        <v>17</v>
      </c>
      <c r="O158" s="2">
        <v>1</v>
      </c>
      <c r="P158" s="2" t="s">
        <v>22</v>
      </c>
      <c r="Q158" s="2" t="s">
        <v>30</v>
      </c>
      <c r="T158" s="2" t="s">
        <v>50</v>
      </c>
      <c r="U158" s="2" t="s">
        <v>52</v>
      </c>
      <c r="V158" s="2">
        <v>100</v>
      </c>
      <c r="W158" s="2">
        <v>2</v>
      </c>
      <c r="X158" s="2">
        <v>20</v>
      </c>
      <c r="Y158" s="2">
        <v>20</v>
      </c>
      <c r="Z158" s="2">
        <v>9.4</v>
      </c>
      <c r="AA158" s="2">
        <v>10.6</v>
      </c>
      <c r="AH158" s="2" t="s">
        <v>1804</v>
      </c>
      <c r="AR158" s="2" t="s">
        <v>849</v>
      </c>
      <c r="AS158" s="2" t="s">
        <v>849</v>
      </c>
      <c r="AU158" s="2" t="s">
        <v>1827</v>
      </c>
      <c r="AV158" s="2" t="s">
        <v>1822</v>
      </c>
      <c r="AW158" s="2" t="s">
        <v>1823</v>
      </c>
      <c r="AY158" s="2" t="s">
        <v>1828</v>
      </c>
    </row>
    <row r="159" spans="1:51" x14ac:dyDescent="0.2">
      <c r="A159" s="2" t="s">
        <v>464</v>
      </c>
      <c r="B159" s="2" t="s">
        <v>465</v>
      </c>
      <c r="C159" s="2" t="s">
        <v>466</v>
      </c>
      <c r="D159" s="2">
        <v>2016</v>
      </c>
      <c r="E159" s="2" t="s">
        <v>467</v>
      </c>
      <c r="F159" s="2" t="s">
        <v>468</v>
      </c>
      <c r="G159" s="2" t="s">
        <v>952</v>
      </c>
      <c r="H159" s="2" t="s">
        <v>459</v>
      </c>
      <c r="I159" s="2" t="s">
        <v>1175</v>
      </c>
      <c r="J159" s="2" t="s">
        <v>36</v>
      </c>
      <c r="K159" s="2" t="s">
        <v>37</v>
      </c>
      <c r="P159" s="2" t="s">
        <v>22</v>
      </c>
      <c r="Q159" s="2" t="s">
        <v>28</v>
      </c>
      <c r="R159" s="2" t="s">
        <v>41</v>
      </c>
      <c r="S159" s="2" t="s">
        <v>46</v>
      </c>
      <c r="T159" s="2" t="s">
        <v>50</v>
      </c>
      <c r="U159" s="2" t="s">
        <v>52</v>
      </c>
      <c r="V159" s="2">
        <v>101</v>
      </c>
      <c r="W159" s="2">
        <v>6</v>
      </c>
      <c r="AH159" s="2" t="s">
        <v>4</v>
      </c>
      <c r="AN159" s="2">
        <v>21</v>
      </c>
      <c r="AO159" s="2">
        <v>0.46300000000000002</v>
      </c>
      <c r="AR159" s="2" t="s">
        <v>849</v>
      </c>
      <c r="AS159" s="2" t="s">
        <v>849</v>
      </c>
      <c r="AU159" s="2" t="s">
        <v>1827</v>
      </c>
      <c r="AV159" s="2" t="s">
        <v>1822</v>
      </c>
      <c r="AW159" s="2" t="s">
        <v>1823</v>
      </c>
      <c r="AY159" s="2" t="s">
        <v>1828</v>
      </c>
    </row>
    <row r="160" spans="1:51" x14ac:dyDescent="0.2">
      <c r="A160" s="2" t="s">
        <v>464</v>
      </c>
      <c r="B160" s="2" t="s">
        <v>465</v>
      </c>
      <c r="C160" s="2" t="s">
        <v>466</v>
      </c>
      <c r="D160" s="2">
        <v>2016</v>
      </c>
      <c r="E160" s="2" t="s">
        <v>467</v>
      </c>
      <c r="F160" s="2" t="s">
        <v>468</v>
      </c>
      <c r="G160" s="2" t="s">
        <v>952</v>
      </c>
      <c r="H160" s="2" t="s">
        <v>460</v>
      </c>
      <c r="I160" s="2" t="s">
        <v>1175</v>
      </c>
      <c r="J160" s="2" t="s">
        <v>36</v>
      </c>
      <c r="K160" s="2" t="s">
        <v>38</v>
      </c>
      <c r="L160" s="2" t="s">
        <v>12</v>
      </c>
      <c r="P160" s="2" t="s">
        <v>22</v>
      </c>
      <c r="Q160" s="2" t="s">
        <v>1056</v>
      </c>
      <c r="R160" s="2" t="s">
        <v>41</v>
      </c>
      <c r="S160" s="2" t="s">
        <v>46</v>
      </c>
      <c r="T160" s="2" t="s">
        <v>50</v>
      </c>
      <c r="U160" s="2" t="s">
        <v>52</v>
      </c>
      <c r="V160" s="2">
        <v>101</v>
      </c>
      <c r="W160" s="2">
        <v>7</v>
      </c>
      <c r="X160" s="2">
        <v>16</v>
      </c>
      <c r="Y160" s="2">
        <v>16</v>
      </c>
      <c r="AB160" s="2">
        <v>6.3086956521739099E-3</v>
      </c>
      <c r="AC160" s="2">
        <v>9.2173913043478199E-4</v>
      </c>
      <c r="AD160" s="2">
        <v>5.5956521739130398E-3</v>
      </c>
      <c r="AE160" s="2">
        <v>1.9130434782608699E-4</v>
      </c>
      <c r="AF160" s="2" t="s">
        <v>74</v>
      </c>
      <c r="AG160" s="2" t="s">
        <v>64</v>
      </c>
      <c r="AH160" s="2" t="str">
        <f>IF(AF160="mean", "mean", "")</f>
        <v>mean</v>
      </c>
      <c r="AR160" s="2" t="s">
        <v>849</v>
      </c>
      <c r="AS160" s="2" t="s">
        <v>849</v>
      </c>
      <c r="AU160" s="2" t="s">
        <v>1827</v>
      </c>
      <c r="AV160" s="2" t="s">
        <v>1822</v>
      </c>
      <c r="AW160" s="2" t="s">
        <v>1823</v>
      </c>
      <c r="AY160" s="2" t="s">
        <v>1828</v>
      </c>
    </row>
    <row r="161" spans="1:51" x14ac:dyDescent="0.2">
      <c r="A161" s="2" t="s">
        <v>471</v>
      </c>
      <c r="B161" s="2" t="s">
        <v>472</v>
      </c>
      <c r="C161" s="2" t="s">
        <v>473</v>
      </c>
      <c r="D161" s="2">
        <v>2010</v>
      </c>
      <c r="E161" s="2" t="s">
        <v>469</v>
      </c>
      <c r="F161" s="2" t="s">
        <v>470</v>
      </c>
      <c r="G161" s="2" t="s">
        <v>953</v>
      </c>
      <c r="H161" s="2" t="s">
        <v>461</v>
      </c>
      <c r="I161" s="2" t="s">
        <v>474</v>
      </c>
      <c r="J161" s="2" t="s">
        <v>32</v>
      </c>
      <c r="K161" s="2" t="s">
        <v>37</v>
      </c>
      <c r="P161" s="2" t="s">
        <v>22</v>
      </c>
      <c r="Q161" s="2" t="s">
        <v>28</v>
      </c>
      <c r="R161" s="2" t="s">
        <v>40</v>
      </c>
      <c r="S161" s="2" t="s">
        <v>42</v>
      </c>
      <c r="T161" s="2" t="s">
        <v>50</v>
      </c>
      <c r="U161" s="2" t="s">
        <v>52</v>
      </c>
      <c r="V161" s="2">
        <v>1298</v>
      </c>
      <c r="W161" s="2">
        <v>3</v>
      </c>
      <c r="AH161" s="2" t="s">
        <v>4</v>
      </c>
      <c r="AN161" s="2">
        <v>22</v>
      </c>
      <c r="AO161" s="2">
        <v>-0.56594283000000001</v>
      </c>
      <c r="AR161" s="2" t="s">
        <v>849</v>
      </c>
      <c r="AS161" s="2" t="s">
        <v>849</v>
      </c>
      <c r="AU161" s="2" t="s">
        <v>1818</v>
      </c>
      <c r="AV161" s="2" t="s">
        <v>1830</v>
      </c>
      <c r="AW161" s="2" t="s">
        <v>28</v>
      </c>
      <c r="AX161" s="2" t="s">
        <v>1829</v>
      </c>
      <c r="AY161" s="2" t="s">
        <v>79</v>
      </c>
    </row>
    <row r="162" spans="1:51" x14ac:dyDescent="0.2">
      <c r="A162" s="2" t="s">
        <v>471</v>
      </c>
      <c r="B162" s="2" t="s">
        <v>472</v>
      </c>
      <c r="C162" s="2" t="s">
        <v>473</v>
      </c>
      <c r="D162" s="2">
        <v>2010</v>
      </c>
      <c r="E162" s="2" t="s">
        <v>469</v>
      </c>
      <c r="F162" s="2" t="s">
        <v>483</v>
      </c>
      <c r="G162" s="2" t="s">
        <v>954</v>
      </c>
      <c r="H162" s="2" t="s">
        <v>462</v>
      </c>
      <c r="I162" s="2" t="s">
        <v>474</v>
      </c>
      <c r="J162" s="2" t="s">
        <v>32</v>
      </c>
      <c r="K162" s="2" t="s">
        <v>37</v>
      </c>
      <c r="P162" s="2" t="s">
        <v>22</v>
      </c>
      <c r="Q162" s="2" t="s">
        <v>28</v>
      </c>
      <c r="R162" s="2" t="s">
        <v>40</v>
      </c>
      <c r="S162" s="2" t="s">
        <v>42</v>
      </c>
      <c r="T162" s="2" t="s">
        <v>50</v>
      </c>
      <c r="U162" s="2" t="s">
        <v>52</v>
      </c>
      <c r="V162" s="2">
        <v>1298</v>
      </c>
      <c r="W162" s="2">
        <v>3</v>
      </c>
      <c r="AH162" s="2" t="s">
        <v>4</v>
      </c>
      <c r="AN162" s="2">
        <v>24</v>
      </c>
      <c r="AO162" s="2">
        <v>-8.3438189999999995E-2</v>
      </c>
      <c r="AR162" s="2" t="s">
        <v>849</v>
      </c>
      <c r="AS162" s="2" t="s">
        <v>849</v>
      </c>
      <c r="AU162" s="2" t="s">
        <v>1818</v>
      </c>
      <c r="AV162" s="2" t="s">
        <v>1830</v>
      </c>
      <c r="AW162" s="2" t="s">
        <v>28</v>
      </c>
      <c r="AX162" s="2" t="s">
        <v>1829</v>
      </c>
      <c r="AY162" s="2" t="s">
        <v>79</v>
      </c>
    </row>
    <row r="163" spans="1:51" x14ac:dyDescent="0.2">
      <c r="A163" s="2" t="s">
        <v>471</v>
      </c>
      <c r="B163" s="2" t="s">
        <v>472</v>
      </c>
      <c r="C163" s="2" t="s">
        <v>473</v>
      </c>
      <c r="D163" s="2">
        <v>2010</v>
      </c>
      <c r="E163" s="2" t="s">
        <v>469</v>
      </c>
      <c r="F163" s="2" t="s">
        <v>484</v>
      </c>
      <c r="G163" s="2" t="s">
        <v>955</v>
      </c>
      <c r="H163" s="2" t="s">
        <v>463</v>
      </c>
      <c r="I163" s="2" t="s">
        <v>1781</v>
      </c>
      <c r="J163" s="2" t="s">
        <v>32</v>
      </c>
      <c r="K163" s="2" t="s">
        <v>37</v>
      </c>
      <c r="P163" s="2" t="s">
        <v>22</v>
      </c>
      <c r="Q163" s="2" t="s">
        <v>28</v>
      </c>
      <c r="R163" s="2" t="s">
        <v>40</v>
      </c>
      <c r="S163" s="2" t="s">
        <v>42</v>
      </c>
      <c r="T163" s="2" t="s">
        <v>50</v>
      </c>
      <c r="U163" s="2" t="s">
        <v>52</v>
      </c>
      <c r="V163" s="2">
        <v>1298</v>
      </c>
      <c r="W163" s="2">
        <v>3</v>
      </c>
      <c r="AH163" s="2" t="s">
        <v>4</v>
      </c>
      <c r="AN163" s="2">
        <v>11</v>
      </c>
      <c r="AO163" s="2">
        <v>-0.64793920985909104</v>
      </c>
      <c r="AR163" s="2" t="s">
        <v>849</v>
      </c>
      <c r="AS163" s="2" t="s">
        <v>849</v>
      </c>
      <c r="AU163" s="2" t="s">
        <v>1818</v>
      </c>
      <c r="AV163" s="2" t="s">
        <v>1830</v>
      </c>
      <c r="AW163" s="2" t="s">
        <v>28</v>
      </c>
      <c r="AX163" s="2" t="s">
        <v>1829</v>
      </c>
      <c r="AY163" s="2" t="s">
        <v>79</v>
      </c>
    </row>
    <row r="164" spans="1:51" x14ac:dyDescent="0.2">
      <c r="A164" s="2" t="s">
        <v>471</v>
      </c>
      <c r="B164" s="2" t="s">
        <v>472</v>
      </c>
      <c r="C164" s="2" t="s">
        <v>473</v>
      </c>
      <c r="D164" s="2">
        <v>2010</v>
      </c>
      <c r="E164" s="2" t="s">
        <v>469</v>
      </c>
      <c r="F164" s="2" t="s">
        <v>485</v>
      </c>
      <c r="G164" s="2" t="s">
        <v>956</v>
      </c>
      <c r="H164" s="2" t="s">
        <v>475</v>
      </c>
      <c r="I164" s="2" t="s">
        <v>1781</v>
      </c>
      <c r="J164" s="2" t="s">
        <v>32</v>
      </c>
      <c r="K164" s="2" t="s">
        <v>37</v>
      </c>
      <c r="P164" s="2" t="s">
        <v>22</v>
      </c>
      <c r="Q164" s="2" t="s">
        <v>28</v>
      </c>
      <c r="R164" s="2" t="s">
        <v>40</v>
      </c>
      <c r="S164" s="2" t="s">
        <v>42</v>
      </c>
      <c r="T164" s="2" t="s">
        <v>50</v>
      </c>
      <c r="U164" s="2" t="s">
        <v>52</v>
      </c>
      <c r="V164" s="2">
        <v>1298</v>
      </c>
      <c r="W164" s="2">
        <v>3</v>
      </c>
      <c r="AH164" s="2" t="s">
        <v>4</v>
      </c>
      <c r="AN164" s="2">
        <v>37</v>
      </c>
      <c r="AO164" s="2">
        <v>-6.5448330271734301E-2</v>
      </c>
      <c r="AR164" s="2" t="s">
        <v>849</v>
      </c>
      <c r="AS164" s="2" t="s">
        <v>849</v>
      </c>
      <c r="AU164" s="2" t="s">
        <v>1818</v>
      </c>
      <c r="AV164" s="2" t="s">
        <v>1830</v>
      </c>
      <c r="AW164" s="2" t="s">
        <v>28</v>
      </c>
      <c r="AX164" s="2" t="s">
        <v>1829</v>
      </c>
      <c r="AY164" s="2" t="s">
        <v>79</v>
      </c>
    </row>
    <row r="165" spans="1:51" x14ac:dyDescent="0.2">
      <c r="A165" s="2" t="s">
        <v>471</v>
      </c>
      <c r="B165" s="2" t="s">
        <v>472</v>
      </c>
      <c r="C165" s="2" t="s">
        <v>473</v>
      </c>
      <c r="D165" s="2">
        <v>2010</v>
      </c>
      <c r="E165" s="2" t="s">
        <v>469</v>
      </c>
      <c r="F165" s="2" t="s">
        <v>486</v>
      </c>
      <c r="G165" s="2" t="s">
        <v>957</v>
      </c>
      <c r="H165" s="2" t="s">
        <v>476</v>
      </c>
      <c r="I165" s="2" t="s">
        <v>1782</v>
      </c>
      <c r="J165" s="2" t="s">
        <v>32</v>
      </c>
      <c r="K165" s="2" t="s">
        <v>37</v>
      </c>
      <c r="P165" s="2" t="s">
        <v>22</v>
      </c>
      <c r="Q165" s="2" t="s">
        <v>28</v>
      </c>
      <c r="R165" s="2" t="s">
        <v>40</v>
      </c>
      <c r="S165" s="2" t="s">
        <v>42</v>
      </c>
      <c r="T165" s="2" t="s">
        <v>50</v>
      </c>
      <c r="U165" s="2" t="s">
        <v>52</v>
      </c>
      <c r="V165" s="2">
        <v>1298</v>
      </c>
      <c r="W165" s="2">
        <v>3</v>
      </c>
      <c r="AH165" s="2" t="s">
        <v>4</v>
      </c>
      <c r="AN165" s="2">
        <v>18</v>
      </c>
      <c r="AO165" s="2">
        <v>0.40579882301051101</v>
      </c>
      <c r="AR165" s="2" t="s">
        <v>849</v>
      </c>
      <c r="AS165" s="2" t="s">
        <v>849</v>
      </c>
      <c r="AU165" s="2" t="s">
        <v>1818</v>
      </c>
      <c r="AV165" s="2" t="s">
        <v>1830</v>
      </c>
      <c r="AW165" s="2" t="s">
        <v>28</v>
      </c>
      <c r="AX165" s="2" t="s">
        <v>1829</v>
      </c>
      <c r="AY165" s="2" t="s">
        <v>79</v>
      </c>
    </row>
    <row r="166" spans="1:51" x14ac:dyDescent="0.2">
      <c r="A166" s="2" t="s">
        <v>471</v>
      </c>
      <c r="B166" s="2" t="s">
        <v>472</v>
      </c>
      <c r="C166" s="2" t="s">
        <v>473</v>
      </c>
      <c r="D166" s="2">
        <v>2010</v>
      </c>
      <c r="E166" s="2" t="s">
        <v>469</v>
      </c>
      <c r="F166" s="2" t="s">
        <v>487</v>
      </c>
      <c r="G166" s="2" t="s">
        <v>958</v>
      </c>
      <c r="H166" s="2" t="s">
        <v>477</v>
      </c>
      <c r="I166" s="2" t="s">
        <v>1782</v>
      </c>
      <c r="J166" s="2" t="s">
        <v>32</v>
      </c>
      <c r="K166" s="2" t="s">
        <v>37</v>
      </c>
      <c r="P166" s="2" t="s">
        <v>22</v>
      </c>
      <c r="Q166" s="2" t="s">
        <v>28</v>
      </c>
      <c r="R166" s="2" t="s">
        <v>40</v>
      </c>
      <c r="S166" s="2" t="s">
        <v>42</v>
      </c>
      <c r="T166" s="2" t="s">
        <v>50</v>
      </c>
      <c r="U166" s="2" t="s">
        <v>52</v>
      </c>
      <c r="V166" s="2">
        <v>1298</v>
      </c>
      <c r="W166" s="2">
        <v>3</v>
      </c>
      <c r="AH166" s="2" t="s">
        <v>4</v>
      </c>
      <c r="AN166" s="2">
        <v>21</v>
      </c>
      <c r="AO166" s="2">
        <v>-0.43474146721046802</v>
      </c>
      <c r="AR166" s="2" t="s">
        <v>849</v>
      </c>
      <c r="AS166" s="2" t="s">
        <v>849</v>
      </c>
      <c r="AU166" s="2" t="s">
        <v>1818</v>
      </c>
      <c r="AV166" s="2" t="s">
        <v>1830</v>
      </c>
      <c r="AW166" s="2" t="s">
        <v>28</v>
      </c>
      <c r="AX166" s="2" t="s">
        <v>1829</v>
      </c>
      <c r="AY166" s="2" t="s">
        <v>79</v>
      </c>
    </row>
    <row r="167" spans="1:51" x14ac:dyDescent="0.2">
      <c r="A167" s="2" t="s">
        <v>471</v>
      </c>
      <c r="B167" s="2" t="s">
        <v>472</v>
      </c>
      <c r="C167" s="2" t="s">
        <v>473</v>
      </c>
      <c r="D167" s="2">
        <v>2010</v>
      </c>
      <c r="E167" s="2" t="s">
        <v>469</v>
      </c>
      <c r="F167" s="2" t="s">
        <v>488</v>
      </c>
      <c r="G167" s="2" t="s">
        <v>959</v>
      </c>
      <c r="H167" s="2" t="s">
        <v>478</v>
      </c>
      <c r="I167" s="2" t="s">
        <v>1147</v>
      </c>
      <c r="J167" s="2" t="s">
        <v>32</v>
      </c>
      <c r="K167" s="2" t="s">
        <v>37</v>
      </c>
      <c r="P167" s="2" t="s">
        <v>22</v>
      </c>
      <c r="Q167" s="2" t="s">
        <v>28</v>
      </c>
      <c r="R167" s="2" t="s">
        <v>40</v>
      </c>
      <c r="S167" s="2" t="s">
        <v>42</v>
      </c>
      <c r="T167" s="2" t="s">
        <v>50</v>
      </c>
      <c r="U167" s="2" t="s">
        <v>52</v>
      </c>
      <c r="V167" s="2">
        <v>1298</v>
      </c>
      <c r="W167" s="2">
        <v>3</v>
      </c>
      <c r="AH167" s="2" t="s">
        <v>4</v>
      </c>
      <c r="AN167" s="2">
        <v>11</v>
      </c>
      <c r="AO167" s="2">
        <v>0.44790643698219701</v>
      </c>
      <c r="AR167" s="2" t="s">
        <v>849</v>
      </c>
      <c r="AS167" s="2" t="s">
        <v>849</v>
      </c>
      <c r="AU167" s="2" t="s">
        <v>1818</v>
      </c>
      <c r="AV167" s="2" t="s">
        <v>1830</v>
      </c>
      <c r="AW167" s="2" t="s">
        <v>28</v>
      </c>
      <c r="AX167" s="2" t="s">
        <v>1829</v>
      </c>
      <c r="AY167" s="2" t="s">
        <v>79</v>
      </c>
    </row>
    <row r="168" spans="1:51" x14ac:dyDescent="0.2">
      <c r="A168" s="2" t="s">
        <v>471</v>
      </c>
      <c r="B168" s="2" t="s">
        <v>472</v>
      </c>
      <c r="C168" s="2" t="s">
        <v>473</v>
      </c>
      <c r="D168" s="2">
        <v>2010</v>
      </c>
      <c r="E168" s="2" t="s">
        <v>469</v>
      </c>
      <c r="F168" s="2" t="s">
        <v>489</v>
      </c>
      <c r="G168" s="2" t="s">
        <v>960</v>
      </c>
      <c r="H168" s="2" t="s">
        <v>479</v>
      </c>
      <c r="I168" s="2" t="s">
        <v>1147</v>
      </c>
      <c r="J168" s="2" t="s">
        <v>32</v>
      </c>
      <c r="K168" s="2" t="s">
        <v>37</v>
      </c>
      <c r="P168" s="2" t="s">
        <v>22</v>
      </c>
      <c r="Q168" s="2" t="s">
        <v>28</v>
      </c>
      <c r="R168" s="2" t="s">
        <v>40</v>
      </c>
      <c r="S168" s="2" t="s">
        <v>42</v>
      </c>
      <c r="T168" s="2" t="s">
        <v>50</v>
      </c>
      <c r="U168" s="2" t="s">
        <v>52</v>
      </c>
      <c r="V168" s="2">
        <v>1298</v>
      </c>
      <c r="W168" s="2">
        <v>3</v>
      </c>
      <c r="AH168" s="2" t="s">
        <v>4</v>
      </c>
      <c r="AN168" s="2">
        <v>23</v>
      </c>
      <c r="AO168" s="2">
        <v>0.490425759318532</v>
      </c>
      <c r="AR168" s="2" t="s">
        <v>849</v>
      </c>
      <c r="AS168" s="2" t="s">
        <v>849</v>
      </c>
      <c r="AU168" s="2" t="s">
        <v>1818</v>
      </c>
      <c r="AV168" s="2" t="s">
        <v>1830</v>
      </c>
      <c r="AW168" s="2" t="s">
        <v>28</v>
      </c>
      <c r="AX168" s="2" t="s">
        <v>1829</v>
      </c>
      <c r="AY168" s="2" t="s">
        <v>79</v>
      </c>
    </row>
    <row r="169" spans="1:51" x14ac:dyDescent="0.2">
      <c r="A169" s="2" t="s">
        <v>471</v>
      </c>
      <c r="B169" s="2" t="s">
        <v>472</v>
      </c>
      <c r="C169" s="2" t="s">
        <v>473</v>
      </c>
      <c r="D169" s="2">
        <v>2010</v>
      </c>
      <c r="E169" s="2" t="s">
        <v>469</v>
      </c>
      <c r="F169" s="2" t="s">
        <v>490</v>
      </c>
      <c r="G169" s="2" t="s">
        <v>961</v>
      </c>
      <c r="H169" s="2" t="s">
        <v>480</v>
      </c>
      <c r="I169" s="2" t="s">
        <v>1147</v>
      </c>
      <c r="J169" s="2" t="s">
        <v>32</v>
      </c>
      <c r="K169" s="2" t="s">
        <v>37</v>
      </c>
      <c r="P169" s="2" t="s">
        <v>22</v>
      </c>
      <c r="Q169" s="2" t="s">
        <v>28</v>
      </c>
      <c r="R169" s="2" t="s">
        <v>40</v>
      </c>
      <c r="S169" s="2" t="s">
        <v>42</v>
      </c>
      <c r="T169" s="2" t="s">
        <v>50</v>
      </c>
      <c r="U169" s="2" t="s">
        <v>52</v>
      </c>
      <c r="V169" s="2">
        <v>1298</v>
      </c>
      <c r="W169" s="2">
        <v>3</v>
      </c>
      <c r="AH169" s="2" t="s">
        <v>4</v>
      </c>
      <c r="AN169" s="2">
        <v>23</v>
      </c>
      <c r="AO169" s="2">
        <v>-0.19570654557537101</v>
      </c>
      <c r="AR169" s="2" t="s">
        <v>849</v>
      </c>
      <c r="AS169" s="2" t="s">
        <v>849</v>
      </c>
      <c r="AU169" s="2" t="s">
        <v>1818</v>
      </c>
      <c r="AV169" s="2" t="s">
        <v>1830</v>
      </c>
      <c r="AW169" s="2" t="s">
        <v>28</v>
      </c>
      <c r="AX169" s="2" t="s">
        <v>1829</v>
      </c>
      <c r="AY169" s="2" t="s">
        <v>79</v>
      </c>
    </row>
    <row r="170" spans="1:51" x14ac:dyDescent="0.2">
      <c r="A170" s="2" t="s">
        <v>471</v>
      </c>
      <c r="B170" s="2" t="s">
        <v>472</v>
      </c>
      <c r="C170" s="2" t="s">
        <v>473</v>
      </c>
      <c r="D170" s="2">
        <v>2010</v>
      </c>
      <c r="E170" s="2" t="s">
        <v>469</v>
      </c>
      <c r="F170" s="2" t="s">
        <v>491</v>
      </c>
      <c r="G170" s="2" t="s">
        <v>962</v>
      </c>
      <c r="H170" s="2" t="s">
        <v>481</v>
      </c>
      <c r="I170" s="2" t="s">
        <v>1783</v>
      </c>
      <c r="J170" s="2" t="s">
        <v>32</v>
      </c>
      <c r="K170" s="2" t="s">
        <v>37</v>
      </c>
      <c r="P170" s="2" t="s">
        <v>22</v>
      </c>
      <c r="Q170" s="2" t="s">
        <v>28</v>
      </c>
      <c r="R170" s="2" t="s">
        <v>40</v>
      </c>
      <c r="S170" s="2" t="s">
        <v>42</v>
      </c>
      <c r="T170" s="2" t="s">
        <v>50</v>
      </c>
      <c r="U170" s="2" t="s">
        <v>52</v>
      </c>
      <c r="V170" s="2">
        <v>1298</v>
      </c>
      <c r="W170" s="2">
        <v>3</v>
      </c>
      <c r="AH170" s="2" t="s">
        <v>4</v>
      </c>
      <c r="AN170" s="2">
        <v>14</v>
      </c>
      <c r="AO170" s="2">
        <v>-0.85773238181327704</v>
      </c>
      <c r="AR170" s="2" t="s">
        <v>849</v>
      </c>
      <c r="AS170" s="2" t="s">
        <v>849</v>
      </c>
      <c r="AU170" s="2" t="s">
        <v>1818</v>
      </c>
      <c r="AV170" s="2" t="s">
        <v>1830</v>
      </c>
      <c r="AW170" s="2" t="s">
        <v>28</v>
      </c>
      <c r="AX170" s="2" t="s">
        <v>1829</v>
      </c>
      <c r="AY170" s="2" t="s">
        <v>79</v>
      </c>
    </row>
    <row r="171" spans="1:51" x14ac:dyDescent="0.2">
      <c r="A171" s="2" t="s">
        <v>471</v>
      </c>
      <c r="B171" s="2" t="s">
        <v>472</v>
      </c>
      <c r="C171" s="2" t="s">
        <v>473</v>
      </c>
      <c r="D171" s="2">
        <v>2010</v>
      </c>
      <c r="E171" s="2" t="s">
        <v>469</v>
      </c>
      <c r="F171" s="2" t="s">
        <v>492</v>
      </c>
      <c r="G171" s="2" t="s">
        <v>963</v>
      </c>
      <c r="H171" s="2" t="s">
        <v>482</v>
      </c>
      <c r="I171" s="2" t="s">
        <v>1783</v>
      </c>
      <c r="J171" s="2" t="s">
        <v>32</v>
      </c>
      <c r="K171" s="2" t="s">
        <v>37</v>
      </c>
      <c r="P171" s="2" t="s">
        <v>22</v>
      </c>
      <c r="Q171" s="2" t="s">
        <v>28</v>
      </c>
      <c r="R171" s="2" t="s">
        <v>40</v>
      </c>
      <c r="S171" s="2" t="s">
        <v>42</v>
      </c>
      <c r="T171" s="2" t="s">
        <v>50</v>
      </c>
      <c r="U171" s="2" t="s">
        <v>52</v>
      </c>
      <c r="V171" s="2">
        <v>1298</v>
      </c>
      <c r="W171" s="2">
        <v>3</v>
      </c>
      <c r="AH171" s="2" t="s">
        <v>4</v>
      </c>
      <c r="AN171" s="2">
        <v>27</v>
      </c>
      <c r="AO171" s="2">
        <v>-0.41697220477454</v>
      </c>
      <c r="AR171" s="2" t="s">
        <v>849</v>
      </c>
      <c r="AS171" s="2" t="s">
        <v>849</v>
      </c>
      <c r="AU171" s="2" t="s">
        <v>1818</v>
      </c>
      <c r="AV171" s="2" t="s">
        <v>1830</v>
      </c>
      <c r="AW171" s="2" t="s">
        <v>28</v>
      </c>
      <c r="AX171" s="2" t="s">
        <v>1829</v>
      </c>
      <c r="AY171" s="2" t="s">
        <v>79</v>
      </c>
    </row>
    <row r="172" spans="1:51" x14ac:dyDescent="0.2">
      <c r="A172" s="2" t="s">
        <v>494</v>
      </c>
      <c r="B172" s="2" t="s">
        <v>495</v>
      </c>
      <c r="C172" s="2" t="s">
        <v>496</v>
      </c>
      <c r="D172" s="2">
        <v>2011</v>
      </c>
      <c r="E172" s="2" t="s">
        <v>497</v>
      </c>
      <c r="F172" s="2" t="s">
        <v>498</v>
      </c>
      <c r="G172" s="2" t="s">
        <v>964</v>
      </c>
      <c r="H172" s="2" t="s">
        <v>499</v>
      </c>
      <c r="I172" s="2" t="s">
        <v>474</v>
      </c>
      <c r="J172" s="2" t="s">
        <v>32</v>
      </c>
      <c r="K172" s="2" t="s">
        <v>38</v>
      </c>
      <c r="L172" s="2" t="s">
        <v>11</v>
      </c>
      <c r="M172" s="2" t="s">
        <v>14</v>
      </c>
      <c r="N172" s="2" t="s">
        <v>17</v>
      </c>
      <c r="O172" s="2">
        <v>1</v>
      </c>
      <c r="P172" s="2" t="s">
        <v>22</v>
      </c>
      <c r="Q172" s="2" t="s">
        <v>29</v>
      </c>
      <c r="T172" s="2" t="s">
        <v>50</v>
      </c>
      <c r="U172" s="2" t="s">
        <v>53</v>
      </c>
      <c r="V172" s="2">
        <v>1189</v>
      </c>
      <c r="W172" s="2">
        <v>1</v>
      </c>
      <c r="X172" s="2">
        <v>21</v>
      </c>
      <c r="Y172" s="2">
        <v>18</v>
      </c>
      <c r="AB172" s="2">
        <v>9.6</v>
      </c>
      <c r="AC172" s="2">
        <v>13.1</v>
      </c>
      <c r="AD172" s="2">
        <v>9.4</v>
      </c>
      <c r="AE172" s="2">
        <v>14.2</v>
      </c>
      <c r="AF172" s="2" t="s">
        <v>74</v>
      </c>
      <c r="AG172" s="2" t="s">
        <v>64</v>
      </c>
      <c r="AH172" s="2" t="str">
        <f t="shared" ref="AH172:AH180" si="5">IF(AF172="mean", "mean", "")</f>
        <v>mean</v>
      </c>
      <c r="AR172" s="2" t="s">
        <v>849</v>
      </c>
      <c r="AS172" s="2" t="s">
        <v>849</v>
      </c>
      <c r="AU172" s="2" t="s">
        <v>1818</v>
      </c>
      <c r="AV172" s="2" t="s">
        <v>1830</v>
      </c>
      <c r="AW172" s="2" t="s">
        <v>28</v>
      </c>
      <c r="AX172" s="2" t="s">
        <v>1829</v>
      </c>
      <c r="AY172" s="2" t="s">
        <v>79</v>
      </c>
    </row>
    <row r="173" spans="1:51" x14ac:dyDescent="0.2">
      <c r="A173" s="2" t="s">
        <v>494</v>
      </c>
      <c r="B173" s="2" t="s">
        <v>495</v>
      </c>
      <c r="C173" s="2" t="s">
        <v>496</v>
      </c>
      <c r="D173" s="2">
        <v>2011</v>
      </c>
      <c r="E173" s="2" t="s">
        <v>497</v>
      </c>
      <c r="F173" s="2" t="s">
        <v>498</v>
      </c>
      <c r="G173" s="2" t="s">
        <v>964</v>
      </c>
      <c r="H173" s="2" t="s">
        <v>500</v>
      </c>
      <c r="I173" s="2" t="s">
        <v>474</v>
      </c>
      <c r="J173" s="2" t="s">
        <v>32</v>
      </c>
      <c r="K173" s="2" t="s">
        <v>38</v>
      </c>
      <c r="L173" s="2" t="s">
        <v>11</v>
      </c>
      <c r="M173" s="2" t="s">
        <v>14</v>
      </c>
      <c r="N173" s="2" t="s">
        <v>17</v>
      </c>
      <c r="O173" s="2">
        <v>1</v>
      </c>
      <c r="P173" s="2" t="s">
        <v>22</v>
      </c>
      <c r="Q173" s="2" t="s">
        <v>29</v>
      </c>
      <c r="T173" s="2" t="s">
        <v>50</v>
      </c>
      <c r="U173" s="2" t="s">
        <v>53</v>
      </c>
      <c r="V173" s="2">
        <v>1189</v>
      </c>
      <c r="W173" s="2">
        <v>1</v>
      </c>
      <c r="X173" s="2">
        <v>8</v>
      </c>
      <c r="Y173" s="2">
        <v>5</v>
      </c>
      <c r="AB173" s="2">
        <v>29.6</v>
      </c>
      <c r="AC173" s="2">
        <v>33.9</v>
      </c>
      <c r="AD173" s="2">
        <v>16.7</v>
      </c>
      <c r="AE173" s="2">
        <v>24.5</v>
      </c>
      <c r="AF173" s="2" t="s">
        <v>74</v>
      </c>
      <c r="AG173" s="2" t="s">
        <v>64</v>
      </c>
      <c r="AH173" s="2" t="str">
        <f t="shared" si="5"/>
        <v>mean</v>
      </c>
      <c r="AR173" s="2" t="s">
        <v>849</v>
      </c>
      <c r="AS173" s="2" t="s">
        <v>849</v>
      </c>
      <c r="AU173" s="2" t="s">
        <v>1818</v>
      </c>
      <c r="AV173" s="2" t="s">
        <v>1830</v>
      </c>
      <c r="AW173" s="2" t="s">
        <v>28</v>
      </c>
      <c r="AX173" s="2" t="s">
        <v>1829</v>
      </c>
      <c r="AY173" s="2" t="s">
        <v>79</v>
      </c>
    </row>
    <row r="174" spans="1:51" x14ac:dyDescent="0.2">
      <c r="A174" s="2" t="s">
        <v>494</v>
      </c>
      <c r="B174" s="2" t="s">
        <v>495</v>
      </c>
      <c r="C174" s="2" t="s">
        <v>496</v>
      </c>
      <c r="D174" s="2">
        <v>2011</v>
      </c>
      <c r="E174" s="2" t="s">
        <v>497</v>
      </c>
      <c r="F174" s="2" t="s">
        <v>498</v>
      </c>
      <c r="G174" s="2" t="s">
        <v>964</v>
      </c>
      <c r="H174" s="2" t="s">
        <v>501</v>
      </c>
      <c r="I174" s="2" t="s">
        <v>474</v>
      </c>
      <c r="J174" s="2" t="s">
        <v>32</v>
      </c>
      <c r="K174" s="2" t="s">
        <v>38</v>
      </c>
      <c r="L174" s="2" t="s">
        <v>11</v>
      </c>
      <c r="M174" s="2" t="s">
        <v>14</v>
      </c>
      <c r="N174" s="2" t="s">
        <v>17</v>
      </c>
      <c r="O174" s="2">
        <v>1</v>
      </c>
      <c r="P174" s="2" t="s">
        <v>22</v>
      </c>
      <c r="Q174" s="2" t="s">
        <v>29</v>
      </c>
      <c r="T174" s="2" t="s">
        <v>50</v>
      </c>
      <c r="U174" s="2" t="s">
        <v>53</v>
      </c>
      <c r="V174" s="2">
        <v>1189</v>
      </c>
      <c r="W174" s="2">
        <v>1</v>
      </c>
      <c r="X174" s="2">
        <v>11</v>
      </c>
      <c r="Y174" s="2">
        <v>11</v>
      </c>
      <c r="AB174" s="2">
        <v>25.6</v>
      </c>
      <c r="AC174" s="2">
        <v>31.5</v>
      </c>
      <c r="AD174" s="2">
        <v>59.1</v>
      </c>
      <c r="AE174" s="2">
        <v>164</v>
      </c>
      <c r="AF174" s="2" t="s">
        <v>74</v>
      </c>
      <c r="AG174" s="2" t="s">
        <v>64</v>
      </c>
      <c r="AH174" s="2" t="str">
        <f t="shared" si="5"/>
        <v>mean</v>
      </c>
      <c r="AR174" s="2" t="s">
        <v>849</v>
      </c>
      <c r="AS174" s="2" t="s">
        <v>849</v>
      </c>
      <c r="AU174" s="2" t="s">
        <v>1818</v>
      </c>
      <c r="AV174" s="2" t="s">
        <v>1830</v>
      </c>
      <c r="AW174" s="2" t="s">
        <v>28</v>
      </c>
      <c r="AX174" s="2" t="s">
        <v>1829</v>
      </c>
      <c r="AY174" s="2" t="s">
        <v>79</v>
      </c>
    </row>
    <row r="175" spans="1:51" x14ac:dyDescent="0.2">
      <c r="A175" s="2" t="s">
        <v>494</v>
      </c>
      <c r="B175" s="2" t="s">
        <v>495</v>
      </c>
      <c r="C175" s="2" t="s">
        <v>496</v>
      </c>
      <c r="D175" s="2">
        <v>2011</v>
      </c>
      <c r="E175" s="2" t="s">
        <v>497</v>
      </c>
      <c r="F175" s="2" t="s">
        <v>498</v>
      </c>
      <c r="G175" s="2" t="s">
        <v>965</v>
      </c>
      <c r="H175" s="2" t="s">
        <v>502</v>
      </c>
      <c r="I175" s="2" t="s">
        <v>474</v>
      </c>
      <c r="J175" s="2" t="s">
        <v>32</v>
      </c>
      <c r="K175" s="2" t="s">
        <v>38</v>
      </c>
      <c r="L175" s="2" t="s">
        <v>11</v>
      </c>
      <c r="M175" s="2" t="s">
        <v>14</v>
      </c>
      <c r="N175" s="2" t="s">
        <v>17</v>
      </c>
      <c r="O175" s="2">
        <v>1</v>
      </c>
      <c r="P175" s="2" t="s">
        <v>22</v>
      </c>
      <c r="Q175" s="2" t="s">
        <v>29</v>
      </c>
      <c r="T175" s="2" t="s">
        <v>50</v>
      </c>
      <c r="U175" s="2" t="s">
        <v>53</v>
      </c>
      <c r="V175" s="2">
        <v>1189</v>
      </c>
      <c r="W175" s="2">
        <v>1</v>
      </c>
      <c r="X175" s="2">
        <v>21</v>
      </c>
      <c r="Y175" s="2">
        <v>18</v>
      </c>
      <c r="AB175" s="2">
        <v>4</v>
      </c>
      <c r="AC175" s="2">
        <v>5.4</v>
      </c>
      <c r="AD175" s="2">
        <v>3.2</v>
      </c>
      <c r="AE175" s="2">
        <v>4.5999999999999996</v>
      </c>
      <c r="AF175" s="2" t="s">
        <v>74</v>
      </c>
      <c r="AG175" s="2" t="s">
        <v>64</v>
      </c>
      <c r="AH175" s="2" t="str">
        <f t="shared" si="5"/>
        <v>mean</v>
      </c>
      <c r="AR175" s="2" t="s">
        <v>849</v>
      </c>
      <c r="AS175" s="2" t="s">
        <v>849</v>
      </c>
      <c r="AU175" s="2" t="s">
        <v>1818</v>
      </c>
      <c r="AV175" s="2" t="s">
        <v>1830</v>
      </c>
      <c r="AW175" s="2" t="s">
        <v>28</v>
      </c>
      <c r="AX175" s="2" t="s">
        <v>1829</v>
      </c>
      <c r="AY175" s="2" t="s">
        <v>79</v>
      </c>
    </row>
    <row r="176" spans="1:51" x14ac:dyDescent="0.2">
      <c r="A176" s="2" t="s">
        <v>494</v>
      </c>
      <c r="B176" s="2" t="s">
        <v>495</v>
      </c>
      <c r="C176" s="2" t="s">
        <v>496</v>
      </c>
      <c r="D176" s="2">
        <v>2011</v>
      </c>
      <c r="E176" s="2" t="s">
        <v>497</v>
      </c>
      <c r="F176" s="2" t="s">
        <v>498</v>
      </c>
      <c r="G176" s="2" t="s">
        <v>965</v>
      </c>
      <c r="H176" s="2" t="s">
        <v>503</v>
      </c>
      <c r="I176" s="2" t="s">
        <v>474</v>
      </c>
      <c r="J176" s="2" t="s">
        <v>32</v>
      </c>
      <c r="K176" s="2" t="s">
        <v>38</v>
      </c>
      <c r="L176" s="2" t="s">
        <v>11</v>
      </c>
      <c r="M176" s="2" t="s">
        <v>14</v>
      </c>
      <c r="N176" s="2" t="s">
        <v>17</v>
      </c>
      <c r="O176" s="2">
        <v>1</v>
      </c>
      <c r="P176" s="2" t="s">
        <v>22</v>
      </c>
      <c r="Q176" s="2" t="s">
        <v>29</v>
      </c>
      <c r="T176" s="2" t="s">
        <v>50</v>
      </c>
      <c r="U176" s="2" t="s">
        <v>53</v>
      </c>
      <c r="V176" s="2">
        <v>1189</v>
      </c>
      <c r="W176" s="2">
        <v>1</v>
      </c>
      <c r="X176" s="2">
        <v>8</v>
      </c>
      <c r="Y176" s="2">
        <v>5</v>
      </c>
      <c r="AB176" s="2">
        <v>7.9</v>
      </c>
      <c r="AC176" s="2">
        <v>8.8000000000000007</v>
      </c>
      <c r="AD176" s="2">
        <v>3.1</v>
      </c>
      <c r="AE176" s="2">
        <v>2.4</v>
      </c>
      <c r="AF176" s="2" t="s">
        <v>74</v>
      </c>
      <c r="AG176" s="2" t="s">
        <v>64</v>
      </c>
      <c r="AH176" s="2" t="str">
        <f t="shared" si="5"/>
        <v>mean</v>
      </c>
      <c r="AR176" s="2" t="s">
        <v>849</v>
      </c>
      <c r="AS176" s="2" t="s">
        <v>849</v>
      </c>
      <c r="AU176" s="2" t="s">
        <v>1818</v>
      </c>
      <c r="AV176" s="2" t="s">
        <v>1830</v>
      </c>
      <c r="AW176" s="2" t="s">
        <v>28</v>
      </c>
      <c r="AX176" s="2" t="s">
        <v>1829</v>
      </c>
      <c r="AY176" s="2" t="s">
        <v>79</v>
      </c>
    </row>
    <row r="177" spans="1:51" x14ac:dyDescent="0.2">
      <c r="A177" s="2" t="s">
        <v>494</v>
      </c>
      <c r="B177" s="2" t="s">
        <v>495</v>
      </c>
      <c r="C177" s="2" t="s">
        <v>496</v>
      </c>
      <c r="D177" s="2">
        <v>2011</v>
      </c>
      <c r="E177" s="2" t="s">
        <v>497</v>
      </c>
      <c r="F177" s="2" t="s">
        <v>498</v>
      </c>
      <c r="G177" s="2" t="s">
        <v>965</v>
      </c>
      <c r="H177" s="2" t="s">
        <v>504</v>
      </c>
      <c r="I177" s="2" t="s">
        <v>474</v>
      </c>
      <c r="J177" s="2" t="s">
        <v>32</v>
      </c>
      <c r="K177" s="2" t="s">
        <v>38</v>
      </c>
      <c r="L177" s="2" t="s">
        <v>11</v>
      </c>
      <c r="M177" s="2" t="s">
        <v>14</v>
      </c>
      <c r="N177" s="2" t="s">
        <v>17</v>
      </c>
      <c r="O177" s="2">
        <v>1</v>
      </c>
      <c r="P177" s="2" t="s">
        <v>22</v>
      </c>
      <c r="Q177" s="2" t="s">
        <v>29</v>
      </c>
      <c r="T177" s="2" t="s">
        <v>50</v>
      </c>
      <c r="U177" s="2" t="s">
        <v>53</v>
      </c>
      <c r="V177" s="2">
        <v>1189</v>
      </c>
      <c r="W177" s="2">
        <v>1</v>
      </c>
      <c r="X177" s="2">
        <v>11</v>
      </c>
      <c r="Y177" s="2">
        <v>11</v>
      </c>
      <c r="AB177" s="2">
        <v>5.6</v>
      </c>
      <c r="AC177" s="2">
        <v>4.5</v>
      </c>
      <c r="AD177" s="2">
        <v>7.4</v>
      </c>
      <c r="AE177" s="2">
        <v>9.6999999999999993</v>
      </c>
      <c r="AF177" s="2" t="s">
        <v>74</v>
      </c>
      <c r="AG177" s="2" t="s">
        <v>64</v>
      </c>
      <c r="AH177" s="2" t="str">
        <f t="shared" si="5"/>
        <v>mean</v>
      </c>
      <c r="AR177" s="2" t="s">
        <v>849</v>
      </c>
      <c r="AS177" s="2" t="s">
        <v>849</v>
      </c>
      <c r="AU177" s="2" t="s">
        <v>1818</v>
      </c>
      <c r="AV177" s="2" t="s">
        <v>1830</v>
      </c>
      <c r="AW177" s="2" t="s">
        <v>28</v>
      </c>
      <c r="AX177" s="2" t="s">
        <v>1829</v>
      </c>
      <c r="AY177" s="2" t="s">
        <v>79</v>
      </c>
    </row>
    <row r="178" spans="1:51" x14ac:dyDescent="0.2">
      <c r="A178" s="2" t="s">
        <v>494</v>
      </c>
      <c r="B178" s="2" t="s">
        <v>495</v>
      </c>
      <c r="C178" s="2" t="s">
        <v>496</v>
      </c>
      <c r="D178" s="2">
        <v>2011</v>
      </c>
      <c r="E178" s="2" t="s">
        <v>497</v>
      </c>
      <c r="F178" s="2" t="s">
        <v>498</v>
      </c>
      <c r="G178" s="2" t="s">
        <v>966</v>
      </c>
      <c r="H178" s="2" t="s">
        <v>505</v>
      </c>
      <c r="I178" s="2" t="s">
        <v>474</v>
      </c>
      <c r="J178" s="2" t="s">
        <v>32</v>
      </c>
      <c r="K178" s="2" t="s">
        <v>38</v>
      </c>
      <c r="L178" s="2" t="s">
        <v>11</v>
      </c>
      <c r="M178" s="2" t="s">
        <v>14</v>
      </c>
      <c r="N178" s="2" t="s">
        <v>17</v>
      </c>
      <c r="O178" s="2">
        <v>1</v>
      </c>
      <c r="P178" s="2" t="s">
        <v>22</v>
      </c>
      <c r="Q178" s="2" t="s">
        <v>29</v>
      </c>
      <c r="T178" s="2" t="s">
        <v>50</v>
      </c>
      <c r="U178" s="2" t="s">
        <v>53</v>
      </c>
      <c r="V178" s="2">
        <v>1189</v>
      </c>
      <c r="W178" s="2">
        <v>1</v>
      </c>
      <c r="X178" s="2">
        <v>12</v>
      </c>
      <c r="Y178" s="2">
        <v>8</v>
      </c>
      <c r="AB178" s="2">
        <v>54.2</v>
      </c>
      <c r="AC178" s="2">
        <v>48.8</v>
      </c>
      <c r="AD178" s="2">
        <v>29.2</v>
      </c>
      <c r="AE178" s="2">
        <v>45.2</v>
      </c>
      <c r="AF178" s="2" t="s">
        <v>74</v>
      </c>
      <c r="AG178" s="2" t="s">
        <v>64</v>
      </c>
      <c r="AH178" s="2" t="str">
        <f t="shared" si="5"/>
        <v>mean</v>
      </c>
      <c r="AR178" s="2" t="s">
        <v>849</v>
      </c>
      <c r="AS178" s="2" t="s">
        <v>849</v>
      </c>
      <c r="AU178" s="2" t="s">
        <v>1818</v>
      </c>
      <c r="AV178" s="2" t="s">
        <v>1830</v>
      </c>
      <c r="AW178" s="2" t="s">
        <v>28</v>
      </c>
      <c r="AX178" s="2" t="s">
        <v>1829</v>
      </c>
      <c r="AY178" s="2" t="s">
        <v>79</v>
      </c>
    </row>
    <row r="179" spans="1:51" x14ac:dyDescent="0.2">
      <c r="A179" s="2" t="s">
        <v>494</v>
      </c>
      <c r="B179" s="2" t="s">
        <v>495</v>
      </c>
      <c r="C179" s="2" t="s">
        <v>496</v>
      </c>
      <c r="D179" s="2">
        <v>2011</v>
      </c>
      <c r="E179" s="2" t="s">
        <v>497</v>
      </c>
      <c r="F179" s="2" t="s">
        <v>498</v>
      </c>
      <c r="G179" s="2" t="s">
        <v>966</v>
      </c>
      <c r="H179" s="2" t="s">
        <v>506</v>
      </c>
      <c r="I179" s="2" t="s">
        <v>474</v>
      </c>
      <c r="J179" s="2" t="s">
        <v>32</v>
      </c>
      <c r="K179" s="2" t="s">
        <v>38</v>
      </c>
      <c r="L179" s="2" t="s">
        <v>11</v>
      </c>
      <c r="M179" s="2" t="s">
        <v>14</v>
      </c>
      <c r="N179" s="2" t="s">
        <v>17</v>
      </c>
      <c r="O179" s="2">
        <v>1</v>
      </c>
      <c r="P179" s="2" t="s">
        <v>22</v>
      </c>
      <c r="Q179" s="2" t="s">
        <v>29</v>
      </c>
      <c r="T179" s="2" t="s">
        <v>50</v>
      </c>
      <c r="U179" s="2" t="s">
        <v>53</v>
      </c>
      <c r="V179" s="2">
        <v>1189</v>
      </c>
      <c r="W179" s="2">
        <v>1</v>
      </c>
      <c r="X179" s="2">
        <v>6</v>
      </c>
      <c r="Y179" s="2">
        <v>4</v>
      </c>
      <c r="AB179" s="2">
        <v>27.8</v>
      </c>
      <c r="AC179" s="2">
        <v>40.4</v>
      </c>
      <c r="AD179" s="2">
        <v>12.5</v>
      </c>
      <c r="AE179" s="2">
        <v>25</v>
      </c>
      <c r="AF179" s="2" t="s">
        <v>74</v>
      </c>
      <c r="AG179" s="2" t="s">
        <v>64</v>
      </c>
      <c r="AH179" s="2" t="str">
        <f t="shared" si="5"/>
        <v>mean</v>
      </c>
      <c r="AR179" s="2" t="s">
        <v>849</v>
      </c>
      <c r="AS179" s="2" t="s">
        <v>849</v>
      </c>
      <c r="AU179" s="2" t="s">
        <v>1818</v>
      </c>
      <c r="AV179" s="2" t="s">
        <v>1830</v>
      </c>
      <c r="AW179" s="2" t="s">
        <v>28</v>
      </c>
      <c r="AX179" s="2" t="s">
        <v>1829</v>
      </c>
      <c r="AY179" s="2" t="s">
        <v>79</v>
      </c>
    </row>
    <row r="180" spans="1:51" x14ac:dyDescent="0.2">
      <c r="A180" s="2" t="s">
        <v>494</v>
      </c>
      <c r="B180" s="2" t="s">
        <v>495</v>
      </c>
      <c r="C180" s="2" t="s">
        <v>496</v>
      </c>
      <c r="D180" s="2">
        <v>2011</v>
      </c>
      <c r="E180" s="2" t="s">
        <v>497</v>
      </c>
      <c r="F180" s="2" t="s">
        <v>498</v>
      </c>
      <c r="G180" s="2" t="s">
        <v>966</v>
      </c>
      <c r="H180" s="2" t="s">
        <v>507</v>
      </c>
      <c r="I180" s="2" t="s">
        <v>474</v>
      </c>
      <c r="J180" s="2" t="s">
        <v>32</v>
      </c>
      <c r="K180" s="2" t="s">
        <v>38</v>
      </c>
      <c r="L180" s="2" t="s">
        <v>11</v>
      </c>
      <c r="M180" s="2" t="s">
        <v>14</v>
      </c>
      <c r="N180" s="2" t="s">
        <v>17</v>
      </c>
      <c r="O180" s="2">
        <v>1</v>
      </c>
      <c r="P180" s="2" t="s">
        <v>22</v>
      </c>
      <c r="Q180" s="2" t="s">
        <v>29</v>
      </c>
      <c r="T180" s="2" t="s">
        <v>50</v>
      </c>
      <c r="U180" s="2" t="s">
        <v>53</v>
      </c>
      <c r="V180" s="2">
        <v>1189</v>
      </c>
      <c r="W180" s="2">
        <v>1</v>
      </c>
      <c r="X180" s="2">
        <v>9</v>
      </c>
      <c r="Y180" s="2">
        <v>9</v>
      </c>
      <c r="AB180" s="2">
        <v>26.7</v>
      </c>
      <c r="AC180" s="2">
        <v>43.6</v>
      </c>
      <c r="AD180" s="2">
        <v>59.3</v>
      </c>
      <c r="AE180" s="2">
        <v>40.200000000000003</v>
      </c>
      <c r="AF180" s="2" t="s">
        <v>74</v>
      </c>
      <c r="AG180" s="2" t="s">
        <v>64</v>
      </c>
      <c r="AH180" s="2" t="str">
        <f t="shared" si="5"/>
        <v>mean</v>
      </c>
      <c r="AR180" s="2" t="s">
        <v>849</v>
      </c>
      <c r="AS180" s="2" t="s">
        <v>849</v>
      </c>
      <c r="AU180" s="2" t="s">
        <v>1818</v>
      </c>
      <c r="AV180" s="2" t="s">
        <v>1830</v>
      </c>
      <c r="AW180" s="2" t="s">
        <v>28</v>
      </c>
      <c r="AX180" s="2" t="s">
        <v>1829</v>
      </c>
      <c r="AY180" s="2" t="s">
        <v>79</v>
      </c>
    </row>
    <row r="181" spans="1:51" x14ac:dyDescent="0.2">
      <c r="A181" s="2" t="s">
        <v>515</v>
      </c>
      <c r="B181" s="2" t="s">
        <v>516</v>
      </c>
      <c r="C181" s="2" t="s">
        <v>517</v>
      </c>
      <c r="D181" s="2">
        <v>2009</v>
      </c>
      <c r="E181" s="2" t="s">
        <v>518</v>
      </c>
      <c r="F181" s="2" t="s">
        <v>519</v>
      </c>
      <c r="G181" s="2" t="s">
        <v>967</v>
      </c>
      <c r="H181" s="2" t="s">
        <v>510</v>
      </c>
      <c r="I181" s="2" t="s">
        <v>1784</v>
      </c>
      <c r="J181" s="2" t="s">
        <v>32</v>
      </c>
      <c r="K181" s="2" t="s">
        <v>37</v>
      </c>
      <c r="P181" s="2" t="s">
        <v>79</v>
      </c>
      <c r="Q181" s="2" t="s">
        <v>30</v>
      </c>
      <c r="R181" s="2" t="s">
        <v>41</v>
      </c>
      <c r="S181" s="2" t="s">
        <v>47</v>
      </c>
      <c r="T181" s="2" t="s">
        <v>50</v>
      </c>
      <c r="U181" s="2" t="s">
        <v>398</v>
      </c>
      <c r="V181" s="2">
        <v>168</v>
      </c>
      <c r="W181" s="2">
        <v>1</v>
      </c>
      <c r="X181" s="2">
        <v>58</v>
      </c>
      <c r="Y181" s="2">
        <v>34</v>
      </c>
      <c r="Z181" s="2">
        <v>41</v>
      </c>
      <c r="AA181" s="2">
        <v>30</v>
      </c>
      <c r="AH181" s="2" t="s">
        <v>1804</v>
      </c>
      <c r="AR181" s="2" t="s">
        <v>222</v>
      </c>
      <c r="AS181" s="2" t="s">
        <v>849</v>
      </c>
      <c r="AU181" s="2" t="s">
        <v>1818</v>
      </c>
      <c r="AV181" s="2" t="s">
        <v>1819</v>
      </c>
      <c r="AW181" s="2" t="s">
        <v>1823</v>
      </c>
      <c r="AX181" s="2" t="s">
        <v>1829</v>
      </c>
      <c r="AY181" s="2" t="s">
        <v>79</v>
      </c>
    </row>
    <row r="182" spans="1:51" x14ac:dyDescent="0.2">
      <c r="A182" s="2" t="s">
        <v>515</v>
      </c>
      <c r="B182" s="2" t="s">
        <v>516</v>
      </c>
      <c r="C182" s="2" t="s">
        <v>517</v>
      </c>
      <c r="D182" s="2">
        <v>2009</v>
      </c>
      <c r="E182" s="2" t="s">
        <v>518</v>
      </c>
      <c r="F182" s="2" t="s">
        <v>519</v>
      </c>
      <c r="G182" s="2" t="s">
        <v>968</v>
      </c>
      <c r="H182" s="2" t="s">
        <v>511</v>
      </c>
      <c r="I182" s="2" t="s">
        <v>1784</v>
      </c>
      <c r="J182" s="2" t="s">
        <v>32</v>
      </c>
      <c r="K182" s="2" t="s">
        <v>37</v>
      </c>
      <c r="P182" s="2" t="s">
        <v>79</v>
      </c>
      <c r="Q182" s="2" t="s">
        <v>30</v>
      </c>
      <c r="R182" s="2" t="s">
        <v>41</v>
      </c>
      <c r="S182" s="2" t="s">
        <v>46</v>
      </c>
      <c r="T182" s="2" t="s">
        <v>50</v>
      </c>
      <c r="U182" s="2" t="s">
        <v>54</v>
      </c>
      <c r="V182" s="2">
        <v>167</v>
      </c>
      <c r="X182" s="2">
        <v>58</v>
      </c>
      <c r="Y182" s="2">
        <v>34</v>
      </c>
      <c r="AB182" s="2">
        <v>26.96</v>
      </c>
      <c r="AC182" s="2">
        <v>1.23</v>
      </c>
      <c r="AD182" s="2">
        <v>23.1</v>
      </c>
      <c r="AE182" s="2">
        <v>1.44</v>
      </c>
      <c r="AF182" s="2" t="s">
        <v>74</v>
      </c>
      <c r="AG182" s="2" t="s">
        <v>65</v>
      </c>
      <c r="AH182" s="2" t="str">
        <f>IF(AF182="mean", "mean", "")</f>
        <v>mean</v>
      </c>
      <c r="AR182" s="2" t="s">
        <v>849</v>
      </c>
      <c r="AS182" s="2" t="s">
        <v>849</v>
      </c>
      <c r="AU182" s="2" t="s">
        <v>1818</v>
      </c>
      <c r="AV182" s="2" t="s">
        <v>1819</v>
      </c>
      <c r="AW182" s="2" t="s">
        <v>1823</v>
      </c>
      <c r="AX182" s="2" t="s">
        <v>1829</v>
      </c>
      <c r="AY182" s="2" t="s">
        <v>79</v>
      </c>
    </row>
    <row r="183" spans="1:51" x14ac:dyDescent="0.2">
      <c r="A183" s="2" t="s">
        <v>525</v>
      </c>
      <c r="B183" s="2" t="s">
        <v>521</v>
      </c>
      <c r="C183" s="2" t="s">
        <v>520</v>
      </c>
      <c r="D183" s="2">
        <v>2004</v>
      </c>
      <c r="E183" s="2" t="s">
        <v>522</v>
      </c>
      <c r="F183" s="2" t="s">
        <v>523</v>
      </c>
      <c r="G183" s="2" t="s">
        <v>969</v>
      </c>
      <c r="H183" s="2" t="s">
        <v>526</v>
      </c>
      <c r="I183" s="2" t="s">
        <v>524</v>
      </c>
      <c r="J183" s="2" t="s">
        <v>34</v>
      </c>
      <c r="K183" s="2" t="s">
        <v>38</v>
      </c>
      <c r="L183" s="2" t="s">
        <v>11</v>
      </c>
      <c r="M183" s="2" t="s">
        <v>14</v>
      </c>
      <c r="N183" s="2" t="s">
        <v>20</v>
      </c>
      <c r="O183" s="2">
        <v>0</v>
      </c>
      <c r="P183" s="2" t="s">
        <v>22</v>
      </c>
      <c r="Q183" s="2" t="s">
        <v>27</v>
      </c>
      <c r="T183" s="2" t="s">
        <v>50</v>
      </c>
      <c r="U183" s="2" t="s">
        <v>52</v>
      </c>
      <c r="V183" s="2">
        <v>2283</v>
      </c>
      <c r="W183" s="2" t="s">
        <v>528</v>
      </c>
      <c r="X183" s="2">
        <v>23</v>
      </c>
      <c r="Y183" s="2">
        <v>24</v>
      </c>
      <c r="AB183" s="2">
        <v>1.25</v>
      </c>
      <c r="AC183" s="2">
        <v>18.883586623043801</v>
      </c>
      <c r="AD183" s="2">
        <v>-6.5625</v>
      </c>
      <c r="AE183" s="2">
        <v>18.983545506569602</v>
      </c>
      <c r="AF183" s="2" t="s">
        <v>74</v>
      </c>
      <c r="AG183" s="2" t="s">
        <v>64</v>
      </c>
      <c r="AH183" s="2" t="str">
        <f>IF(AF183="mean", "mean", "")</f>
        <v>mean</v>
      </c>
      <c r="AR183" s="2" t="s">
        <v>849</v>
      </c>
      <c r="AS183" s="2" t="s">
        <v>849</v>
      </c>
      <c r="AU183" s="2" t="s">
        <v>1818</v>
      </c>
      <c r="AV183" s="2" t="s">
        <v>1830</v>
      </c>
      <c r="AW183" s="2" t="s">
        <v>1820</v>
      </c>
      <c r="AX183" s="2" t="s">
        <v>1821</v>
      </c>
      <c r="AY183" s="2" t="s">
        <v>79</v>
      </c>
    </row>
    <row r="184" spans="1:51" x14ac:dyDescent="0.2">
      <c r="A184" s="2" t="s">
        <v>531</v>
      </c>
      <c r="B184" s="2" t="s">
        <v>532</v>
      </c>
      <c r="C184" s="2" t="s">
        <v>533</v>
      </c>
      <c r="D184" s="2">
        <v>2015</v>
      </c>
      <c r="E184" s="2" t="s">
        <v>534</v>
      </c>
      <c r="F184" s="2" t="s">
        <v>535</v>
      </c>
      <c r="G184" s="2" t="s">
        <v>970</v>
      </c>
      <c r="H184" s="2" t="s">
        <v>527</v>
      </c>
      <c r="I184" s="2" t="s">
        <v>1785</v>
      </c>
      <c r="J184" s="2" t="s">
        <v>536</v>
      </c>
      <c r="K184" s="2" t="s">
        <v>37</v>
      </c>
      <c r="P184" s="2" t="s">
        <v>22</v>
      </c>
      <c r="Q184" s="2" t="s">
        <v>30</v>
      </c>
      <c r="R184" s="2" t="s">
        <v>40</v>
      </c>
      <c r="S184" s="2" t="s">
        <v>42</v>
      </c>
      <c r="T184" s="2" t="s">
        <v>50</v>
      </c>
      <c r="U184" s="2" t="s">
        <v>53</v>
      </c>
      <c r="V184" s="2">
        <v>261</v>
      </c>
      <c r="W184" s="2">
        <v>1</v>
      </c>
      <c r="X184" s="2">
        <v>48.5</v>
      </c>
      <c r="Y184" s="2">
        <v>48.5</v>
      </c>
      <c r="AB184" s="2">
        <v>0.157</v>
      </c>
      <c r="AC184" s="2">
        <v>0.78200000000000003</v>
      </c>
      <c r="AD184" s="2">
        <v>0.186</v>
      </c>
      <c r="AE184" s="2">
        <v>0.79300000000000004</v>
      </c>
      <c r="AF184" s="2" t="s">
        <v>74</v>
      </c>
      <c r="AG184" s="2" t="s">
        <v>64</v>
      </c>
      <c r="AH184" s="2" t="str">
        <f>IF(AF184="mean", "mean", "")</f>
        <v>mean</v>
      </c>
      <c r="AR184" s="2" t="s">
        <v>849</v>
      </c>
      <c r="AS184" s="2" t="s">
        <v>849</v>
      </c>
      <c r="AU184" s="2" t="s">
        <v>1825</v>
      </c>
      <c r="AV184" s="2" t="s">
        <v>1819</v>
      </c>
      <c r="AW184" s="2" t="s">
        <v>26</v>
      </c>
      <c r="AX184" s="2" t="s">
        <v>1821</v>
      </c>
      <c r="AY184" s="2" t="s">
        <v>79</v>
      </c>
    </row>
    <row r="185" spans="1:51" x14ac:dyDescent="0.2">
      <c r="A185" s="2" t="s">
        <v>531</v>
      </c>
      <c r="B185" s="2" t="s">
        <v>532</v>
      </c>
      <c r="C185" s="2" t="s">
        <v>533</v>
      </c>
      <c r="D185" s="2">
        <v>2015</v>
      </c>
      <c r="E185" s="2" t="s">
        <v>534</v>
      </c>
      <c r="F185" s="2" t="s">
        <v>535</v>
      </c>
      <c r="G185" s="2" t="s">
        <v>970</v>
      </c>
      <c r="H185" s="2" t="s">
        <v>529</v>
      </c>
      <c r="I185" s="2" t="s">
        <v>1785</v>
      </c>
      <c r="J185" s="2" t="s">
        <v>536</v>
      </c>
      <c r="K185" s="2" t="s">
        <v>37</v>
      </c>
      <c r="P185" s="2" t="s">
        <v>22</v>
      </c>
      <c r="Q185" s="2" t="s">
        <v>30</v>
      </c>
      <c r="R185" s="2" t="s">
        <v>40</v>
      </c>
      <c r="S185" s="2" t="s">
        <v>43</v>
      </c>
      <c r="T185" s="2" t="s">
        <v>50</v>
      </c>
      <c r="U185" s="2" t="s">
        <v>53</v>
      </c>
      <c r="V185" s="2">
        <v>261</v>
      </c>
      <c r="W185" s="2">
        <v>1</v>
      </c>
      <c r="X185" s="2">
        <v>50</v>
      </c>
      <c r="Y185" s="2">
        <v>50</v>
      </c>
      <c r="AB185" s="2">
        <v>0.28299999999999997</v>
      </c>
      <c r="AC185" s="2">
        <v>0.121</v>
      </c>
      <c r="AD185" s="2">
        <v>0.26100000000000001</v>
      </c>
      <c r="AE185" s="2">
        <v>0.11799999999999999</v>
      </c>
      <c r="AF185" s="2" t="s">
        <v>74</v>
      </c>
      <c r="AG185" s="2" t="s">
        <v>64</v>
      </c>
      <c r="AH185" s="2" t="str">
        <f>IF(AF185="mean", "mean", "")</f>
        <v>mean</v>
      </c>
      <c r="AR185" s="2" t="s">
        <v>849</v>
      </c>
      <c r="AS185" s="2" t="s">
        <v>849</v>
      </c>
      <c r="AU185" s="2" t="s">
        <v>1825</v>
      </c>
      <c r="AV185" s="2" t="s">
        <v>1819</v>
      </c>
      <c r="AW185" s="2" t="s">
        <v>26</v>
      </c>
      <c r="AX185" s="2" t="s">
        <v>1821</v>
      </c>
      <c r="AY185" s="2" t="s">
        <v>79</v>
      </c>
    </row>
    <row r="186" spans="1:51" x14ac:dyDescent="0.2">
      <c r="A186" s="2" t="s">
        <v>531</v>
      </c>
      <c r="B186" s="2" t="s">
        <v>532</v>
      </c>
      <c r="C186" s="2" t="s">
        <v>533</v>
      </c>
      <c r="D186" s="2">
        <v>2015</v>
      </c>
      <c r="E186" s="2" t="s">
        <v>534</v>
      </c>
      <c r="F186" s="2" t="s">
        <v>535</v>
      </c>
      <c r="G186" s="2" t="s">
        <v>971</v>
      </c>
      <c r="H186" s="2" t="s">
        <v>530</v>
      </c>
      <c r="I186" s="2" t="s">
        <v>1785</v>
      </c>
      <c r="J186" s="2" t="s">
        <v>536</v>
      </c>
      <c r="K186" s="2" t="s">
        <v>37</v>
      </c>
      <c r="P186" s="2" t="s">
        <v>22</v>
      </c>
      <c r="Q186" s="2" t="s">
        <v>30</v>
      </c>
      <c r="R186" s="2" t="s">
        <v>40</v>
      </c>
      <c r="S186" s="2" t="s">
        <v>42</v>
      </c>
      <c r="T186" s="2" t="s">
        <v>50</v>
      </c>
      <c r="U186" s="2" t="s">
        <v>53</v>
      </c>
      <c r="V186" s="2">
        <v>263</v>
      </c>
      <c r="W186" s="2">
        <v>4</v>
      </c>
      <c r="X186" s="2">
        <v>6</v>
      </c>
      <c r="Y186" s="2">
        <v>6</v>
      </c>
      <c r="AB186" s="2">
        <v>4.2000000000000003E-2</v>
      </c>
      <c r="AC186" s="2">
        <v>4.0000000000000001E-3</v>
      </c>
      <c r="AD186" s="2">
        <v>4.2000000000000003E-2</v>
      </c>
      <c r="AE186" s="2">
        <v>5.0000000000000001E-3</v>
      </c>
      <c r="AF186" s="2" t="s">
        <v>74</v>
      </c>
      <c r="AG186" s="2" t="s">
        <v>64</v>
      </c>
      <c r="AH186" s="2" t="str">
        <f>IF(AF186="mean", "mean", "")</f>
        <v>mean</v>
      </c>
      <c r="AR186" s="2" t="s">
        <v>849</v>
      </c>
      <c r="AS186" s="2" t="s">
        <v>849</v>
      </c>
      <c r="AU186" s="2" t="s">
        <v>1825</v>
      </c>
      <c r="AV186" s="2" t="s">
        <v>1819</v>
      </c>
      <c r="AW186" s="2" t="s">
        <v>26</v>
      </c>
      <c r="AX186" s="2" t="s">
        <v>1821</v>
      </c>
      <c r="AY186" s="2" t="s">
        <v>79</v>
      </c>
    </row>
    <row r="187" spans="1:51" x14ac:dyDescent="0.2">
      <c r="A187" s="2" t="s">
        <v>537</v>
      </c>
      <c r="B187" s="2" t="s">
        <v>538</v>
      </c>
      <c r="C187" s="2" t="s">
        <v>539</v>
      </c>
      <c r="D187" s="2">
        <v>2009</v>
      </c>
      <c r="E187" s="2" t="s">
        <v>540</v>
      </c>
      <c r="F187" s="2" t="s">
        <v>541</v>
      </c>
      <c r="G187" s="2" t="s">
        <v>972</v>
      </c>
      <c r="H187" s="2" t="s">
        <v>542</v>
      </c>
      <c r="I187" s="2" t="s">
        <v>1786</v>
      </c>
      <c r="J187" s="2" t="s">
        <v>34</v>
      </c>
      <c r="K187" s="2" t="s">
        <v>37</v>
      </c>
      <c r="P187" s="2" t="s">
        <v>22</v>
      </c>
      <c r="Q187" s="2" t="s">
        <v>1832</v>
      </c>
      <c r="R187" s="2" t="s">
        <v>41</v>
      </c>
      <c r="S187" s="2" t="s">
        <v>46</v>
      </c>
      <c r="T187" s="2" t="s">
        <v>50</v>
      </c>
      <c r="U187" s="2" t="s">
        <v>53</v>
      </c>
      <c r="V187" s="2">
        <v>177</v>
      </c>
      <c r="W187" s="2">
        <v>1</v>
      </c>
      <c r="AH187" s="2" t="s">
        <v>4</v>
      </c>
      <c r="AN187" s="2">
        <v>62</v>
      </c>
      <c r="AO187" s="2">
        <v>-0.35699999999999998</v>
      </c>
      <c r="AR187" s="2" t="s">
        <v>849</v>
      </c>
      <c r="AS187" s="2" t="s">
        <v>849</v>
      </c>
      <c r="AU187" s="2" t="s">
        <v>1818</v>
      </c>
      <c r="AV187" s="2" t="s">
        <v>1830</v>
      </c>
      <c r="AW187" s="2" t="s">
        <v>1832</v>
      </c>
      <c r="AX187" s="2" t="s">
        <v>1821</v>
      </c>
      <c r="AY187" s="2" t="s">
        <v>79</v>
      </c>
    </row>
    <row r="188" spans="1:51" x14ac:dyDescent="0.2">
      <c r="A188" s="2" t="s">
        <v>537</v>
      </c>
      <c r="B188" s="2" t="s">
        <v>538</v>
      </c>
      <c r="C188" s="2" t="s">
        <v>539</v>
      </c>
      <c r="D188" s="2">
        <v>2009</v>
      </c>
      <c r="E188" s="2" t="s">
        <v>540</v>
      </c>
      <c r="F188" s="2" t="s">
        <v>541</v>
      </c>
      <c r="G188" s="2" t="s">
        <v>972</v>
      </c>
      <c r="H188" s="2" t="s">
        <v>543</v>
      </c>
      <c r="I188" s="2" t="s">
        <v>1786</v>
      </c>
      <c r="J188" s="2" t="s">
        <v>34</v>
      </c>
      <c r="K188" s="2" t="s">
        <v>37</v>
      </c>
      <c r="P188" s="2" t="s">
        <v>23</v>
      </c>
      <c r="Q188" s="2" t="s">
        <v>81</v>
      </c>
      <c r="R188" s="2" t="s">
        <v>41</v>
      </c>
      <c r="S188" s="2" t="s">
        <v>46</v>
      </c>
      <c r="T188" s="2" t="s">
        <v>50</v>
      </c>
      <c r="U188" s="2" t="s">
        <v>53</v>
      </c>
      <c r="V188" s="2">
        <v>177</v>
      </c>
      <c r="W188" s="2">
        <v>1</v>
      </c>
      <c r="AH188" s="2" t="s">
        <v>4</v>
      </c>
      <c r="AN188" s="2">
        <v>62</v>
      </c>
      <c r="AO188" s="2">
        <v>5.2999999999999999E-2</v>
      </c>
      <c r="AR188" s="2" t="s">
        <v>849</v>
      </c>
      <c r="AS188" s="2" t="s">
        <v>849</v>
      </c>
      <c r="AU188" s="2" t="s">
        <v>1818</v>
      </c>
      <c r="AV188" s="2" t="s">
        <v>1830</v>
      </c>
      <c r="AW188" s="2" t="s">
        <v>1832</v>
      </c>
      <c r="AX188" s="2" t="s">
        <v>1821</v>
      </c>
      <c r="AY188" s="2" t="s">
        <v>79</v>
      </c>
    </row>
    <row r="189" spans="1:51" x14ac:dyDescent="0.2">
      <c r="A189" s="2" t="s">
        <v>548</v>
      </c>
      <c r="B189" s="2" t="s">
        <v>538</v>
      </c>
      <c r="C189" s="2" t="s">
        <v>549</v>
      </c>
      <c r="D189" s="2">
        <v>2014</v>
      </c>
      <c r="E189" s="2" t="s">
        <v>550</v>
      </c>
      <c r="F189" s="2" t="s">
        <v>551</v>
      </c>
      <c r="G189" s="2" t="s">
        <v>973</v>
      </c>
      <c r="H189" s="2" t="s">
        <v>544</v>
      </c>
      <c r="I189" s="2" t="s">
        <v>1786</v>
      </c>
      <c r="J189" s="2" t="s">
        <v>34</v>
      </c>
      <c r="K189" s="2" t="s">
        <v>38</v>
      </c>
      <c r="L189" s="2" t="s">
        <v>11</v>
      </c>
      <c r="M189" s="2" t="s">
        <v>14</v>
      </c>
      <c r="N189" s="2" t="s">
        <v>20</v>
      </c>
      <c r="O189" s="2">
        <v>0</v>
      </c>
      <c r="P189" s="2" t="s">
        <v>22</v>
      </c>
      <c r="Q189" s="2" t="s">
        <v>29</v>
      </c>
      <c r="T189" s="2" t="s">
        <v>50</v>
      </c>
      <c r="U189" s="2" t="s">
        <v>54</v>
      </c>
      <c r="X189" s="2">
        <v>38</v>
      </c>
      <c r="Y189" s="2">
        <v>42</v>
      </c>
      <c r="AH189" s="2" t="s">
        <v>1802</v>
      </c>
      <c r="AI189" s="2">
        <v>-0.40699999999999997</v>
      </c>
      <c r="AR189" s="2" t="s">
        <v>849</v>
      </c>
      <c r="AS189" s="2" t="s">
        <v>849</v>
      </c>
      <c r="AU189" s="2" t="s">
        <v>1818</v>
      </c>
      <c r="AV189" s="2" t="s">
        <v>1830</v>
      </c>
      <c r="AW189" s="2" t="s">
        <v>1832</v>
      </c>
      <c r="AX189" s="2" t="s">
        <v>1821</v>
      </c>
      <c r="AY189" s="2" t="s">
        <v>79</v>
      </c>
    </row>
    <row r="190" spans="1:51" x14ac:dyDescent="0.2">
      <c r="A190" s="2" t="s">
        <v>548</v>
      </c>
      <c r="B190" s="2" t="s">
        <v>538</v>
      </c>
      <c r="C190" s="2" t="s">
        <v>549</v>
      </c>
      <c r="D190" s="2">
        <v>2014</v>
      </c>
      <c r="E190" s="2" t="s">
        <v>550</v>
      </c>
      <c r="F190" s="2" t="s">
        <v>551</v>
      </c>
      <c r="G190" s="2" t="s">
        <v>973</v>
      </c>
      <c r="H190" s="2" t="s">
        <v>545</v>
      </c>
      <c r="I190" s="2" t="s">
        <v>1786</v>
      </c>
      <c r="J190" s="2" t="s">
        <v>34</v>
      </c>
      <c r="K190" s="2" t="s">
        <v>38</v>
      </c>
      <c r="L190" s="2" t="s">
        <v>11</v>
      </c>
      <c r="M190" s="2" t="s">
        <v>14</v>
      </c>
      <c r="N190" s="2" t="s">
        <v>20</v>
      </c>
      <c r="O190" s="2">
        <v>0</v>
      </c>
      <c r="P190" s="2" t="s">
        <v>22</v>
      </c>
      <c r="Q190" s="2" t="s">
        <v>29</v>
      </c>
      <c r="T190" s="2" t="s">
        <v>50</v>
      </c>
      <c r="U190" s="2" t="s">
        <v>54</v>
      </c>
      <c r="X190" s="2">
        <v>11</v>
      </c>
      <c r="Y190" s="2">
        <v>16</v>
      </c>
      <c r="AH190" s="2" t="s">
        <v>1802</v>
      </c>
      <c r="AI190" s="2">
        <v>-1.1879999999999999</v>
      </c>
      <c r="AR190" s="2" t="s">
        <v>849</v>
      </c>
      <c r="AS190" s="2" t="s">
        <v>849</v>
      </c>
      <c r="AU190" s="2" t="s">
        <v>1818</v>
      </c>
      <c r="AV190" s="2" t="s">
        <v>1830</v>
      </c>
      <c r="AW190" s="2" t="s">
        <v>1832</v>
      </c>
      <c r="AX190" s="2" t="s">
        <v>1821</v>
      </c>
      <c r="AY190" s="2" t="s">
        <v>79</v>
      </c>
    </row>
    <row r="191" spans="1:51" x14ac:dyDescent="0.2">
      <c r="A191" s="2" t="s">
        <v>548</v>
      </c>
      <c r="B191" s="2" t="s">
        <v>538</v>
      </c>
      <c r="C191" s="2" t="s">
        <v>549</v>
      </c>
      <c r="D191" s="2">
        <v>2014</v>
      </c>
      <c r="E191" s="2" t="s">
        <v>550</v>
      </c>
      <c r="F191" s="2" t="s">
        <v>551</v>
      </c>
      <c r="G191" s="2" t="s">
        <v>973</v>
      </c>
      <c r="H191" s="2" t="s">
        <v>546</v>
      </c>
      <c r="I191" s="2" t="s">
        <v>1786</v>
      </c>
      <c r="J191" s="2" t="s">
        <v>34</v>
      </c>
      <c r="K191" s="2" t="s">
        <v>38</v>
      </c>
      <c r="L191" s="2" t="s">
        <v>11</v>
      </c>
      <c r="M191" s="2" t="s">
        <v>14</v>
      </c>
      <c r="N191" s="2" t="s">
        <v>20</v>
      </c>
      <c r="O191" s="2">
        <v>0</v>
      </c>
      <c r="P191" s="2" t="s">
        <v>22</v>
      </c>
      <c r="Q191" s="2" t="s">
        <v>29</v>
      </c>
      <c r="T191" s="2" t="s">
        <v>50</v>
      </c>
      <c r="U191" s="2" t="s">
        <v>54</v>
      </c>
      <c r="X191" s="2">
        <v>16</v>
      </c>
      <c r="Y191" s="2">
        <v>18</v>
      </c>
      <c r="AH191" s="2" t="s">
        <v>1802</v>
      </c>
      <c r="AI191" s="2">
        <v>-0.66200000000000003</v>
      </c>
      <c r="AR191" s="2" t="s">
        <v>849</v>
      </c>
      <c r="AS191" s="2" t="s">
        <v>849</v>
      </c>
      <c r="AU191" s="2" t="s">
        <v>1818</v>
      </c>
      <c r="AV191" s="2" t="s">
        <v>1830</v>
      </c>
      <c r="AW191" s="2" t="s">
        <v>1832</v>
      </c>
      <c r="AX191" s="2" t="s">
        <v>1821</v>
      </c>
      <c r="AY191" s="2" t="s">
        <v>79</v>
      </c>
    </row>
    <row r="192" spans="1:51" x14ac:dyDescent="0.2">
      <c r="A192" s="2" t="s">
        <v>552</v>
      </c>
      <c r="B192" s="2" t="s">
        <v>553</v>
      </c>
      <c r="C192" s="2" t="s">
        <v>554</v>
      </c>
      <c r="D192" s="2">
        <v>2010</v>
      </c>
      <c r="E192" s="2" t="s">
        <v>555</v>
      </c>
      <c r="F192" s="2" t="s">
        <v>556</v>
      </c>
      <c r="G192" s="2" t="s">
        <v>974</v>
      </c>
      <c r="H192" s="2" t="s">
        <v>547</v>
      </c>
      <c r="I192" s="2" t="s">
        <v>440</v>
      </c>
      <c r="J192" s="2" t="s">
        <v>34</v>
      </c>
      <c r="K192" s="2" t="s">
        <v>38</v>
      </c>
      <c r="L192" s="2" t="s">
        <v>11</v>
      </c>
      <c r="M192" s="2" t="s">
        <v>14</v>
      </c>
      <c r="N192" s="2" t="s">
        <v>20</v>
      </c>
      <c r="O192" s="2">
        <v>0</v>
      </c>
      <c r="P192" s="2" t="s">
        <v>23</v>
      </c>
      <c r="Q192" s="2" t="s">
        <v>81</v>
      </c>
      <c r="T192" s="2" t="s">
        <v>50</v>
      </c>
      <c r="U192" s="2" t="s">
        <v>52</v>
      </c>
      <c r="V192" s="2">
        <v>650</v>
      </c>
      <c r="W192" s="2">
        <v>1</v>
      </c>
      <c r="X192" s="2">
        <v>26</v>
      </c>
      <c r="Y192" s="2">
        <v>23</v>
      </c>
      <c r="AB192" s="2">
        <v>7.0909535452322796</v>
      </c>
      <c r="AC192" s="2">
        <v>0.99736323004259897</v>
      </c>
      <c r="AD192" s="2">
        <v>6.2655256723716404</v>
      </c>
      <c r="AE192" s="2">
        <v>0.82549276098097002</v>
      </c>
      <c r="AF192" s="2" t="s">
        <v>74</v>
      </c>
      <c r="AG192" s="2" t="s">
        <v>64</v>
      </c>
      <c r="AH192" s="2" t="str">
        <f t="shared" ref="AH192:AH204" si="6">IF(AF192="mean", "mean", "")</f>
        <v>mean</v>
      </c>
      <c r="AR192" s="2" t="s">
        <v>849</v>
      </c>
      <c r="AS192" s="2" t="s">
        <v>849</v>
      </c>
      <c r="AU192" s="2" t="s">
        <v>1818</v>
      </c>
      <c r="AV192" s="2" t="s">
        <v>1830</v>
      </c>
      <c r="AW192" s="2" t="s">
        <v>1820</v>
      </c>
      <c r="AX192" s="2" t="s">
        <v>1821</v>
      </c>
      <c r="AY192" s="2" t="s">
        <v>79</v>
      </c>
    </row>
    <row r="193" spans="1:51" x14ac:dyDescent="0.2">
      <c r="A193" s="2" t="s">
        <v>552</v>
      </c>
      <c r="B193" s="2" t="s">
        <v>553</v>
      </c>
      <c r="C193" s="2" t="s">
        <v>554</v>
      </c>
      <c r="D193" s="2">
        <v>2010</v>
      </c>
      <c r="E193" s="2" t="s">
        <v>555</v>
      </c>
      <c r="F193" s="2" t="s">
        <v>556</v>
      </c>
      <c r="G193" s="2" t="s">
        <v>974</v>
      </c>
      <c r="H193" s="2" t="s">
        <v>557</v>
      </c>
      <c r="I193" s="2" t="s">
        <v>440</v>
      </c>
      <c r="J193" s="2" t="s">
        <v>34</v>
      </c>
      <c r="K193" s="2" t="s">
        <v>38</v>
      </c>
      <c r="L193" s="2" t="s">
        <v>11</v>
      </c>
      <c r="M193" s="2" t="s">
        <v>14</v>
      </c>
      <c r="N193" s="2" t="s">
        <v>20</v>
      </c>
      <c r="O193" s="2">
        <v>0</v>
      </c>
      <c r="P193" s="2" t="s">
        <v>23</v>
      </c>
      <c r="Q193" s="2" t="s">
        <v>81</v>
      </c>
      <c r="T193" s="2" t="s">
        <v>50</v>
      </c>
      <c r="U193" s="2" t="s">
        <v>52</v>
      </c>
      <c r="V193" s="2">
        <v>650</v>
      </c>
      <c r="W193" s="2">
        <v>1</v>
      </c>
      <c r="X193" s="2">
        <v>26</v>
      </c>
      <c r="Y193" s="2">
        <v>23</v>
      </c>
      <c r="AB193" s="2">
        <v>1.3931930693069301</v>
      </c>
      <c r="AC193" s="2">
        <v>0.198786033017541</v>
      </c>
      <c r="AD193" s="2">
        <v>1.29071782178218</v>
      </c>
      <c r="AE193" s="2">
        <v>0.14423107180259701</v>
      </c>
      <c r="AF193" s="2" t="s">
        <v>74</v>
      </c>
      <c r="AG193" s="2" t="s">
        <v>64</v>
      </c>
      <c r="AH193" s="2" t="str">
        <f t="shared" si="6"/>
        <v>mean</v>
      </c>
      <c r="AR193" s="2" t="s">
        <v>849</v>
      </c>
      <c r="AS193" s="2" t="s">
        <v>849</v>
      </c>
      <c r="AU193" s="2" t="s">
        <v>1818</v>
      </c>
      <c r="AV193" s="2" t="s">
        <v>1830</v>
      </c>
      <c r="AW193" s="2" t="s">
        <v>1820</v>
      </c>
      <c r="AX193" s="2" t="s">
        <v>1821</v>
      </c>
      <c r="AY193" s="2" t="s">
        <v>79</v>
      </c>
    </row>
    <row r="194" spans="1:51" x14ac:dyDescent="0.2">
      <c r="A194" s="2" t="s">
        <v>552</v>
      </c>
      <c r="B194" s="2" t="s">
        <v>553</v>
      </c>
      <c r="C194" s="2" t="s">
        <v>554</v>
      </c>
      <c r="D194" s="2">
        <v>2010</v>
      </c>
      <c r="E194" s="2" t="s">
        <v>555</v>
      </c>
      <c r="F194" s="2" t="s">
        <v>556</v>
      </c>
      <c r="G194" s="2" t="s">
        <v>975</v>
      </c>
      <c r="H194" s="2" t="s">
        <v>558</v>
      </c>
      <c r="I194" s="2" t="s">
        <v>440</v>
      </c>
      <c r="J194" s="2" t="s">
        <v>34</v>
      </c>
      <c r="K194" s="2" t="s">
        <v>38</v>
      </c>
      <c r="L194" s="2" t="s">
        <v>11</v>
      </c>
      <c r="M194" s="2" t="s">
        <v>14</v>
      </c>
      <c r="N194" s="2" t="s">
        <v>20</v>
      </c>
      <c r="O194" s="2">
        <v>0</v>
      </c>
      <c r="P194" s="2" t="s">
        <v>22</v>
      </c>
      <c r="Q194" s="2" t="s">
        <v>27</v>
      </c>
      <c r="T194" s="2" t="s">
        <v>50</v>
      </c>
      <c r="U194" s="2" t="s">
        <v>52</v>
      </c>
      <c r="V194" s="2">
        <v>651</v>
      </c>
      <c r="W194" s="2">
        <v>2</v>
      </c>
      <c r="X194" s="2">
        <v>30</v>
      </c>
      <c r="Y194" s="2">
        <v>30</v>
      </c>
      <c r="AB194" s="2">
        <v>48.622754491018</v>
      </c>
      <c r="AC194" s="2">
        <v>36.733488886574001</v>
      </c>
      <c r="AD194" s="2">
        <v>62.275449101796397</v>
      </c>
      <c r="AE194" s="2">
        <v>28.862026982308301</v>
      </c>
      <c r="AF194" s="2" t="s">
        <v>74</v>
      </c>
      <c r="AG194" s="2" t="s">
        <v>64</v>
      </c>
      <c r="AH194" s="2" t="str">
        <f t="shared" si="6"/>
        <v>mean</v>
      </c>
      <c r="AR194" s="2" t="s">
        <v>849</v>
      </c>
      <c r="AS194" s="2" t="s">
        <v>849</v>
      </c>
      <c r="AU194" s="2" t="s">
        <v>1818</v>
      </c>
      <c r="AV194" s="2" t="s">
        <v>1830</v>
      </c>
      <c r="AW194" s="2" t="s">
        <v>1820</v>
      </c>
      <c r="AX194" s="2" t="s">
        <v>1821</v>
      </c>
      <c r="AY194" s="2" t="s">
        <v>79</v>
      </c>
    </row>
    <row r="195" spans="1:51" x14ac:dyDescent="0.2">
      <c r="A195" s="2" t="s">
        <v>552</v>
      </c>
      <c r="B195" s="2" t="s">
        <v>553</v>
      </c>
      <c r="C195" s="2" t="s">
        <v>554</v>
      </c>
      <c r="D195" s="2">
        <v>2010</v>
      </c>
      <c r="E195" s="2" t="s">
        <v>555</v>
      </c>
      <c r="F195" s="2" t="s">
        <v>556</v>
      </c>
      <c r="G195" s="2" t="s">
        <v>976</v>
      </c>
      <c r="H195" s="2" t="s">
        <v>559</v>
      </c>
      <c r="I195" s="2" t="s">
        <v>440</v>
      </c>
      <c r="J195" s="2" t="s">
        <v>34</v>
      </c>
      <c r="K195" s="2" t="s">
        <v>38</v>
      </c>
      <c r="L195" s="2" t="s">
        <v>12</v>
      </c>
      <c r="P195" s="2" t="s">
        <v>22</v>
      </c>
      <c r="Q195" s="2" t="s">
        <v>30</v>
      </c>
      <c r="R195" s="2" t="s">
        <v>40</v>
      </c>
      <c r="S195" s="2" t="s">
        <v>42</v>
      </c>
      <c r="T195" s="2" t="s">
        <v>50</v>
      </c>
      <c r="U195" s="2" t="s">
        <v>52</v>
      </c>
      <c r="V195" s="2">
        <v>651</v>
      </c>
      <c r="W195" s="2" t="s">
        <v>560</v>
      </c>
      <c r="X195" s="2">
        <v>26</v>
      </c>
      <c r="Y195" s="2">
        <v>32</v>
      </c>
      <c r="AB195" s="3">
        <v>3.52332361516035E-5</v>
      </c>
      <c r="AC195" s="3">
        <v>3.8097181680254802E-5</v>
      </c>
      <c r="AD195" s="3">
        <v>3.7769679300291599E-5</v>
      </c>
      <c r="AE195" s="3">
        <v>3.47863138828196E-5</v>
      </c>
      <c r="AF195" s="2" t="s">
        <v>74</v>
      </c>
      <c r="AG195" s="2" t="s">
        <v>64</v>
      </c>
      <c r="AH195" s="2" t="str">
        <f t="shared" si="6"/>
        <v>mean</v>
      </c>
      <c r="AR195" s="2" t="s">
        <v>849</v>
      </c>
      <c r="AS195" s="2" t="s">
        <v>849</v>
      </c>
      <c r="AU195" s="2" t="s">
        <v>1818</v>
      </c>
      <c r="AV195" s="2" t="s">
        <v>1830</v>
      </c>
      <c r="AW195" s="2" t="s">
        <v>1820</v>
      </c>
      <c r="AX195" s="2" t="s">
        <v>1821</v>
      </c>
      <c r="AY195" s="2" t="s">
        <v>79</v>
      </c>
    </row>
    <row r="196" spans="1:51" x14ac:dyDescent="0.2">
      <c r="A196" s="2" t="s">
        <v>552</v>
      </c>
      <c r="B196" s="2" t="s">
        <v>553</v>
      </c>
      <c r="C196" s="2" t="s">
        <v>554</v>
      </c>
      <c r="D196" s="2">
        <v>2010</v>
      </c>
      <c r="E196" s="2" t="s">
        <v>555</v>
      </c>
      <c r="F196" s="2" t="s">
        <v>556</v>
      </c>
      <c r="G196" s="2" t="s">
        <v>976</v>
      </c>
      <c r="H196" s="2" t="s">
        <v>562</v>
      </c>
      <c r="I196" s="2" t="s">
        <v>440</v>
      </c>
      <c r="J196" s="2" t="s">
        <v>34</v>
      </c>
      <c r="K196" s="2" t="s">
        <v>38</v>
      </c>
      <c r="L196" s="2" t="s">
        <v>12</v>
      </c>
      <c r="P196" s="2" t="s">
        <v>22</v>
      </c>
      <c r="Q196" s="2" t="s">
        <v>30</v>
      </c>
      <c r="R196" s="2" t="s">
        <v>40</v>
      </c>
      <c r="S196" s="2" t="s">
        <v>42</v>
      </c>
      <c r="T196" s="2" t="s">
        <v>50</v>
      </c>
      <c r="U196" s="2" t="s">
        <v>52</v>
      </c>
      <c r="V196" s="2">
        <v>651</v>
      </c>
      <c r="W196" s="2" t="s">
        <v>560</v>
      </c>
      <c r="X196" s="2">
        <v>26</v>
      </c>
      <c r="Y196" s="2">
        <v>29</v>
      </c>
      <c r="AB196" s="3">
        <v>4.7653061224489799E-5</v>
      </c>
      <c r="AC196" s="3">
        <v>3.3441402446636997E-5</v>
      </c>
      <c r="AD196" s="3">
        <v>3.7769679300291599E-5</v>
      </c>
      <c r="AE196" s="3">
        <v>3.47863138828196E-5</v>
      </c>
      <c r="AF196" s="2" t="s">
        <v>74</v>
      </c>
      <c r="AG196" s="2" t="s">
        <v>64</v>
      </c>
      <c r="AH196" s="2" t="str">
        <f t="shared" si="6"/>
        <v>mean</v>
      </c>
      <c r="AR196" s="2" t="s">
        <v>849</v>
      </c>
      <c r="AS196" s="2" t="s">
        <v>849</v>
      </c>
      <c r="AU196" s="2" t="s">
        <v>1818</v>
      </c>
      <c r="AV196" s="2" t="s">
        <v>1830</v>
      </c>
      <c r="AW196" s="2" t="s">
        <v>1820</v>
      </c>
      <c r="AX196" s="2" t="s">
        <v>1821</v>
      </c>
      <c r="AY196" s="2" t="s">
        <v>79</v>
      </c>
    </row>
    <row r="197" spans="1:51" x14ac:dyDescent="0.2">
      <c r="A197" s="2" t="s">
        <v>552</v>
      </c>
      <c r="B197" s="2" t="s">
        <v>553</v>
      </c>
      <c r="C197" s="2" t="s">
        <v>554</v>
      </c>
      <c r="D197" s="2">
        <v>2010</v>
      </c>
      <c r="E197" s="2" t="s">
        <v>555</v>
      </c>
      <c r="F197" s="2" t="s">
        <v>556</v>
      </c>
      <c r="G197" s="2" t="s">
        <v>976</v>
      </c>
      <c r="H197" s="2" t="s">
        <v>563</v>
      </c>
      <c r="I197" s="2" t="s">
        <v>440</v>
      </c>
      <c r="J197" s="2" t="s">
        <v>34</v>
      </c>
      <c r="K197" s="2" t="s">
        <v>38</v>
      </c>
      <c r="L197" s="2" t="s">
        <v>12</v>
      </c>
      <c r="P197" s="2" t="s">
        <v>22</v>
      </c>
      <c r="Q197" s="2" t="s">
        <v>30</v>
      </c>
      <c r="R197" s="2" t="s">
        <v>40</v>
      </c>
      <c r="S197" s="2" t="s">
        <v>43</v>
      </c>
      <c r="T197" s="2" t="s">
        <v>50</v>
      </c>
      <c r="U197" s="2" t="s">
        <v>52</v>
      </c>
      <c r="V197" s="2">
        <v>651</v>
      </c>
      <c r="W197" s="2" t="s">
        <v>560</v>
      </c>
      <c r="X197" s="2">
        <v>26</v>
      </c>
      <c r="Y197" s="2">
        <v>32</v>
      </c>
      <c r="AB197" s="2">
        <v>1.1613636363636401E-3</v>
      </c>
      <c r="AC197" s="2">
        <v>4.3712055564259198E-4</v>
      </c>
      <c r="AD197" s="2">
        <v>1.02727272727273E-3</v>
      </c>
      <c r="AE197" s="2">
        <v>5.2149063207198795E-4</v>
      </c>
      <c r="AF197" s="2" t="s">
        <v>74</v>
      </c>
      <c r="AG197" s="2" t="s">
        <v>64</v>
      </c>
      <c r="AH197" s="2" t="str">
        <f t="shared" si="6"/>
        <v>mean</v>
      </c>
      <c r="AR197" s="2" t="s">
        <v>849</v>
      </c>
      <c r="AS197" s="2" t="s">
        <v>849</v>
      </c>
      <c r="AU197" s="2" t="s">
        <v>1818</v>
      </c>
      <c r="AV197" s="2" t="s">
        <v>1830</v>
      </c>
      <c r="AW197" s="2" t="s">
        <v>1820</v>
      </c>
      <c r="AX197" s="2" t="s">
        <v>1821</v>
      </c>
      <c r="AY197" s="2" t="s">
        <v>79</v>
      </c>
    </row>
    <row r="198" spans="1:51" x14ac:dyDescent="0.2">
      <c r="A198" s="2" t="s">
        <v>552</v>
      </c>
      <c r="B198" s="2" t="s">
        <v>553</v>
      </c>
      <c r="C198" s="2" t="s">
        <v>554</v>
      </c>
      <c r="D198" s="2">
        <v>2010</v>
      </c>
      <c r="E198" s="2" t="s">
        <v>555</v>
      </c>
      <c r="F198" s="2" t="s">
        <v>556</v>
      </c>
      <c r="G198" s="2" t="s">
        <v>976</v>
      </c>
      <c r="H198" s="2" t="s">
        <v>564</v>
      </c>
      <c r="I198" s="2" t="s">
        <v>440</v>
      </c>
      <c r="J198" s="2" t="s">
        <v>34</v>
      </c>
      <c r="K198" s="2" t="s">
        <v>38</v>
      </c>
      <c r="L198" s="2" t="s">
        <v>12</v>
      </c>
      <c r="P198" s="2" t="s">
        <v>22</v>
      </c>
      <c r="Q198" s="2" t="s">
        <v>30</v>
      </c>
      <c r="R198" s="2" t="s">
        <v>40</v>
      </c>
      <c r="S198" s="2" t="s">
        <v>43</v>
      </c>
      <c r="T198" s="2" t="s">
        <v>50</v>
      </c>
      <c r="U198" s="2" t="s">
        <v>52</v>
      </c>
      <c r="W198" s="2" t="s">
        <v>560</v>
      </c>
      <c r="X198" s="2">
        <v>26</v>
      </c>
      <c r="Y198" s="2">
        <v>29</v>
      </c>
      <c r="AB198" s="2">
        <v>1.3977272727272701E-3</v>
      </c>
      <c r="AC198" s="2">
        <v>4.6508241516161501E-4</v>
      </c>
      <c r="AD198" s="2">
        <v>1.02727272727273E-3</v>
      </c>
      <c r="AE198" s="2">
        <v>5.2149063207198795E-4</v>
      </c>
      <c r="AF198" s="2" t="s">
        <v>74</v>
      </c>
      <c r="AG198" s="2" t="s">
        <v>64</v>
      </c>
      <c r="AH198" s="2" t="str">
        <f t="shared" si="6"/>
        <v>mean</v>
      </c>
      <c r="AR198" s="2" t="s">
        <v>849</v>
      </c>
      <c r="AS198" s="2" t="s">
        <v>849</v>
      </c>
      <c r="AU198" s="2" t="s">
        <v>1818</v>
      </c>
      <c r="AV198" s="2" t="s">
        <v>1830</v>
      </c>
      <c r="AW198" s="2" t="s">
        <v>1820</v>
      </c>
      <c r="AX198" s="2" t="s">
        <v>1821</v>
      </c>
      <c r="AY198" s="2" t="s">
        <v>79</v>
      </c>
    </row>
    <row r="199" spans="1:51" x14ac:dyDescent="0.2">
      <c r="A199" s="2" t="s">
        <v>552</v>
      </c>
      <c r="B199" s="2" t="s">
        <v>553</v>
      </c>
      <c r="C199" s="2" t="s">
        <v>554</v>
      </c>
      <c r="D199" s="2">
        <v>2010</v>
      </c>
      <c r="E199" s="2" t="s">
        <v>555</v>
      </c>
      <c r="F199" s="2" t="s">
        <v>556</v>
      </c>
      <c r="G199" s="2" t="s">
        <v>976</v>
      </c>
      <c r="H199" s="2" t="s">
        <v>565</v>
      </c>
      <c r="I199" s="2" t="s">
        <v>440</v>
      </c>
      <c r="J199" s="2" t="s">
        <v>34</v>
      </c>
      <c r="K199" s="2" t="s">
        <v>38</v>
      </c>
      <c r="L199" s="2" t="s">
        <v>12</v>
      </c>
      <c r="P199" s="2" t="s">
        <v>22</v>
      </c>
      <c r="Q199" s="2" t="s">
        <v>30</v>
      </c>
      <c r="R199" s="2" t="s">
        <v>41</v>
      </c>
      <c r="S199" s="2" t="s">
        <v>46</v>
      </c>
      <c r="T199" s="2" t="s">
        <v>50</v>
      </c>
      <c r="U199" s="2" t="s">
        <v>52</v>
      </c>
      <c r="V199" s="2">
        <v>651</v>
      </c>
      <c r="W199" s="2" t="s">
        <v>561</v>
      </c>
      <c r="X199" s="2">
        <v>26</v>
      </c>
      <c r="Y199" s="2">
        <v>32</v>
      </c>
      <c r="AB199" s="2">
        <v>41.353333333333303</v>
      </c>
      <c r="AC199" s="2">
        <v>13.9912861770778</v>
      </c>
      <c r="AD199" s="2">
        <v>38.553333333333299</v>
      </c>
      <c r="AE199" s="2">
        <v>14.0393003940921</v>
      </c>
      <c r="AF199" s="2" t="s">
        <v>74</v>
      </c>
      <c r="AG199" s="2" t="s">
        <v>64</v>
      </c>
      <c r="AH199" s="2" t="str">
        <f t="shared" si="6"/>
        <v>mean</v>
      </c>
      <c r="AR199" s="2" t="s">
        <v>849</v>
      </c>
      <c r="AS199" s="2" t="s">
        <v>849</v>
      </c>
      <c r="AU199" s="2" t="s">
        <v>1818</v>
      </c>
      <c r="AV199" s="2" t="s">
        <v>1830</v>
      </c>
      <c r="AW199" s="2" t="s">
        <v>1820</v>
      </c>
      <c r="AX199" s="2" t="s">
        <v>1821</v>
      </c>
      <c r="AY199" s="2" t="s">
        <v>79</v>
      </c>
    </row>
    <row r="200" spans="1:51" x14ac:dyDescent="0.2">
      <c r="A200" s="2" t="s">
        <v>552</v>
      </c>
      <c r="B200" s="2" t="s">
        <v>553</v>
      </c>
      <c r="C200" s="2" t="s">
        <v>554</v>
      </c>
      <c r="D200" s="2">
        <v>2010</v>
      </c>
      <c r="E200" s="2" t="s">
        <v>555</v>
      </c>
      <c r="F200" s="2" t="s">
        <v>556</v>
      </c>
      <c r="G200" s="2" t="s">
        <v>976</v>
      </c>
      <c r="H200" s="2" t="s">
        <v>566</v>
      </c>
      <c r="I200" s="2" t="s">
        <v>440</v>
      </c>
      <c r="J200" s="2" t="s">
        <v>34</v>
      </c>
      <c r="K200" s="2" t="s">
        <v>38</v>
      </c>
      <c r="L200" s="2" t="s">
        <v>12</v>
      </c>
      <c r="P200" s="2" t="s">
        <v>22</v>
      </c>
      <c r="Q200" s="2" t="s">
        <v>30</v>
      </c>
      <c r="R200" s="2" t="s">
        <v>41</v>
      </c>
      <c r="S200" s="2" t="s">
        <v>46</v>
      </c>
      <c r="T200" s="2" t="s">
        <v>50</v>
      </c>
      <c r="U200" s="2" t="s">
        <v>52</v>
      </c>
      <c r="V200" s="2">
        <v>651</v>
      </c>
      <c r="W200" s="2" t="s">
        <v>561</v>
      </c>
      <c r="X200" s="2">
        <v>26</v>
      </c>
      <c r="Y200" s="2">
        <v>29</v>
      </c>
      <c r="AB200" s="2">
        <v>41.4</v>
      </c>
      <c r="AC200" s="2">
        <v>16.083692223975</v>
      </c>
      <c r="AD200" s="2">
        <v>38.553333333333299</v>
      </c>
      <c r="AE200" s="2">
        <v>14.0393003940921</v>
      </c>
      <c r="AF200" s="2" t="s">
        <v>74</v>
      </c>
      <c r="AG200" s="2" t="s">
        <v>64</v>
      </c>
      <c r="AH200" s="2" t="str">
        <f t="shared" si="6"/>
        <v>mean</v>
      </c>
      <c r="AR200" s="2" t="s">
        <v>849</v>
      </c>
      <c r="AS200" s="2" t="s">
        <v>849</v>
      </c>
      <c r="AU200" s="2" t="s">
        <v>1818</v>
      </c>
      <c r="AV200" s="2" t="s">
        <v>1830</v>
      </c>
      <c r="AW200" s="2" t="s">
        <v>1820</v>
      </c>
      <c r="AX200" s="2" t="s">
        <v>1821</v>
      </c>
      <c r="AY200" s="2" t="s">
        <v>79</v>
      </c>
    </row>
    <row r="201" spans="1:51" x14ac:dyDescent="0.2">
      <c r="A201" s="2" t="s">
        <v>571</v>
      </c>
      <c r="B201" s="2" t="s">
        <v>572</v>
      </c>
      <c r="C201" s="2" t="s">
        <v>573</v>
      </c>
      <c r="D201" s="2">
        <v>2013</v>
      </c>
      <c r="E201" s="2" t="s">
        <v>574</v>
      </c>
      <c r="F201" s="2" t="s">
        <v>575</v>
      </c>
      <c r="G201" s="2" t="s">
        <v>977</v>
      </c>
      <c r="H201" s="2" t="s">
        <v>567</v>
      </c>
      <c r="I201" s="2" t="s">
        <v>576</v>
      </c>
      <c r="J201" s="2" t="s">
        <v>536</v>
      </c>
      <c r="K201" s="2" t="s">
        <v>38</v>
      </c>
      <c r="L201" s="2" t="s">
        <v>11</v>
      </c>
      <c r="M201" s="2" t="s">
        <v>14</v>
      </c>
      <c r="N201" s="2" t="s">
        <v>20</v>
      </c>
      <c r="O201" s="2">
        <v>0</v>
      </c>
      <c r="P201" s="2" t="s">
        <v>23</v>
      </c>
      <c r="Q201" s="2" t="s">
        <v>81</v>
      </c>
      <c r="T201" s="2" t="s">
        <v>51</v>
      </c>
      <c r="U201" s="2" t="s">
        <v>577</v>
      </c>
      <c r="X201" s="2">
        <v>18</v>
      </c>
      <c r="Y201" s="2">
        <v>21</v>
      </c>
      <c r="AB201" s="2">
        <v>159.16134833999999</v>
      </c>
      <c r="AC201" s="2">
        <v>20.954046423000001</v>
      </c>
      <c r="AD201" s="2">
        <v>179.79061154999999</v>
      </c>
      <c r="AE201" s="2">
        <v>26.611563133000001</v>
      </c>
      <c r="AF201" s="2" t="s">
        <v>74</v>
      </c>
      <c r="AG201" s="2" t="s">
        <v>65</v>
      </c>
      <c r="AH201" s="2" t="str">
        <f t="shared" si="6"/>
        <v>mean</v>
      </c>
      <c r="AR201" s="2" t="s">
        <v>849</v>
      </c>
      <c r="AS201" s="2" t="s">
        <v>849</v>
      </c>
      <c r="AU201" s="2" t="s">
        <v>1818</v>
      </c>
      <c r="AV201" s="2" t="s">
        <v>1822</v>
      </c>
      <c r="AW201" s="2" t="s">
        <v>1823</v>
      </c>
      <c r="AX201" s="2" t="s">
        <v>1826</v>
      </c>
      <c r="AY201" s="2" t="s">
        <v>79</v>
      </c>
    </row>
    <row r="202" spans="1:51" x14ac:dyDescent="0.2">
      <c r="A202" s="2" t="s">
        <v>571</v>
      </c>
      <c r="B202" s="2" t="s">
        <v>572</v>
      </c>
      <c r="C202" s="2" t="s">
        <v>573</v>
      </c>
      <c r="D202" s="2">
        <v>2013</v>
      </c>
      <c r="E202" s="2" t="s">
        <v>574</v>
      </c>
      <c r="F202" s="2" t="s">
        <v>575</v>
      </c>
      <c r="G202" s="2" t="s">
        <v>978</v>
      </c>
      <c r="H202" s="2" t="s">
        <v>568</v>
      </c>
      <c r="I202" s="2" t="s">
        <v>576</v>
      </c>
      <c r="J202" s="2" t="s">
        <v>536</v>
      </c>
      <c r="K202" s="2" t="s">
        <v>38</v>
      </c>
      <c r="L202" s="2" t="s">
        <v>11</v>
      </c>
      <c r="M202" s="2" t="s">
        <v>14</v>
      </c>
      <c r="N202" s="2" t="s">
        <v>20</v>
      </c>
      <c r="O202" s="2">
        <v>0</v>
      </c>
      <c r="P202" s="2" t="s">
        <v>23</v>
      </c>
      <c r="Q202" s="2" t="s">
        <v>81</v>
      </c>
      <c r="T202" s="2" t="s">
        <v>51</v>
      </c>
      <c r="U202" s="2" t="s">
        <v>577</v>
      </c>
      <c r="X202" s="2">
        <v>17</v>
      </c>
      <c r="Y202" s="2">
        <v>14</v>
      </c>
      <c r="AB202" s="2">
        <v>267.39259981999999</v>
      </c>
      <c r="AC202" s="2">
        <v>30.433355039999999</v>
      </c>
      <c r="AD202" s="2">
        <v>200.70575302</v>
      </c>
      <c r="AE202" s="2">
        <v>26.611563133000001</v>
      </c>
      <c r="AF202" s="2" t="s">
        <v>74</v>
      </c>
      <c r="AG202" s="2" t="s">
        <v>65</v>
      </c>
      <c r="AH202" s="2" t="str">
        <f t="shared" si="6"/>
        <v>mean</v>
      </c>
      <c r="AR202" s="2" t="s">
        <v>849</v>
      </c>
      <c r="AS202" s="2" t="s">
        <v>849</v>
      </c>
      <c r="AU202" s="2" t="s">
        <v>1818</v>
      </c>
      <c r="AV202" s="2" t="s">
        <v>1822</v>
      </c>
      <c r="AW202" s="2" t="s">
        <v>1823</v>
      </c>
      <c r="AX202" s="2" t="s">
        <v>1826</v>
      </c>
      <c r="AY202" s="2" t="s">
        <v>79</v>
      </c>
    </row>
    <row r="203" spans="1:51" x14ac:dyDescent="0.2">
      <c r="A203" s="2" t="s">
        <v>571</v>
      </c>
      <c r="B203" s="2" t="s">
        <v>572</v>
      </c>
      <c r="C203" s="2" t="s">
        <v>573</v>
      </c>
      <c r="D203" s="2">
        <v>2013</v>
      </c>
      <c r="E203" s="2" t="s">
        <v>574</v>
      </c>
      <c r="F203" s="2" t="s">
        <v>575</v>
      </c>
      <c r="G203" s="2" t="s">
        <v>979</v>
      </c>
      <c r="H203" s="2" t="s">
        <v>569</v>
      </c>
      <c r="I203" s="2" t="s">
        <v>576</v>
      </c>
      <c r="J203" s="2" t="s">
        <v>536</v>
      </c>
      <c r="K203" s="2" t="s">
        <v>38</v>
      </c>
      <c r="L203" s="2" t="s">
        <v>11</v>
      </c>
      <c r="M203" s="2" t="s">
        <v>14</v>
      </c>
      <c r="N203" s="2" t="s">
        <v>20</v>
      </c>
      <c r="O203" s="2">
        <v>0</v>
      </c>
      <c r="P203" s="2" t="s">
        <v>23</v>
      </c>
      <c r="Q203" s="2" t="s">
        <v>81</v>
      </c>
      <c r="T203" s="2" t="s">
        <v>51</v>
      </c>
      <c r="U203" s="2" t="s">
        <v>577</v>
      </c>
      <c r="X203" s="2">
        <v>18</v>
      </c>
      <c r="Y203" s="2">
        <v>21</v>
      </c>
      <c r="AB203" s="4">
        <v>447639.68797999999</v>
      </c>
      <c r="AC203" s="4">
        <v>54131.623133000001</v>
      </c>
      <c r="AD203" s="4">
        <v>533358.42301999999</v>
      </c>
      <c r="AE203" s="4">
        <v>48870.426423999997</v>
      </c>
      <c r="AF203" s="2" t="s">
        <v>74</v>
      </c>
      <c r="AG203" s="2" t="s">
        <v>65</v>
      </c>
      <c r="AH203" s="2" t="str">
        <f t="shared" si="6"/>
        <v>mean</v>
      </c>
      <c r="AR203" s="2" t="s">
        <v>849</v>
      </c>
      <c r="AS203" s="2" t="s">
        <v>849</v>
      </c>
      <c r="AU203" s="2" t="s">
        <v>1818</v>
      </c>
      <c r="AV203" s="2" t="s">
        <v>1822</v>
      </c>
      <c r="AW203" s="2" t="s">
        <v>1823</v>
      </c>
      <c r="AX203" s="2" t="s">
        <v>1826</v>
      </c>
      <c r="AY203" s="2" t="s">
        <v>79</v>
      </c>
    </row>
    <row r="204" spans="1:51" x14ac:dyDescent="0.2">
      <c r="A204" s="2" t="s">
        <v>571</v>
      </c>
      <c r="B204" s="2" t="s">
        <v>572</v>
      </c>
      <c r="C204" s="2" t="s">
        <v>573</v>
      </c>
      <c r="D204" s="2">
        <v>2013</v>
      </c>
      <c r="E204" s="2" t="s">
        <v>574</v>
      </c>
      <c r="F204" s="2" t="s">
        <v>575</v>
      </c>
      <c r="G204" s="2" t="s">
        <v>980</v>
      </c>
      <c r="H204" s="2" t="s">
        <v>570</v>
      </c>
      <c r="I204" s="2" t="s">
        <v>576</v>
      </c>
      <c r="J204" s="2" t="s">
        <v>536</v>
      </c>
      <c r="K204" s="2" t="s">
        <v>38</v>
      </c>
      <c r="L204" s="2" t="s">
        <v>11</v>
      </c>
      <c r="M204" s="2" t="s">
        <v>14</v>
      </c>
      <c r="N204" s="2" t="s">
        <v>20</v>
      </c>
      <c r="O204" s="2">
        <v>0</v>
      </c>
      <c r="P204" s="2" t="s">
        <v>23</v>
      </c>
      <c r="Q204" s="2" t="s">
        <v>81</v>
      </c>
      <c r="T204" s="2" t="s">
        <v>51</v>
      </c>
      <c r="U204" s="2" t="s">
        <v>577</v>
      </c>
      <c r="X204" s="2">
        <v>17</v>
      </c>
      <c r="Y204" s="2">
        <v>14</v>
      </c>
      <c r="AB204" s="4">
        <v>719686.36841999996</v>
      </c>
      <c r="AC204" s="4">
        <v>76549.855364000003</v>
      </c>
      <c r="AD204" s="4">
        <v>732122.59331000003</v>
      </c>
      <c r="AE204" s="4">
        <v>30325.152158000001</v>
      </c>
      <c r="AF204" s="2" t="s">
        <v>74</v>
      </c>
      <c r="AG204" s="2" t="s">
        <v>65</v>
      </c>
      <c r="AH204" s="2" t="str">
        <f t="shared" si="6"/>
        <v>mean</v>
      </c>
      <c r="AR204" s="2" t="s">
        <v>849</v>
      </c>
      <c r="AS204" s="2" t="s">
        <v>849</v>
      </c>
      <c r="AU204" s="2" t="s">
        <v>1818</v>
      </c>
      <c r="AV204" s="2" t="s">
        <v>1822</v>
      </c>
      <c r="AW204" s="2" t="s">
        <v>1823</v>
      </c>
      <c r="AX204" s="2" t="s">
        <v>1826</v>
      </c>
      <c r="AY204" s="2" t="s">
        <v>79</v>
      </c>
    </row>
    <row r="205" spans="1:51" x14ac:dyDescent="0.2">
      <c r="A205" s="2" t="s">
        <v>578</v>
      </c>
      <c r="B205" s="2" t="s">
        <v>579</v>
      </c>
      <c r="C205" s="2" t="s">
        <v>580</v>
      </c>
      <c r="D205" s="2">
        <v>2013</v>
      </c>
      <c r="E205" s="2" t="s">
        <v>581</v>
      </c>
      <c r="F205" s="2" t="s">
        <v>582</v>
      </c>
      <c r="G205" s="2" t="s">
        <v>981</v>
      </c>
      <c r="H205" s="2" t="s">
        <v>583</v>
      </c>
      <c r="I205" s="2" t="s">
        <v>1787</v>
      </c>
      <c r="J205" s="2" t="s">
        <v>85</v>
      </c>
      <c r="K205" s="2" t="s">
        <v>37</v>
      </c>
      <c r="P205" s="2" t="s">
        <v>22</v>
      </c>
      <c r="Q205" s="2" t="s">
        <v>1832</v>
      </c>
      <c r="R205" s="2" t="s">
        <v>41</v>
      </c>
      <c r="S205" s="2" t="s">
        <v>46</v>
      </c>
      <c r="T205" s="2" t="s">
        <v>50</v>
      </c>
      <c r="U205" s="2" t="s">
        <v>52</v>
      </c>
      <c r="AB205" s="4"/>
      <c r="AC205" s="4"/>
      <c r="AD205" s="4"/>
      <c r="AE205" s="4"/>
      <c r="AH205" s="2" t="s">
        <v>4</v>
      </c>
      <c r="AN205" s="2">
        <v>43</v>
      </c>
      <c r="AO205" s="2">
        <v>-6.1774000000000004E-3</v>
      </c>
      <c r="AR205" s="2" t="s">
        <v>849</v>
      </c>
      <c r="AS205" s="2" t="s">
        <v>849</v>
      </c>
      <c r="AU205" s="2" t="s">
        <v>1827</v>
      </c>
      <c r="AV205" s="2" t="s">
        <v>1830</v>
      </c>
      <c r="AW205" s="2" t="s">
        <v>1832</v>
      </c>
      <c r="AY205" s="2" t="s">
        <v>1835</v>
      </c>
    </row>
    <row r="206" spans="1:51" x14ac:dyDescent="0.2">
      <c r="A206" s="2" t="s">
        <v>578</v>
      </c>
      <c r="B206" s="2" t="s">
        <v>579</v>
      </c>
      <c r="C206" s="2" t="s">
        <v>580</v>
      </c>
      <c r="D206" s="2">
        <v>2013</v>
      </c>
      <c r="E206" s="2" t="s">
        <v>581</v>
      </c>
      <c r="F206" s="2" t="s">
        <v>582</v>
      </c>
      <c r="G206" s="2" t="s">
        <v>981</v>
      </c>
      <c r="H206" s="2" t="s">
        <v>584</v>
      </c>
      <c r="I206" s="2" t="s">
        <v>1787</v>
      </c>
      <c r="J206" s="2" t="s">
        <v>85</v>
      </c>
      <c r="K206" s="2" t="s">
        <v>37</v>
      </c>
      <c r="P206" s="2" t="s">
        <v>22</v>
      </c>
      <c r="Q206" s="2" t="s">
        <v>1832</v>
      </c>
      <c r="R206" s="2" t="s">
        <v>40</v>
      </c>
      <c r="S206" s="2" t="s">
        <v>42</v>
      </c>
      <c r="T206" s="2" t="s">
        <v>50</v>
      </c>
      <c r="U206" s="2" t="s">
        <v>52</v>
      </c>
      <c r="AB206" s="4"/>
      <c r="AC206" s="4"/>
      <c r="AD206" s="4"/>
      <c r="AE206" s="4"/>
      <c r="AH206" s="2" t="s">
        <v>4</v>
      </c>
      <c r="AN206" s="2">
        <v>44</v>
      </c>
      <c r="AO206" s="2">
        <v>0.32218082150430499</v>
      </c>
      <c r="AR206" s="2" t="s">
        <v>849</v>
      </c>
      <c r="AS206" s="2" t="s">
        <v>849</v>
      </c>
      <c r="AU206" s="2" t="s">
        <v>1827</v>
      </c>
      <c r="AV206" s="2" t="s">
        <v>1830</v>
      </c>
      <c r="AW206" s="2" t="s">
        <v>1832</v>
      </c>
      <c r="AY206" s="2" t="s">
        <v>1835</v>
      </c>
    </row>
    <row r="207" spans="1:51" x14ac:dyDescent="0.2">
      <c r="A207" s="2" t="s">
        <v>578</v>
      </c>
      <c r="B207" s="2" t="s">
        <v>579</v>
      </c>
      <c r="C207" s="2" t="s">
        <v>580</v>
      </c>
      <c r="D207" s="2">
        <v>2013</v>
      </c>
      <c r="E207" s="2" t="s">
        <v>581</v>
      </c>
      <c r="F207" s="2" t="s">
        <v>582</v>
      </c>
      <c r="G207" s="2" t="s">
        <v>981</v>
      </c>
      <c r="H207" s="2" t="s">
        <v>585</v>
      </c>
      <c r="I207" s="2" t="s">
        <v>1787</v>
      </c>
      <c r="J207" s="2" t="s">
        <v>85</v>
      </c>
      <c r="K207" s="2" t="s">
        <v>37</v>
      </c>
      <c r="P207" s="2" t="s">
        <v>22</v>
      </c>
      <c r="Q207" s="2" t="s">
        <v>1832</v>
      </c>
      <c r="R207" s="2" t="s">
        <v>40</v>
      </c>
      <c r="S207" s="2" t="s">
        <v>45</v>
      </c>
      <c r="T207" s="2" t="s">
        <v>50</v>
      </c>
      <c r="U207" s="2" t="s">
        <v>52</v>
      </c>
      <c r="AB207" s="4"/>
      <c r="AC207" s="4"/>
      <c r="AD207" s="4"/>
      <c r="AE207" s="4"/>
      <c r="AH207" s="2" t="s">
        <v>4</v>
      </c>
      <c r="AN207" s="2">
        <v>39</v>
      </c>
      <c r="AO207" s="2">
        <v>-8.2771134080631102E-3</v>
      </c>
      <c r="AR207" s="2" t="s">
        <v>849</v>
      </c>
      <c r="AS207" s="2" t="s">
        <v>849</v>
      </c>
      <c r="AU207" s="2" t="s">
        <v>1827</v>
      </c>
      <c r="AV207" s="2" t="s">
        <v>1830</v>
      </c>
      <c r="AW207" s="2" t="s">
        <v>1832</v>
      </c>
      <c r="AY207" s="2" t="s">
        <v>1835</v>
      </c>
    </row>
    <row r="208" spans="1:51" x14ac:dyDescent="0.2">
      <c r="A208" s="2" t="s">
        <v>599</v>
      </c>
      <c r="B208" s="2" t="s">
        <v>600</v>
      </c>
      <c r="C208" s="2" t="s">
        <v>601</v>
      </c>
      <c r="D208" s="2">
        <v>2014</v>
      </c>
      <c r="E208" s="2" t="s">
        <v>589</v>
      </c>
      <c r="F208" s="2" t="s">
        <v>590</v>
      </c>
      <c r="G208" s="2" t="s">
        <v>982</v>
      </c>
      <c r="H208" s="2" t="s">
        <v>586</v>
      </c>
      <c r="I208" s="2" t="s">
        <v>1104</v>
      </c>
      <c r="J208" s="2" t="s">
        <v>85</v>
      </c>
      <c r="K208" s="2" t="s">
        <v>38</v>
      </c>
      <c r="L208" s="2" t="s">
        <v>11</v>
      </c>
      <c r="M208" s="2" t="s">
        <v>14</v>
      </c>
      <c r="N208" s="2" t="s">
        <v>21</v>
      </c>
      <c r="O208" s="2">
        <v>0</v>
      </c>
      <c r="P208" s="2" t="s">
        <v>22</v>
      </c>
      <c r="Q208" s="2" t="s">
        <v>26</v>
      </c>
      <c r="T208" s="2" t="s">
        <v>50</v>
      </c>
      <c r="U208" s="2" t="s">
        <v>52</v>
      </c>
      <c r="X208" s="2">
        <v>90</v>
      </c>
      <c r="Y208" s="2">
        <v>42</v>
      </c>
      <c r="AB208" s="2">
        <v>137.434554973822</v>
      </c>
      <c r="AC208" s="2">
        <v>27.318105441244999</v>
      </c>
      <c r="AD208" s="2">
        <v>192.14659685863899</v>
      </c>
      <c r="AE208" s="2">
        <v>72.950746081554399</v>
      </c>
      <c r="AF208" s="2" t="s">
        <v>74</v>
      </c>
      <c r="AG208" s="2" t="s">
        <v>64</v>
      </c>
      <c r="AH208" s="2" t="str">
        <f>IF(AF208="mean", "mean", "")</f>
        <v>mean</v>
      </c>
      <c r="AR208" s="2" t="s">
        <v>849</v>
      </c>
      <c r="AS208" s="2" t="s">
        <v>849</v>
      </c>
      <c r="AU208" s="2" t="s">
        <v>1818</v>
      </c>
      <c r="AV208" s="2" t="s">
        <v>1822</v>
      </c>
      <c r="AW208" s="2" t="s">
        <v>1823</v>
      </c>
      <c r="AX208" s="2" t="s">
        <v>1826</v>
      </c>
      <c r="AY208" s="2" t="s">
        <v>79</v>
      </c>
    </row>
    <row r="209" spans="1:51" x14ac:dyDescent="0.2">
      <c r="A209" s="2" t="s">
        <v>599</v>
      </c>
      <c r="B209" s="2" t="s">
        <v>600</v>
      </c>
      <c r="C209" s="2" t="s">
        <v>601</v>
      </c>
      <c r="D209" s="2">
        <v>2014</v>
      </c>
      <c r="E209" s="2" t="s">
        <v>589</v>
      </c>
      <c r="F209" s="2" t="s">
        <v>590</v>
      </c>
      <c r="G209" s="2" t="s">
        <v>982</v>
      </c>
      <c r="H209" s="2" t="s">
        <v>587</v>
      </c>
      <c r="I209" s="2" t="s">
        <v>1104</v>
      </c>
      <c r="J209" s="2" t="s">
        <v>85</v>
      </c>
      <c r="K209" s="2" t="s">
        <v>38</v>
      </c>
      <c r="L209" s="2" t="s">
        <v>11</v>
      </c>
      <c r="M209" s="2" t="s">
        <v>14</v>
      </c>
      <c r="N209" s="2" t="s">
        <v>21</v>
      </c>
      <c r="O209" s="2">
        <v>0</v>
      </c>
      <c r="P209" s="2" t="s">
        <v>22</v>
      </c>
      <c r="Q209" s="2" t="s">
        <v>26</v>
      </c>
      <c r="T209" s="2" t="s">
        <v>50</v>
      </c>
      <c r="U209" s="2" t="s">
        <v>52</v>
      </c>
      <c r="X209" s="2">
        <v>90</v>
      </c>
      <c r="Y209" s="2">
        <v>48</v>
      </c>
      <c r="AB209" s="2">
        <v>137.434554973822</v>
      </c>
      <c r="AC209" s="2">
        <v>27.318105441244999</v>
      </c>
      <c r="AD209" s="2">
        <v>135.07853403141399</v>
      </c>
      <c r="AE209" s="2">
        <v>21.7639892050538</v>
      </c>
      <c r="AF209" s="2" t="s">
        <v>74</v>
      </c>
      <c r="AG209" s="2" t="s">
        <v>64</v>
      </c>
      <c r="AH209" s="2" t="str">
        <f>IF(AF209="mean", "mean", "")</f>
        <v>mean</v>
      </c>
      <c r="AR209" s="2" t="s">
        <v>849</v>
      </c>
      <c r="AS209" s="2" t="s">
        <v>849</v>
      </c>
      <c r="AU209" s="2" t="s">
        <v>1818</v>
      </c>
      <c r="AV209" s="2" t="s">
        <v>1822</v>
      </c>
      <c r="AW209" s="2" t="s">
        <v>1823</v>
      </c>
      <c r="AX209" s="2" t="s">
        <v>1826</v>
      </c>
      <c r="AY209" s="2" t="s">
        <v>79</v>
      </c>
    </row>
    <row r="210" spans="1:51" x14ac:dyDescent="0.2">
      <c r="A210" s="2" t="s">
        <v>603</v>
      </c>
      <c r="B210" s="2" t="s">
        <v>600</v>
      </c>
      <c r="C210" s="2" t="s">
        <v>604</v>
      </c>
      <c r="D210" s="2">
        <v>2015</v>
      </c>
      <c r="E210" s="2" t="s">
        <v>605</v>
      </c>
      <c r="F210" s="2" t="s">
        <v>602</v>
      </c>
      <c r="G210" s="2" t="s">
        <v>983</v>
      </c>
      <c r="H210" s="2" t="s">
        <v>591</v>
      </c>
      <c r="I210" s="2" t="s">
        <v>1068</v>
      </c>
      <c r="J210" s="2" t="s">
        <v>32</v>
      </c>
      <c r="K210" s="2" t="s">
        <v>37</v>
      </c>
      <c r="P210" s="2" t="s">
        <v>79</v>
      </c>
      <c r="Q210" s="2" t="s">
        <v>30</v>
      </c>
      <c r="R210" s="2" t="s">
        <v>41</v>
      </c>
      <c r="S210" s="2" t="s">
        <v>46</v>
      </c>
      <c r="T210" s="2" t="s">
        <v>50</v>
      </c>
      <c r="U210" s="2" t="s">
        <v>52</v>
      </c>
      <c r="X210" s="2">
        <v>26</v>
      </c>
      <c r="Y210" s="2">
        <v>29</v>
      </c>
      <c r="AB210" s="2">
        <v>51.2435321270084</v>
      </c>
      <c r="AC210" s="2">
        <v>9.3289187513280307</v>
      </c>
      <c r="AD210" s="2">
        <v>55.1714979170413</v>
      </c>
      <c r="AE210" s="2">
        <v>8.1832620625684491</v>
      </c>
      <c r="AF210" s="2" t="s">
        <v>74</v>
      </c>
      <c r="AG210" s="2" t="s">
        <v>64</v>
      </c>
      <c r="AH210" s="2" t="str">
        <f>IF(AF210="mean", "mean", "")</f>
        <v>mean</v>
      </c>
      <c r="AR210" s="2" t="s">
        <v>849</v>
      </c>
      <c r="AS210" s="2" t="s">
        <v>849</v>
      </c>
      <c r="AU210" s="2" t="s">
        <v>1818</v>
      </c>
      <c r="AV210" s="2" t="s">
        <v>1819</v>
      </c>
      <c r="AW210" s="2" t="s">
        <v>1823</v>
      </c>
      <c r="AX210" s="2" t="s">
        <v>1829</v>
      </c>
      <c r="AY210" s="2" t="s">
        <v>79</v>
      </c>
    </row>
    <row r="211" spans="1:51" x14ac:dyDescent="0.2">
      <c r="A211" s="2" t="s">
        <v>603</v>
      </c>
      <c r="B211" s="2" t="s">
        <v>600</v>
      </c>
      <c r="C211" s="2" t="s">
        <v>604</v>
      </c>
      <c r="D211" s="2">
        <v>2015</v>
      </c>
      <c r="E211" s="2" t="s">
        <v>605</v>
      </c>
      <c r="F211" s="2" t="s">
        <v>606</v>
      </c>
      <c r="G211" s="2" t="s">
        <v>984</v>
      </c>
      <c r="H211" s="2" t="s">
        <v>592</v>
      </c>
      <c r="I211" s="2" t="s">
        <v>1068</v>
      </c>
      <c r="J211" s="2" t="s">
        <v>32</v>
      </c>
      <c r="K211" s="2" t="s">
        <v>37</v>
      </c>
      <c r="P211" s="2" t="s">
        <v>79</v>
      </c>
      <c r="Q211" s="2" t="s">
        <v>30</v>
      </c>
      <c r="R211" s="2" t="s">
        <v>41</v>
      </c>
      <c r="S211" s="2" t="s">
        <v>46</v>
      </c>
      <c r="T211" s="2" t="s">
        <v>50</v>
      </c>
      <c r="U211" s="2" t="s">
        <v>52</v>
      </c>
      <c r="X211" s="2">
        <v>28</v>
      </c>
      <c r="Y211" s="2">
        <v>27</v>
      </c>
      <c r="AB211" s="2">
        <v>54.516836952035803</v>
      </c>
      <c r="AC211" s="2">
        <v>3.7643005487814798</v>
      </c>
      <c r="AD211" s="2">
        <v>40.114295721915298</v>
      </c>
      <c r="AE211" s="2">
        <v>15.0572021951259</v>
      </c>
      <c r="AF211" s="2" t="s">
        <v>74</v>
      </c>
      <c r="AG211" s="2" t="s">
        <v>64</v>
      </c>
      <c r="AH211" s="2" t="str">
        <f>IF(AF211="mean", "mean", "")</f>
        <v>mean</v>
      </c>
      <c r="AR211" s="2" t="s">
        <v>849</v>
      </c>
      <c r="AS211" s="2" t="s">
        <v>849</v>
      </c>
      <c r="AU211" s="2" t="s">
        <v>1818</v>
      </c>
      <c r="AV211" s="2" t="s">
        <v>1819</v>
      </c>
      <c r="AW211" s="2" t="s">
        <v>1823</v>
      </c>
      <c r="AX211" s="2" t="s">
        <v>1829</v>
      </c>
      <c r="AY211" s="2" t="s">
        <v>79</v>
      </c>
    </row>
    <row r="212" spans="1:51" x14ac:dyDescent="0.2">
      <c r="A212" s="2" t="s">
        <v>607</v>
      </c>
      <c r="B212" s="2" t="s">
        <v>608</v>
      </c>
      <c r="C212" s="2" t="s">
        <v>609</v>
      </c>
      <c r="D212" s="2">
        <v>2016</v>
      </c>
      <c r="E212" s="2" t="s">
        <v>610</v>
      </c>
      <c r="F212" s="2" t="s">
        <v>611</v>
      </c>
      <c r="G212" s="2" t="s">
        <v>985</v>
      </c>
      <c r="H212" s="2" t="s">
        <v>593</v>
      </c>
      <c r="I212" s="2" t="s">
        <v>514</v>
      </c>
      <c r="J212" s="2" t="s">
        <v>85</v>
      </c>
      <c r="K212" s="2" t="s">
        <v>38</v>
      </c>
      <c r="L212" s="2" t="s">
        <v>12</v>
      </c>
      <c r="P212" s="2" t="s">
        <v>22</v>
      </c>
      <c r="Q212" s="2" t="s">
        <v>30</v>
      </c>
      <c r="R212" s="2" t="s">
        <v>41</v>
      </c>
      <c r="S212" s="2" t="s">
        <v>48</v>
      </c>
      <c r="T212" s="2" t="s">
        <v>50</v>
      </c>
      <c r="U212" s="2" t="s">
        <v>52</v>
      </c>
      <c r="X212" s="2">
        <v>10</v>
      </c>
      <c r="Y212" s="2">
        <v>10</v>
      </c>
      <c r="AB212" s="2">
        <v>0.62804878048780499</v>
      </c>
      <c r="AC212" s="2">
        <v>1.5618566492295001</v>
      </c>
      <c r="AD212" s="2">
        <v>0.48780487804878098</v>
      </c>
      <c r="AE212" s="2">
        <v>1.1954952129904799</v>
      </c>
      <c r="AF212" s="2" t="s">
        <v>74</v>
      </c>
      <c r="AG212" s="2" t="s">
        <v>64</v>
      </c>
      <c r="AH212" s="2" t="str">
        <f>IF(AF212="mean", "mean", "")</f>
        <v>mean</v>
      </c>
      <c r="AR212" s="2" t="s">
        <v>222</v>
      </c>
      <c r="AS212" s="2" t="s">
        <v>849</v>
      </c>
      <c r="AU212" s="2" t="s">
        <v>1818</v>
      </c>
      <c r="AV212" s="2" t="s">
        <v>1822</v>
      </c>
      <c r="AW212" s="2" t="s">
        <v>1823</v>
      </c>
      <c r="AX212" s="2" t="s">
        <v>1826</v>
      </c>
      <c r="AY212" s="2" t="s">
        <v>79</v>
      </c>
    </row>
    <row r="213" spans="1:51" x14ac:dyDescent="0.2">
      <c r="A213" s="2" t="s">
        <v>612</v>
      </c>
      <c r="B213" s="2" t="s">
        <v>613</v>
      </c>
      <c r="C213" s="2" t="s">
        <v>614</v>
      </c>
      <c r="D213" s="2">
        <v>2008</v>
      </c>
      <c r="E213" s="2" t="s">
        <v>615</v>
      </c>
      <c r="F213" s="2" t="s">
        <v>616</v>
      </c>
      <c r="G213" s="2" t="s">
        <v>986</v>
      </c>
      <c r="H213" s="2" t="s">
        <v>594</v>
      </c>
      <c r="I213" s="2" t="s">
        <v>1788</v>
      </c>
      <c r="J213" s="2" t="s">
        <v>34</v>
      </c>
      <c r="K213" s="2" t="s">
        <v>38</v>
      </c>
      <c r="L213" s="2" t="s">
        <v>11</v>
      </c>
      <c r="M213" s="2" t="s">
        <v>14</v>
      </c>
      <c r="N213" s="2" t="s">
        <v>20</v>
      </c>
      <c r="O213" s="2">
        <v>0</v>
      </c>
      <c r="P213" s="2" t="s">
        <v>22</v>
      </c>
      <c r="Q213" s="2" t="s">
        <v>30</v>
      </c>
      <c r="T213" s="2" t="s">
        <v>50</v>
      </c>
      <c r="U213" s="2" t="s">
        <v>52</v>
      </c>
      <c r="V213" s="2">
        <v>167</v>
      </c>
      <c r="W213" s="2">
        <v>2</v>
      </c>
      <c r="X213" s="2">
        <v>43</v>
      </c>
      <c r="Y213" s="2">
        <v>43</v>
      </c>
      <c r="Z213" s="2">
        <v>18.54</v>
      </c>
      <c r="AA213" s="2">
        <v>27.41</v>
      </c>
      <c r="AB213" s="4"/>
      <c r="AC213" s="4"/>
      <c r="AD213" s="4"/>
      <c r="AE213" s="4"/>
      <c r="AH213" s="2" t="s">
        <v>1804</v>
      </c>
      <c r="AR213" s="2" t="s">
        <v>849</v>
      </c>
      <c r="AS213" s="2" t="s">
        <v>222</v>
      </c>
      <c r="AU213" s="2" t="s">
        <v>1818</v>
      </c>
      <c r="AV213" s="2" t="s">
        <v>1830</v>
      </c>
      <c r="AW213" s="2" t="s">
        <v>1820</v>
      </c>
      <c r="AX213" s="2" t="s">
        <v>1821</v>
      </c>
      <c r="AY213" s="2" t="s">
        <v>79</v>
      </c>
    </row>
    <row r="214" spans="1:51" x14ac:dyDescent="0.2">
      <c r="A214" s="2" t="s">
        <v>612</v>
      </c>
      <c r="B214" s="2" t="s">
        <v>613</v>
      </c>
      <c r="C214" s="2" t="s">
        <v>614</v>
      </c>
      <c r="D214" s="2">
        <v>2008</v>
      </c>
      <c r="E214" s="2" t="s">
        <v>615</v>
      </c>
      <c r="F214" s="2" t="s">
        <v>622</v>
      </c>
      <c r="G214" s="2" t="s">
        <v>987</v>
      </c>
      <c r="H214" s="2" t="s">
        <v>595</v>
      </c>
      <c r="I214" s="2" t="s">
        <v>1788</v>
      </c>
      <c r="J214" s="2" t="s">
        <v>34</v>
      </c>
      <c r="K214" s="2" t="s">
        <v>38</v>
      </c>
      <c r="L214" s="2" t="s">
        <v>11</v>
      </c>
      <c r="M214" s="2" t="s">
        <v>14</v>
      </c>
      <c r="N214" s="2" t="s">
        <v>20</v>
      </c>
      <c r="O214" s="2">
        <v>0</v>
      </c>
      <c r="P214" s="2" t="s">
        <v>22</v>
      </c>
      <c r="Q214" s="2" t="s">
        <v>30</v>
      </c>
      <c r="T214" s="2" t="s">
        <v>50</v>
      </c>
      <c r="U214" s="2" t="s">
        <v>52</v>
      </c>
      <c r="V214" s="2">
        <v>167</v>
      </c>
      <c r="W214" s="2">
        <v>2</v>
      </c>
      <c r="X214" s="2">
        <v>46</v>
      </c>
      <c r="Y214" s="2">
        <v>47</v>
      </c>
      <c r="Z214" s="2">
        <v>24.13</v>
      </c>
      <c r="AA214" s="2">
        <v>38.020000000000003</v>
      </c>
      <c r="AB214" s="4"/>
      <c r="AC214" s="4"/>
      <c r="AD214" s="4"/>
      <c r="AE214" s="4"/>
      <c r="AH214" s="2" t="s">
        <v>1804</v>
      </c>
      <c r="AR214" s="2" t="s">
        <v>849</v>
      </c>
      <c r="AS214" s="2" t="s">
        <v>222</v>
      </c>
      <c r="AU214" s="2" t="s">
        <v>1818</v>
      </c>
      <c r="AV214" s="2" t="s">
        <v>1830</v>
      </c>
      <c r="AW214" s="2" t="s">
        <v>1820</v>
      </c>
      <c r="AX214" s="2" t="s">
        <v>1821</v>
      </c>
      <c r="AY214" s="2" t="s">
        <v>79</v>
      </c>
    </row>
    <row r="215" spans="1:51" x14ac:dyDescent="0.2">
      <c r="A215" s="2" t="s">
        <v>612</v>
      </c>
      <c r="B215" s="2" t="s">
        <v>613</v>
      </c>
      <c r="C215" s="2" t="s">
        <v>614</v>
      </c>
      <c r="D215" s="2">
        <v>2008</v>
      </c>
      <c r="E215" s="2" t="s">
        <v>615</v>
      </c>
      <c r="F215" s="2" t="s">
        <v>623</v>
      </c>
      <c r="G215" s="2" t="s">
        <v>988</v>
      </c>
      <c r="H215" s="2" t="s">
        <v>596</v>
      </c>
      <c r="I215" s="2" t="s">
        <v>1788</v>
      </c>
      <c r="J215" s="2" t="s">
        <v>34</v>
      </c>
      <c r="K215" s="2" t="s">
        <v>38</v>
      </c>
      <c r="L215" s="2" t="s">
        <v>11</v>
      </c>
      <c r="M215" s="2" t="s">
        <v>14</v>
      </c>
      <c r="N215" s="2" t="s">
        <v>20</v>
      </c>
      <c r="O215" s="2">
        <v>0</v>
      </c>
      <c r="P215" s="2" t="s">
        <v>22</v>
      </c>
      <c r="Q215" s="2" t="s">
        <v>27</v>
      </c>
      <c r="T215" s="2" t="s">
        <v>50</v>
      </c>
      <c r="U215" s="2" t="s">
        <v>52</v>
      </c>
      <c r="V215" s="2">
        <v>168</v>
      </c>
      <c r="W215" s="2">
        <v>4</v>
      </c>
      <c r="X215" s="2">
        <v>21</v>
      </c>
      <c r="Y215" s="2">
        <v>21</v>
      </c>
      <c r="AB215" s="2">
        <v>32.9166666666667</v>
      </c>
      <c r="AC215" s="2">
        <v>31.823442326082201</v>
      </c>
      <c r="AD215" s="2">
        <v>15.6944444444444</v>
      </c>
      <c r="AE215" s="2">
        <v>22.912878474779198</v>
      </c>
      <c r="AF215" s="2" t="s">
        <v>74</v>
      </c>
      <c r="AG215" s="2" t="s">
        <v>64</v>
      </c>
      <c r="AH215" s="2" t="str">
        <f>IF(AF215="mean", "mean", "")</f>
        <v>mean</v>
      </c>
      <c r="AR215" s="2" t="s">
        <v>849</v>
      </c>
      <c r="AS215" s="2" t="s">
        <v>849</v>
      </c>
      <c r="AU215" s="2" t="s">
        <v>1818</v>
      </c>
      <c r="AV215" s="2" t="s">
        <v>1830</v>
      </c>
      <c r="AW215" s="2" t="s">
        <v>1820</v>
      </c>
      <c r="AX215" s="2" t="s">
        <v>1821</v>
      </c>
      <c r="AY215" s="2" t="s">
        <v>79</v>
      </c>
    </row>
    <row r="216" spans="1:51" x14ac:dyDescent="0.2">
      <c r="A216" s="2" t="s">
        <v>612</v>
      </c>
      <c r="B216" s="2" t="s">
        <v>613</v>
      </c>
      <c r="C216" s="2" t="s">
        <v>614</v>
      </c>
      <c r="D216" s="2">
        <v>2008</v>
      </c>
      <c r="E216" s="2" t="s">
        <v>615</v>
      </c>
      <c r="F216" s="2" t="s">
        <v>624</v>
      </c>
      <c r="G216" s="2" t="s">
        <v>989</v>
      </c>
      <c r="H216" s="2" t="s">
        <v>597</v>
      </c>
      <c r="I216" s="2" t="s">
        <v>1788</v>
      </c>
      <c r="J216" s="2" t="s">
        <v>34</v>
      </c>
      <c r="K216" s="2" t="s">
        <v>37</v>
      </c>
      <c r="P216" s="2" t="s">
        <v>22</v>
      </c>
      <c r="Q216" s="2" t="s">
        <v>30</v>
      </c>
      <c r="R216" s="2" t="s">
        <v>41</v>
      </c>
      <c r="S216" s="2" t="s">
        <v>46</v>
      </c>
      <c r="T216" s="2" t="s">
        <v>50</v>
      </c>
      <c r="U216" s="2" t="s">
        <v>54</v>
      </c>
      <c r="X216" s="2">
        <v>50</v>
      </c>
      <c r="Y216" s="2">
        <v>48</v>
      </c>
      <c r="AB216" s="4">
        <v>79.900000000000006</v>
      </c>
      <c r="AC216" s="4">
        <v>2.2000000000000002</v>
      </c>
      <c r="AD216" s="4">
        <v>79.5</v>
      </c>
      <c r="AE216" s="4">
        <v>2.9</v>
      </c>
      <c r="AF216" s="2" t="s">
        <v>74</v>
      </c>
      <c r="AG216" s="2" t="s">
        <v>65</v>
      </c>
      <c r="AH216" s="2" t="str">
        <f>IF(AF216="mean", "mean", "")</f>
        <v>mean</v>
      </c>
      <c r="AR216" s="2" t="s">
        <v>849</v>
      </c>
      <c r="AS216" s="2" t="s">
        <v>849</v>
      </c>
      <c r="AU216" s="2" t="s">
        <v>1818</v>
      </c>
      <c r="AV216" s="2" t="s">
        <v>1830</v>
      </c>
      <c r="AW216" s="2" t="s">
        <v>1820</v>
      </c>
      <c r="AX216" s="2" t="s">
        <v>1821</v>
      </c>
      <c r="AY216" s="2" t="s">
        <v>79</v>
      </c>
    </row>
    <row r="217" spans="1:51" x14ac:dyDescent="0.2">
      <c r="A217" s="2" t="s">
        <v>612</v>
      </c>
      <c r="B217" s="2" t="s">
        <v>613</v>
      </c>
      <c r="C217" s="2" t="s">
        <v>614</v>
      </c>
      <c r="D217" s="2">
        <v>2008</v>
      </c>
      <c r="E217" s="2" t="s">
        <v>615</v>
      </c>
      <c r="F217" s="2" t="s">
        <v>624</v>
      </c>
      <c r="G217" s="2" t="s">
        <v>989</v>
      </c>
      <c r="H217" s="2" t="s">
        <v>598</v>
      </c>
      <c r="I217" s="2" t="s">
        <v>1788</v>
      </c>
      <c r="J217" s="2" t="s">
        <v>34</v>
      </c>
      <c r="K217" s="2" t="s">
        <v>37</v>
      </c>
      <c r="P217" s="2" t="s">
        <v>22</v>
      </c>
      <c r="Q217" s="2" t="s">
        <v>30</v>
      </c>
      <c r="R217" s="2" t="s">
        <v>40</v>
      </c>
      <c r="S217" s="2" t="s">
        <v>42</v>
      </c>
      <c r="T217" s="2" t="s">
        <v>50</v>
      </c>
      <c r="U217" s="2" t="s">
        <v>52</v>
      </c>
      <c r="V217" s="2">
        <v>168</v>
      </c>
      <c r="W217" s="2">
        <v>5</v>
      </c>
      <c r="X217" s="2">
        <v>50</v>
      </c>
      <c r="Y217" s="2">
        <v>48</v>
      </c>
      <c r="AB217" s="2">
        <v>3.6577181208053702</v>
      </c>
      <c r="AC217" s="2">
        <v>1.54234700594381</v>
      </c>
      <c r="AD217" s="4">
        <v>2.83557047</v>
      </c>
      <c r="AE217" s="4">
        <v>1.3949402479999999</v>
      </c>
      <c r="AF217" s="2" t="s">
        <v>74</v>
      </c>
      <c r="AG217" s="2" t="s">
        <v>64</v>
      </c>
      <c r="AH217" s="2" t="str">
        <f>IF(AF217="mean", "mean", "")</f>
        <v>mean</v>
      </c>
      <c r="AR217" s="2" t="s">
        <v>849</v>
      </c>
      <c r="AS217" s="2" t="s">
        <v>849</v>
      </c>
      <c r="AU217" s="2" t="s">
        <v>1818</v>
      </c>
      <c r="AV217" s="2" t="s">
        <v>1830</v>
      </c>
      <c r="AW217" s="2" t="s">
        <v>1820</v>
      </c>
      <c r="AX217" s="2" t="s">
        <v>1821</v>
      </c>
      <c r="AY217" s="2" t="s">
        <v>79</v>
      </c>
    </row>
    <row r="218" spans="1:51" x14ac:dyDescent="0.2">
      <c r="A218" s="2" t="s">
        <v>627</v>
      </c>
      <c r="B218" s="2" t="s">
        <v>628</v>
      </c>
      <c r="C218" s="2" t="s">
        <v>629</v>
      </c>
      <c r="D218" s="2">
        <v>2016</v>
      </c>
      <c r="E218" s="2" t="s">
        <v>630</v>
      </c>
      <c r="F218" s="2" t="s">
        <v>631</v>
      </c>
      <c r="G218" s="2" t="s">
        <v>990</v>
      </c>
      <c r="H218" s="2" t="s">
        <v>617</v>
      </c>
      <c r="I218" s="2" t="s">
        <v>1789</v>
      </c>
      <c r="J218" s="2" t="s">
        <v>32</v>
      </c>
      <c r="K218" s="2" t="s">
        <v>37</v>
      </c>
      <c r="P218" s="2" t="s">
        <v>22</v>
      </c>
      <c r="Q218" s="2" t="s">
        <v>28</v>
      </c>
      <c r="R218" s="2" t="s">
        <v>41</v>
      </c>
      <c r="S218" s="2" t="s">
        <v>46</v>
      </c>
      <c r="T218" s="2" t="s">
        <v>50</v>
      </c>
      <c r="U218" s="2" t="s">
        <v>632</v>
      </c>
      <c r="AB218" s="4"/>
      <c r="AC218" s="4"/>
      <c r="AD218" s="4"/>
      <c r="AE218" s="4"/>
      <c r="AH218" s="2" t="s">
        <v>4</v>
      </c>
      <c r="AN218" s="2">
        <v>28</v>
      </c>
      <c r="AO218" s="2">
        <v>0.31645332566426182</v>
      </c>
      <c r="AR218" s="2" t="s">
        <v>849</v>
      </c>
      <c r="AS218" s="2" t="s">
        <v>849</v>
      </c>
      <c r="AU218" s="2" t="s">
        <v>1818</v>
      </c>
      <c r="AV218" s="2" t="s">
        <v>1830</v>
      </c>
      <c r="AW218" s="2" t="s">
        <v>1823</v>
      </c>
      <c r="AX218" s="2" t="s">
        <v>1829</v>
      </c>
      <c r="AY218" s="2" t="s">
        <v>79</v>
      </c>
    </row>
    <row r="219" spans="1:51" x14ac:dyDescent="0.2">
      <c r="A219" s="2" t="s">
        <v>635</v>
      </c>
      <c r="B219" s="2" t="s">
        <v>2291</v>
      </c>
      <c r="C219" s="2" t="s">
        <v>636</v>
      </c>
      <c r="D219" s="2">
        <v>2012</v>
      </c>
      <c r="E219" s="2" t="s">
        <v>637</v>
      </c>
      <c r="F219" s="2" t="s">
        <v>638</v>
      </c>
      <c r="G219" s="2" t="s">
        <v>991</v>
      </c>
      <c r="H219" s="2" t="s">
        <v>618</v>
      </c>
      <c r="I219" s="2" t="s">
        <v>1104</v>
      </c>
      <c r="J219" s="2" t="s">
        <v>85</v>
      </c>
      <c r="K219" s="2" t="s">
        <v>38</v>
      </c>
      <c r="L219" s="2" t="s">
        <v>11</v>
      </c>
      <c r="M219" s="2" t="s">
        <v>14</v>
      </c>
      <c r="N219" s="2" t="s">
        <v>20</v>
      </c>
      <c r="O219" s="2">
        <v>0</v>
      </c>
      <c r="P219" s="2" t="s">
        <v>22</v>
      </c>
      <c r="Q219" s="2" t="s">
        <v>26</v>
      </c>
      <c r="T219" s="2" t="s">
        <v>50</v>
      </c>
      <c r="U219" s="2" t="s">
        <v>52</v>
      </c>
      <c r="V219" s="2">
        <v>25</v>
      </c>
      <c r="W219" s="2">
        <v>4</v>
      </c>
      <c r="X219" s="2">
        <v>30</v>
      </c>
      <c r="Y219" s="2">
        <v>30</v>
      </c>
      <c r="AB219" s="2">
        <v>73.918128654970801</v>
      </c>
      <c r="AC219" s="2">
        <v>66.623562550335905</v>
      </c>
      <c r="AD219" s="2">
        <v>106.666666666667</v>
      </c>
      <c r="AE219" s="2">
        <v>107.622677965927</v>
      </c>
      <c r="AF219" s="2" t="s">
        <v>74</v>
      </c>
      <c r="AG219" s="2" t="s">
        <v>64</v>
      </c>
      <c r="AH219" s="2" t="str">
        <f>IF(AF219="mean", "mean", "")</f>
        <v>mean</v>
      </c>
      <c r="AR219" s="2" t="s">
        <v>849</v>
      </c>
      <c r="AS219" s="2" t="s">
        <v>849</v>
      </c>
      <c r="AU219" s="2" t="s">
        <v>1818</v>
      </c>
      <c r="AV219" s="2" t="s">
        <v>1822</v>
      </c>
      <c r="AW219" s="2" t="s">
        <v>1823</v>
      </c>
      <c r="AX219" s="2" t="s">
        <v>1826</v>
      </c>
      <c r="AY219" s="2" t="s">
        <v>79</v>
      </c>
    </row>
    <row r="220" spans="1:51" x14ac:dyDescent="0.2">
      <c r="A220" s="2" t="s">
        <v>635</v>
      </c>
      <c r="B220" s="2" t="s">
        <v>2291</v>
      </c>
      <c r="C220" s="2" t="s">
        <v>636</v>
      </c>
      <c r="D220" s="2">
        <v>2012</v>
      </c>
      <c r="E220" s="2" t="s">
        <v>637</v>
      </c>
      <c r="F220" s="2" t="s">
        <v>638</v>
      </c>
      <c r="G220" s="2" t="s">
        <v>992</v>
      </c>
      <c r="H220" s="2" t="s">
        <v>619</v>
      </c>
      <c r="I220" s="2" t="s">
        <v>1104</v>
      </c>
      <c r="J220" s="2" t="s">
        <v>85</v>
      </c>
      <c r="K220" s="2" t="s">
        <v>38</v>
      </c>
      <c r="L220" s="2" t="s">
        <v>11</v>
      </c>
      <c r="M220" s="2" t="s">
        <v>14</v>
      </c>
      <c r="N220" s="2" t="s">
        <v>20</v>
      </c>
      <c r="O220" s="2">
        <v>0</v>
      </c>
      <c r="P220" s="2" t="s">
        <v>22</v>
      </c>
      <c r="Q220" s="2" t="s">
        <v>26</v>
      </c>
      <c r="T220" s="2" t="s">
        <v>50</v>
      </c>
      <c r="U220" s="2" t="s">
        <v>52</v>
      </c>
      <c r="V220" s="2">
        <v>25</v>
      </c>
      <c r="W220" s="2">
        <v>5</v>
      </c>
      <c r="X220" s="2">
        <v>28</v>
      </c>
      <c r="Y220" s="2">
        <v>28</v>
      </c>
      <c r="AB220" s="2">
        <v>43.461538461538503</v>
      </c>
      <c r="AC220" s="2">
        <v>19.522780329507899</v>
      </c>
      <c r="AD220" s="2">
        <v>56.623931623931597</v>
      </c>
      <c r="AE220" s="2">
        <v>20.050423041116201</v>
      </c>
      <c r="AF220" s="2" t="s">
        <v>74</v>
      </c>
      <c r="AG220" s="2" t="s">
        <v>64</v>
      </c>
      <c r="AH220" s="2" t="str">
        <f>IF(AF220="mean", "mean", "")</f>
        <v>mean</v>
      </c>
      <c r="AR220" s="2" t="s">
        <v>849</v>
      </c>
      <c r="AS220" s="2" t="s">
        <v>849</v>
      </c>
      <c r="AU220" s="2" t="s">
        <v>1818</v>
      </c>
      <c r="AV220" s="2" t="s">
        <v>1822</v>
      </c>
      <c r="AW220" s="2" t="s">
        <v>1823</v>
      </c>
      <c r="AX220" s="2" t="s">
        <v>1826</v>
      </c>
      <c r="AY220" s="2" t="s">
        <v>79</v>
      </c>
    </row>
    <row r="221" spans="1:51" x14ac:dyDescent="0.2">
      <c r="A221" s="2" t="s">
        <v>639</v>
      </c>
      <c r="B221" s="2" t="s">
        <v>640</v>
      </c>
      <c r="C221" s="2" t="s">
        <v>641</v>
      </c>
      <c r="D221" s="2">
        <v>2016</v>
      </c>
      <c r="E221" s="2" t="s">
        <v>642</v>
      </c>
      <c r="F221" s="2" t="s">
        <v>643</v>
      </c>
      <c r="G221" s="2" t="s">
        <v>993</v>
      </c>
      <c r="H221" s="2" t="s">
        <v>620</v>
      </c>
      <c r="I221" s="2" t="s">
        <v>512</v>
      </c>
      <c r="J221" s="2" t="s">
        <v>86</v>
      </c>
      <c r="K221" s="2" t="s">
        <v>38</v>
      </c>
      <c r="L221" s="2" t="s">
        <v>11</v>
      </c>
      <c r="M221" s="2" t="s">
        <v>14</v>
      </c>
      <c r="N221" s="2" t="s">
        <v>18</v>
      </c>
      <c r="O221" s="2">
        <v>0</v>
      </c>
      <c r="P221" s="2" t="s">
        <v>79</v>
      </c>
      <c r="Q221" s="2" t="s">
        <v>1840</v>
      </c>
      <c r="T221" s="2" t="s">
        <v>50</v>
      </c>
      <c r="U221" s="2" t="s">
        <v>632</v>
      </c>
      <c r="X221" s="2">
        <v>199</v>
      </c>
      <c r="Y221" s="2">
        <v>207</v>
      </c>
      <c r="AB221" s="2">
        <v>130.86934673366835</v>
      </c>
      <c r="AC221" s="2">
        <v>84.18259984247193</v>
      </c>
      <c r="AD221" s="2">
        <v>134.66666666666666</v>
      </c>
      <c r="AE221" s="2">
        <v>86.660984379317043</v>
      </c>
      <c r="AF221" s="2" t="s">
        <v>74</v>
      </c>
      <c r="AG221" s="2" t="s">
        <v>64</v>
      </c>
      <c r="AH221" s="2" t="str">
        <f>IF(AF221="mean", "mean", "")</f>
        <v>mean</v>
      </c>
      <c r="AR221" s="2" t="s">
        <v>849</v>
      </c>
      <c r="AS221" s="2" t="s">
        <v>849</v>
      </c>
      <c r="AU221" s="2" t="s">
        <v>1818</v>
      </c>
      <c r="AV221" s="2" t="s">
        <v>1830</v>
      </c>
      <c r="AW221" s="2" t="s">
        <v>1831</v>
      </c>
      <c r="AX221" s="2" t="s">
        <v>1829</v>
      </c>
      <c r="AY221" s="2" t="s">
        <v>79</v>
      </c>
    </row>
    <row r="222" spans="1:51" x14ac:dyDescent="0.2">
      <c r="A222" s="2" t="s">
        <v>649</v>
      </c>
      <c r="B222" s="2" t="s">
        <v>650</v>
      </c>
      <c r="C222" s="2" t="s">
        <v>651</v>
      </c>
      <c r="D222" s="2">
        <v>2012</v>
      </c>
      <c r="E222" s="2" t="s">
        <v>647</v>
      </c>
      <c r="F222" s="2" t="s">
        <v>648</v>
      </c>
      <c r="G222" s="2" t="s">
        <v>994</v>
      </c>
      <c r="H222" s="2" t="s">
        <v>621</v>
      </c>
      <c r="I222" s="2" t="s">
        <v>512</v>
      </c>
      <c r="J222" s="2" t="s">
        <v>86</v>
      </c>
      <c r="K222" s="2" t="s">
        <v>38</v>
      </c>
      <c r="L222" s="2" t="s">
        <v>11</v>
      </c>
      <c r="M222" s="2" t="s">
        <v>14</v>
      </c>
      <c r="N222" s="2" t="s">
        <v>17</v>
      </c>
      <c r="O222" s="2">
        <v>1</v>
      </c>
      <c r="P222" s="2" t="s">
        <v>23</v>
      </c>
      <c r="Q222" s="2" t="s">
        <v>81</v>
      </c>
      <c r="T222" s="2" t="s">
        <v>50</v>
      </c>
      <c r="U222" s="2" t="s">
        <v>52</v>
      </c>
      <c r="V222" s="2">
        <v>3580</v>
      </c>
      <c r="W222" s="2">
        <v>1</v>
      </c>
      <c r="X222" s="2">
        <v>25</v>
      </c>
      <c r="Y222" s="2">
        <v>25</v>
      </c>
      <c r="AB222" s="2">
        <v>0.94701298701298697</v>
      </c>
      <c r="AC222" s="2">
        <v>9.3506493506493302E-2</v>
      </c>
      <c r="AD222" s="2">
        <v>0.76467532467532395</v>
      </c>
      <c r="AE222" s="2">
        <v>0.128571428571429</v>
      </c>
      <c r="AF222" s="2" t="s">
        <v>74</v>
      </c>
      <c r="AG222" s="2" t="s">
        <v>64</v>
      </c>
      <c r="AH222" s="2" t="str">
        <f>IF(AF222="mean", "mean", "")</f>
        <v>mean</v>
      </c>
      <c r="AR222" s="2" t="s">
        <v>849</v>
      </c>
      <c r="AS222" s="2" t="s">
        <v>849</v>
      </c>
      <c r="AU222" s="2" t="s">
        <v>1818</v>
      </c>
      <c r="AV222" s="2" t="s">
        <v>1830</v>
      </c>
      <c r="AW222" s="2" t="s">
        <v>1831</v>
      </c>
      <c r="AX222" s="2" t="s">
        <v>1829</v>
      </c>
      <c r="AY222" s="2" t="s">
        <v>79</v>
      </c>
    </row>
    <row r="223" spans="1:51" x14ac:dyDescent="0.2">
      <c r="A223" s="2" t="s">
        <v>652</v>
      </c>
      <c r="B223" s="2" t="s">
        <v>653</v>
      </c>
      <c r="C223" s="2" t="s">
        <v>654</v>
      </c>
      <c r="D223" s="2">
        <v>2006</v>
      </c>
      <c r="E223" s="2" t="s">
        <v>655</v>
      </c>
      <c r="F223" s="2" t="s">
        <v>656</v>
      </c>
      <c r="G223" s="2" t="s">
        <v>995</v>
      </c>
      <c r="H223" s="2" t="s">
        <v>633</v>
      </c>
      <c r="I223" s="2" t="s">
        <v>1790</v>
      </c>
      <c r="J223" s="2" t="s">
        <v>85</v>
      </c>
      <c r="K223" s="2" t="s">
        <v>37</v>
      </c>
      <c r="P223" s="2" t="s">
        <v>22</v>
      </c>
      <c r="Q223" s="2" t="s">
        <v>1832</v>
      </c>
      <c r="R223" s="2" t="s">
        <v>40</v>
      </c>
      <c r="S223" s="2" t="s">
        <v>42</v>
      </c>
      <c r="T223" s="2" t="s">
        <v>50</v>
      </c>
      <c r="U223" s="2" t="s">
        <v>52</v>
      </c>
      <c r="V223" s="2">
        <v>470</v>
      </c>
      <c r="W223" s="2">
        <v>2</v>
      </c>
      <c r="AB223" s="4"/>
      <c r="AC223" s="4"/>
      <c r="AD223" s="4"/>
      <c r="AE223" s="4"/>
      <c r="AH223" s="2" t="s">
        <v>4</v>
      </c>
      <c r="AN223" s="2">
        <v>97</v>
      </c>
      <c r="AO223" s="2">
        <v>0.15546964678031899</v>
      </c>
      <c r="AR223" s="2" t="s">
        <v>849</v>
      </c>
      <c r="AS223" s="2" t="s">
        <v>849</v>
      </c>
      <c r="AU223" s="2" t="s">
        <v>1818</v>
      </c>
      <c r="AV223" s="2" t="s">
        <v>1830</v>
      </c>
      <c r="AW223" s="2" t="s">
        <v>1832</v>
      </c>
      <c r="AX223" s="2" t="s">
        <v>1821</v>
      </c>
      <c r="AY223" s="2" t="s">
        <v>79</v>
      </c>
    </row>
    <row r="224" spans="1:51" x14ac:dyDescent="0.2">
      <c r="A224" s="2" t="s">
        <v>652</v>
      </c>
      <c r="B224" s="2" t="s">
        <v>653</v>
      </c>
      <c r="C224" s="2" t="s">
        <v>654</v>
      </c>
      <c r="D224" s="2">
        <v>2006</v>
      </c>
      <c r="E224" s="2" t="s">
        <v>655</v>
      </c>
      <c r="F224" s="2" t="s">
        <v>656</v>
      </c>
      <c r="G224" s="2" t="s">
        <v>996</v>
      </c>
      <c r="H224" s="2" t="s">
        <v>634</v>
      </c>
      <c r="I224" s="2" t="s">
        <v>1790</v>
      </c>
      <c r="J224" s="2" t="s">
        <v>85</v>
      </c>
      <c r="K224" s="2" t="s">
        <v>37</v>
      </c>
      <c r="P224" s="2" t="s">
        <v>22</v>
      </c>
      <c r="Q224" s="2" t="s">
        <v>1832</v>
      </c>
      <c r="R224" s="2" t="s">
        <v>40</v>
      </c>
      <c r="S224" s="2" t="s">
        <v>42</v>
      </c>
      <c r="T224" s="2" t="s">
        <v>50</v>
      </c>
      <c r="U224" s="2" t="s">
        <v>52</v>
      </c>
      <c r="V224" s="2">
        <v>470</v>
      </c>
      <c r="W224" s="2">
        <v>2</v>
      </c>
      <c r="AB224" s="4"/>
      <c r="AC224" s="4"/>
      <c r="AD224" s="4"/>
      <c r="AE224" s="4"/>
      <c r="AH224" s="2" t="s">
        <v>4</v>
      </c>
      <c r="AN224" s="2">
        <v>92</v>
      </c>
      <c r="AO224" s="2">
        <v>0.208458815974187</v>
      </c>
      <c r="AR224" s="2" t="s">
        <v>849</v>
      </c>
      <c r="AS224" s="2" t="s">
        <v>849</v>
      </c>
      <c r="AU224" s="2" t="s">
        <v>1818</v>
      </c>
      <c r="AV224" s="2" t="s">
        <v>1830</v>
      </c>
      <c r="AW224" s="2" t="s">
        <v>1832</v>
      </c>
      <c r="AX224" s="2" t="s">
        <v>1821</v>
      </c>
      <c r="AY224" s="2" t="s">
        <v>79</v>
      </c>
    </row>
    <row r="225" spans="1:51" x14ac:dyDescent="0.2">
      <c r="A225" s="2" t="s">
        <v>657</v>
      </c>
      <c r="B225" s="2" t="s">
        <v>658</v>
      </c>
      <c r="C225" s="2" t="s">
        <v>659</v>
      </c>
      <c r="D225" s="2">
        <v>2002</v>
      </c>
      <c r="E225" s="2" t="s">
        <v>660</v>
      </c>
      <c r="F225" s="2" t="s">
        <v>661</v>
      </c>
      <c r="G225" s="2" t="s">
        <v>997</v>
      </c>
      <c r="H225" s="2" t="s">
        <v>644</v>
      </c>
      <c r="I225" s="2" t="s">
        <v>1104</v>
      </c>
      <c r="J225" s="2" t="s">
        <v>85</v>
      </c>
      <c r="K225" s="2" t="s">
        <v>37</v>
      </c>
      <c r="P225" s="2" t="s">
        <v>22</v>
      </c>
      <c r="Q225" s="2" t="s">
        <v>26</v>
      </c>
      <c r="R225" s="2" t="s">
        <v>41</v>
      </c>
      <c r="S225" s="2" t="s">
        <v>46</v>
      </c>
      <c r="T225" s="2" t="s">
        <v>50</v>
      </c>
      <c r="U225" s="2" t="s">
        <v>54</v>
      </c>
      <c r="V225" s="2">
        <v>1683</v>
      </c>
      <c r="W225" s="2">
        <v>1</v>
      </c>
      <c r="X225" s="2">
        <v>73</v>
      </c>
      <c r="Y225" s="2">
        <v>73</v>
      </c>
      <c r="AB225" s="4">
        <v>39.799999999999997</v>
      </c>
      <c r="AC225" s="4">
        <v>13.2</v>
      </c>
      <c r="AD225" s="4">
        <v>59.1</v>
      </c>
      <c r="AE225" s="4">
        <v>15.6</v>
      </c>
      <c r="AF225" s="2" t="s">
        <v>74</v>
      </c>
      <c r="AG225" s="2" t="s">
        <v>64</v>
      </c>
      <c r="AH225" s="2" t="str">
        <f t="shared" ref="AH225:AH232" si="7">IF(AF225="mean", "mean", "")</f>
        <v>mean</v>
      </c>
      <c r="AR225" s="2" t="s">
        <v>849</v>
      </c>
      <c r="AS225" s="2" t="s">
        <v>849</v>
      </c>
      <c r="AU225" s="2" t="s">
        <v>1818</v>
      </c>
      <c r="AV225" s="2" t="s">
        <v>1822</v>
      </c>
      <c r="AW225" s="2" t="s">
        <v>1823</v>
      </c>
      <c r="AX225" s="2" t="s">
        <v>1826</v>
      </c>
      <c r="AY225" s="2" t="s">
        <v>79</v>
      </c>
    </row>
    <row r="226" spans="1:51" x14ac:dyDescent="0.2">
      <c r="A226" s="2" t="s">
        <v>657</v>
      </c>
      <c r="B226" s="2" t="s">
        <v>658</v>
      </c>
      <c r="C226" s="2" t="s">
        <v>659</v>
      </c>
      <c r="D226" s="2">
        <v>2002</v>
      </c>
      <c r="E226" s="2" t="s">
        <v>660</v>
      </c>
      <c r="F226" s="2" t="s">
        <v>661</v>
      </c>
      <c r="G226" s="2" t="s">
        <v>998</v>
      </c>
      <c r="H226" s="2" t="s">
        <v>645</v>
      </c>
      <c r="I226" s="2" t="s">
        <v>1104</v>
      </c>
      <c r="J226" s="2" t="s">
        <v>85</v>
      </c>
      <c r="K226" s="2" t="s">
        <v>37</v>
      </c>
      <c r="P226" s="2" t="s">
        <v>22</v>
      </c>
      <c r="Q226" s="2" t="s">
        <v>26</v>
      </c>
      <c r="R226" s="2" t="s">
        <v>40</v>
      </c>
      <c r="S226" s="2" t="s">
        <v>42</v>
      </c>
      <c r="T226" s="2" t="s">
        <v>50</v>
      </c>
      <c r="U226" s="2" t="s">
        <v>54</v>
      </c>
      <c r="X226" s="2">
        <v>82</v>
      </c>
      <c r="Y226" s="2">
        <v>82</v>
      </c>
      <c r="AB226" s="4">
        <v>12.1</v>
      </c>
      <c r="AC226" s="4">
        <v>27.6</v>
      </c>
      <c r="AD226" s="4">
        <v>49.9</v>
      </c>
      <c r="AE226" s="4">
        <v>56.7</v>
      </c>
      <c r="AF226" s="2" t="s">
        <v>74</v>
      </c>
      <c r="AG226" s="2" t="s">
        <v>64</v>
      </c>
      <c r="AH226" s="2" t="str">
        <f t="shared" si="7"/>
        <v>mean</v>
      </c>
      <c r="AR226" s="2" t="s">
        <v>849</v>
      </c>
      <c r="AS226" s="2" t="s">
        <v>849</v>
      </c>
      <c r="AU226" s="2" t="s">
        <v>1818</v>
      </c>
      <c r="AV226" s="2" t="s">
        <v>1822</v>
      </c>
      <c r="AW226" s="2" t="s">
        <v>1823</v>
      </c>
      <c r="AX226" s="2" t="s">
        <v>1826</v>
      </c>
      <c r="AY226" s="2" t="s">
        <v>79</v>
      </c>
    </row>
    <row r="227" spans="1:51" x14ac:dyDescent="0.2">
      <c r="A227" s="2" t="s">
        <v>657</v>
      </c>
      <c r="B227" s="2" t="s">
        <v>658</v>
      </c>
      <c r="C227" s="2" t="s">
        <v>659</v>
      </c>
      <c r="D227" s="2">
        <v>2002</v>
      </c>
      <c r="E227" s="2" t="s">
        <v>660</v>
      </c>
      <c r="F227" s="2" t="s">
        <v>661</v>
      </c>
      <c r="G227" s="2" t="s">
        <v>999</v>
      </c>
      <c r="H227" s="2" t="s">
        <v>662</v>
      </c>
      <c r="I227" s="2" t="s">
        <v>1104</v>
      </c>
      <c r="J227" s="2" t="s">
        <v>85</v>
      </c>
      <c r="K227" s="2" t="s">
        <v>37</v>
      </c>
      <c r="P227" s="2" t="s">
        <v>22</v>
      </c>
      <c r="Q227" s="2" t="s">
        <v>26</v>
      </c>
      <c r="R227" s="2" t="s">
        <v>41</v>
      </c>
      <c r="S227" s="2" t="s">
        <v>46</v>
      </c>
      <c r="T227" s="2" t="s">
        <v>50</v>
      </c>
      <c r="U227" s="2" t="s">
        <v>54</v>
      </c>
      <c r="X227" s="2">
        <v>38</v>
      </c>
      <c r="Y227" s="2">
        <v>38</v>
      </c>
      <c r="AB227" s="4">
        <v>84.17</v>
      </c>
      <c r="AC227" s="4">
        <v>21.8</v>
      </c>
      <c r="AD227" s="4">
        <v>120.3</v>
      </c>
      <c r="AE227" s="4">
        <v>21.8</v>
      </c>
      <c r="AF227" s="2" t="s">
        <v>74</v>
      </c>
      <c r="AG227" s="2" t="s">
        <v>64</v>
      </c>
      <c r="AH227" s="2" t="str">
        <f t="shared" si="7"/>
        <v>mean</v>
      </c>
      <c r="AR227" s="2" t="s">
        <v>849</v>
      </c>
      <c r="AS227" s="2" t="s">
        <v>849</v>
      </c>
      <c r="AU227" s="2" t="s">
        <v>1818</v>
      </c>
      <c r="AV227" s="2" t="s">
        <v>1822</v>
      </c>
      <c r="AW227" s="2" t="s">
        <v>1823</v>
      </c>
      <c r="AX227" s="2" t="s">
        <v>1826</v>
      </c>
      <c r="AY227" s="2" t="s">
        <v>79</v>
      </c>
    </row>
    <row r="228" spans="1:51" x14ac:dyDescent="0.2">
      <c r="A228" s="2" t="s">
        <v>657</v>
      </c>
      <c r="B228" s="2" t="s">
        <v>658</v>
      </c>
      <c r="C228" s="2" t="s">
        <v>659</v>
      </c>
      <c r="D228" s="2">
        <v>2002</v>
      </c>
      <c r="E228" s="2" t="s">
        <v>660</v>
      </c>
      <c r="F228" s="2" t="s">
        <v>661</v>
      </c>
      <c r="G228" s="2" t="s">
        <v>1000</v>
      </c>
      <c r="H228" s="2" t="s">
        <v>663</v>
      </c>
      <c r="I228" s="2" t="s">
        <v>1104</v>
      </c>
      <c r="J228" s="2" t="s">
        <v>85</v>
      </c>
      <c r="K228" s="2" t="s">
        <v>37</v>
      </c>
      <c r="P228" s="2" t="s">
        <v>22</v>
      </c>
      <c r="Q228" s="2" t="s">
        <v>26</v>
      </c>
      <c r="R228" s="2" t="s">
        <v>40</v>
      </c>
      <c r="S228" s="2" t="s">
        <v>42</v>
      </c>
      <c r="T228" s="2" t="s">
        <v>50</v>
      </c>
      <c r="U228" s="2" t="s">
        <v>54</v>
      </c>
      <c r="X228" s="2">
        <v>35</v>
      </c>
      <c r="Y228" s="2">
        <v>35</v>
      </c>
      <c r="AB228" s="4">
        <v>54.5</v>
      </c>
      <c r="AC228" s="4">
        <v>36</v>
      </c>
      <c r="AD228" s="4">
        <v>171.6</v>
      </c>
      <c r="AE228" s="4">
        <v>113.6</v>
      </c>
      <c r="AF228" s="2" t="s">
        <v>74</v>
      </c>
      <c r="AG228" s="2" t="s">
        <v>64</v>
      </c>
      <c r="AH228" s="2" t="str">
        <f t="shared" si="7"/>
        <v>mean</v>
      </c>
      <c r="AR228" s="2" t="s">
        <v>849</v>
      </c>
      <c r="AS228" s="2" t="s">
        <v>849</v>
      </c>
      <c r="AU228" s="2" t="s">
        <v>1818</v>
      </c>
      <c r="AV228" s="2" t="s">
        <v>1822</v>
      </c>
      <c r="AW228" s="2" t="s">
        <v>1823</v>
      </c>
      <c r="AX228" s="2" t="s">
        <v>1826</v>
      </c>
      <c r="AY228" s="2" t="s">
        <v>79</v>
      </c>
    </row>
    <row r="229" spans="1:51" x14ac:dyDescent="0.2">
      <c r="A229" s="2" t="s">
        <v>664</v>
      </c>
      <c r="B229" s="2" t="s">
        <v>665</v>
      </c>
      <c r="C229" s="2" t="s">
        <v>666</v>
      </c>
      <c r="D229" s="2">
        <v>2004</v>
      </c>
      <c r="E229" s="2" t="s">
        <v>667</v>
      </c>
      <c r="F229" s="2" t="s">
        <v>668</v>
      </c>
      <c r="G229" s="2" t="s">
        <v>1001</v>
      </c>
      <c r="H229" s="2" t="s">
        <v>669</v>
      </c>
      <c r="I229" s="2" t="s">
        <v>230</v>
      </c>
      <c r="J229" s="2" t="s">
        <v>34</v>
      </c>
      <c r="K229" s="2" t="s">
        <v>37</v>
      </c>
      <c r="P229" s="2" t="s">
        <v>22</v>
      </c>
      <c r="Q229" s="2" t="s">
        <v>29</v>
      </c>
      <c r="R229" s="2" t="s">
        <v>41</v>
      </c>
      <c r="S229" s="2" t="s">
        <v>46</v>
      </c>
      <c r="T229" s="2" t="s">
        <v>50</v>
      </c>
      <c r="U229" s="2" t="s">
        <v>52</v>
      </c>
      <c r="V229" s="2">
        <v>189</v>
      </c>
      <c r="W229" s="2" t="s">
        <v>671</v>
      </c>
      <c r="X229" s="2">
        <v>25</v>
      </c>
      <c r="Y229" s="2">
        <v>25</v>
      </c>
      <c r="AB229" s="2">
        <v>53.655589123867102</v>
      </c>
      <c r="AC229" s="2">
        <v>17.5226586102719</v>
      </c>
      <c r="AD229" s="2">
        <v>65.135951661631395</v>
      </c>
      <c r="AE229" s="2">
        <v>18.731117824773399</v>
      </c>
      <c r="AF229" s="2" t="s">
        <v>74</v>
      </c>
      <c r="AG229" s="2" t="s">
        <v>64</v>
      </c>
      <c r="AH229" s="2" t="str">
        <f t="shared" si="7"/>
        <v>mean</v>
      </c>
      <c r="AR229" s="2" t="s">
        <v>849</v>
      </c>
      <c r="AS229" s="2" t="s">
        <v>849</v>
      </c>
      <c r="AU229" s="2" t="s">
        <v>1818</v>
      </c>
      <c r="AV229" s="2" t="s">
        <v>1830</v>
      </c>
      <c r="AW229" s="2" t="s">
        <v>1820</v>
      </c>
      <c r="AX229" s="2" t="s">
        <v>1821</v>
      </c>
      <c r="AY229" s="2" t="s">
        <v>79</v>
      </c>
    </row>
    <row r="230" spans="1:51" x14ac:dyDescent="0.2">
      <c r="A230" s="2" t="s">
        <v>664</v>
      </c>
      <c r="B230" s="2" t="s">
        <v>665</v>
      </c>
      <c r="C230" s="2" t="s">
        <v>666</v>
      </c>
      <c r="D230" s="2">
        <v>2004</v>
      </c>
      <c r="E230" s="2" t="s">
        <v>667</v>
      </c>
      <c r="F230" s="2" t="s">
        <v>668</v>
      </c>
      <c r="G230" s="2" t="s">
        <v>1002</v>
      </c>
      <c r="H230" s="2" t="s">
        <v>670</v>
      </c>
      <c r="I230" s="2" t="s">
        <v>230</v>
      </c>
      <c r="J230" s="2" t="s">
        <v>34</v>
      </c>
      <c r="K230" s="2" t="s">
        <v>37</v>
      </c>
      <c r="P230" s="2" t="s">
        <v>22</v>
      </c>
      <c r="Q230" s="2" t="s">
        <v>29</v>
      </c>
      <c r="R230" s="2" t="s">
        <v>40</v>
      </c>
      <c r="S230" s="2" t="s">
        <v>43</v>
      </c>
      <c r="T230" s="2" t="s">
        <v>50</v>
      </c>
      <c r="U230" s="2" t="s">
        <v>52</v>
      </c>
      <c r="V230" s="2">
        <v>189</v>
      </c>
      <c r="W230" s="2" t="s">
        <v>672</v>
      </c>
      <c r="X230" s="2">
        <v>25</v>
      </c>
      <c r="Y230" s="2">
        <v>25</v>
      </c>
      <c r="AB230" s="2">
        <v>0.14155495978552299</v>
      </c>
      <c r="AC230" s="2">
        <v>3.88739946380698E-2</v>
      </c>
      <c r="AD230" s="2">
        <v>0.16648793565683601</v>
      </c>
      <c r="AE230" s="2">
        <v>7.2386058981233306E-2</v>
      </c>
      <c r="AF230" s="2" t="s">
        <v>74</v>
      </c>
      <c r="AG230" s="2" t="s">
        <v>64</v>
      </c>
      <c r="AH230" s="2" t="str">
        <f t="shared" si="7"/>
        <v>mean</v>
      </c>
      <c r="AR230" s="2" t="s">
        <v>849</v>
      </c>
      <c r="AS230" s="2" t="s">
        <v>849</v>
      </c>
      <c r="AU230" s="2" t="s">
        <v>1818</v>
      </c>
      <c r="AV230" s="2" t="s">
        <v>1830</v>
      </c>
      <c r="AW230" s="2" t="s">
        <v>1820</v>
      </c>
      <c r="AX230" s="2" t="s">
        <v>1821</v>
      </c>
      <c r="AY230" s="2" t="s">
        <v>79</v>
      </c>
    </row>
    <row r="231" spans="1:51" x14ac:dyDescent="0.2">
      <c r="A231" s="2" t="s">
        <v>684</v>
      </c>
      <c r="B231" s="2" t="s">
        <v>685</v>
      </c>
      <c r="C231" s="2" t="s">
        <v>686</v>
      </c>
      <c r="D231" s="2">
        <v>2015</v>
      </c>
      <c r="E231" s="2" t="s">
        <v>673</v>
      </c>
      <c r="F231" s="2" t="s">
        <v>677</v>
      </c>
      <c r="G231" s="2" t="s">
        <v>1003</v>
      </c>
      <c r="H231" s="2" t="s">
        <v>678</v>
      </c>
      <c r="I231" s="2" t="s">
        <v>1791</v>
      </c>
      <c r="J231" s="2" t="s">
        <v>86</v>
      </c>
      <c r="K231" s="2" t="s">
        <v>37</v>
      </c>
      <c r="P231" s="2" t="s">
        <v>22</v>
      </c>
      <c r="Q231" s="2" t="s">
        <v>30</v>
      </c>
      <c r="R231" s="2" t="s">
        <v>40</v>
      </c>
      <c r="S231" s="2" t="s">
        <v>42</v>
      </c>
      <c r="T231" s="2" t="s">
        <v>50</v>
      </c>
      <c r="U231" s="2" t="s">
        <v>52</v>
      </c>
      <c r="V231" s="2">
        <v>5</v>
      </c>
      <c r="W231" s="2">
        <v>2</v>
      </c>
      <c r="X231" s="2">
        <v>20</v>
      </c>
      <c r="Y231" s="2">
        <v>30</v>
      </c>
      <c r="AB231" s="2">
        <v>1.2258064516128999</v>
      </c>
      <c r="AC231" s="2">
        <v>0.17741935483870999</v>
      </c>
      <c r="AD231" s="2">
        <v>2</v>
      </c>
      <c r="AE231" s="2">
        <v>0.36021505376344098</v>
      </c>
      <c r="AF231" s="2" t="s">
        <v>74</v>
      </c>
      <c r="AG231" s="2" t="s">
        <v>65</v>
      </c>
      <c r="AH231" s="2" t="str">
        <f t="shared" si="7"/>
        <v>mean</v>
      </c>
      <c r="AR231" s="2" t="s">
        <v>849</v>
      </c>
      <c r="AS231" s="2" t="s">
        <v>849</v>
      </c>
      <c r="AU231" s="2" t="s">
        <v>1825</v>
      </c>
      <c r="AV231" s="2" t="s">
        <v>1819</v>
      </c>
      <c r="AW231" s="2" t="s">
        <v>26</v>
      </c>
      <c r="AX231" s="2" t="s">
        <v>1826</v>
      </c>
      <c r="AY231" s="2" t="s">
        <v>79</v>
      </c>
    </row>
    <row r="232" spans="1:51" x14ac:dyDescent="0.2">
      <c r="A232" s="2" t="s">
        <v>684</v>
      </c>
      <c r="B232" s="2" t="s">
        <v>685</v>
      </c>
      <c r="C232" s="2" t="s">
        <v>686</v>
      </c>
      <c r="D232" s="2">
        <v>2015</v>
      </c>
      <c r="E232" s="2" t="s">
        <v>673</v>
      </c>
      <c r="F232" s="2" t="s">
        <v>677</v>
      </c>
      <c r="G232" s="2" t="s">
        <v>1003</v>
      </c>
      <c r="H232" s="2" t="s">
        <v>687</v>
      </c>
      <c r="I232" s="2" t="s">
        <v>1791</v>
      </c>
      <c r="J232" s="2" t="s">
        <v>86</v>
      </c>
      <c r="K232" s="2" t="s">
        <v>37</v>
      </c>
      <c r="P232" s="2" t="s">
        <v>22</v>
      </c>
      <c r="Q232" s="2" t="s">
        <v>30</v>
      </c>
      <c r="R232" s="2" t="s">
        <v>41</v>
      </c>
      <c r="S232" s="2" t="s">
        <v>626</v>
      </c>
      <c r="T232" s="2" t="s">
        <v>50</v>
      </c>
      <c r="U232" s="2" t="s">
        <v>52</v>
      </c>
      <c r="V232" s="2">
        <v>6</v>
      </c>
      <c r="W232" s="2">
        <v>4</v>
      </c>
      <c r="X232" s="2">
        <v>20</v>
      </c>
      <c r="Y232" s="2">
        <v>30</v>
      </c>
      <c r="AB232" s="2">
        <v>0.155544794188862</v>
      </c>
      <c r="AC232" s="2">
        <v>1.5012106537530301E-2</v>
      </c>
      <c r="AD232" s="2">
        <v>0.100338983050847</v>
      </c>
      <c r="AE232" s="2">
        <v>7.7481840193704497E-3</v>
      </c>
      <c r="AF232" s="2" t="s">
        <v>74</v>
      </c>
      <c r="AG232" s="2" t="s">
        <v>65</v>
      </c>
      <c r="AH232" s="2" t="str">
        <f t="shared" si="7"/>
        <v>mean</v>
      </c>
      <c r="AR232" s="2" t="s">
        <v>222</v>
      </c>
      <c r="AS232" s="2" t="s">
        <v>849</v>
      </c>
      <c r="AU232" s="2" t="s">
        <v>1825</v>
      </c>
      <c r="AV232" s="2" t="s">
        <v>1819</v>
      </c>
      <c r="AW232" s="2" t="s">
        <v>26</v>
      </c>
      <c r="AX232" s="2" t="s">
        <v>1826</v>
      </c>
      <c r="AY232" s="2" t="s">
        <v>79</v>
      </c>
    </row>
    <row r="233" spans="1:51" x14ac:dyDescent="0.2">
      <c r="A233" s="2" t="s">
        <v>688</v>
      </c>
      <c r="B233" s="2" t="s">
        <v>752</v>
      </c>
      <c r="C233" s="2" t="s">
        <v>689</v>
      </c>
      <c r="D233" s="2">
        <v>2005</v>
      </c>
      <c r="E233" s="2" t="s">
        <v>676</v>
      </c>
      <c r="F233" s="2" t="s">
        <v>690</v>
      </c>
      <c r="G233" s="2" t="s">
        <v>1004</v>
      </c>
      <c r="H233" s="2" t="s">
        <v>691</v>
      </c>
      <c r="I233" s="2" t="s">
        <v>1108</v>
      </c>
      <c r="J233" s="2" t="s">
        <v>34</v>
      </c>
      <c r="K233" s="2" t="s">
        <v>37</v>
      </c>
      <c r="P233" s="2" t="s">
        <v>23</v>
      </c>
      <c r="Q233" s="2" t="s">
        <v>81</v>
      </c>
      <c r="R233" s="2" t="s">
        <v>41</v>
      </c>
      <c r="S233" s="2" t="s">
        <v>46</v>
      </c>
      <c r="T233" s="2" t="s">
        <v>50</v>
      </c>
      <c r="U233" s="2" t="s">
        <v>53</v>
      </c>
      <c r="V233" s="2">
        <v>2031</v>
      </c>
      <c r="W233" s="2">
        <v>2</v>
      </c>
      <c r="AB233" s="4"/>
      <c r="AC233" s="4"/>
      <c r="AD233" s="4"/>
      <c r="AE233" s="4"/>
      <c r="AH233" s="2" t="s">
        <v>4</v>
      </c>
      <c r="AN233" s="2">
        <v>485</v>
      </c>
      <c r="AO233" s="2">
        <v>0.22700000000000001</v>
      </c>
      <c r="AR233" s="2" t="s">
        <v>849</v>
      </c>
      <c r="AS233" s="2" t="s">
        <v>849</v>
      </c>
      <c r="AU233" s="2" t="s">
        <v>1818</v>
      </c>
      <c r="AV233" s="2" t="s">
        <v>1830</v>
      </c>
      <c r="AW233" s="2" t="s">
        <v>1836</v>
      </c>
      <c r="AX233" s="2" t="s">
        <v>1821</v>
      </c>
      <c r="AY233" s="2" t="s">
        <v>79</v>
      </c>
    </row>
    <row r="234" spans="1:51" x14ac:dyDescent="0.2">
      <c r="A234" s="2" t="s">
        <v>688</v>
      </c>
      <c r="B234" s="2" t="s">
        <v>752</v>
      </c>
      <c r="C234" s="2" t="s">
        <v>689</v>
      </c>
      <c r="D234" s="2">
        <v>2005</v>
      </c>
      <c r="E234" s="2" t="s">
        <v>676</v>
      </c>
      <c r="F234" s="2" t="s">
        <v>690</v>
      </c>
      <c r="G234" s="2" t="s">
        <v>1004</v>
      </c>
      <c r="H234" s="2" t="s">
        <v>693</v>
      </c>
      <c r="I234" s="2" t="s">
        <v>1108</v>
      </c>
      <c r="J234" s="2" t="s">
        <v>34</v>
      </c>
      <c r="K234" s="2" t="s">
        <v>37</v>
      </c>
      <c r="P234" s="2" t="s">
        <v>23</v>
      </c>
      <c r="Q234" s="2" t="s">
        <v>81</v>
      </c>
      <c r="R234" s="2" t="s">
        <v>40</v>
      </c>
      <c r="S234" s="2" t="s">
        <v>45</v>
      </c>
      <c r="T234" s="2" t="s">
        <v>50</v>
      </c>
      <c r="U234" s="2" t="s">
        <v>53</v>
      </c>
      <c r="V234" s="2">
        <v>2031</v>
      </c>
      <c r="W234" s="2">
        <v>2</v>
      </c>
      <c r="AB234" s="4"/>
      <c r="AC234" s="4"/>
      <c r="AD234" s="4"/>
      <c r="AE234" s="4"/>
      <c r="AH234" s="2" t="s">
        <v>4</v>
      </c>
      <c r="AN234" s="2">
        <v>485</v>
      </c>
      <c r="AO234" s="2">
        <v>0.29399999999999998</v>
      </c>
      <c r="AR234" s="2" t="s">
        <v>849</v>
      </c>
      <c r="AS234" s="2" t="s">
        <v>849</v>
      </c>
      <c r="AU234" s="2" t="s">
        <v>1818</v>
      </c>
      <c r="AV234" s="2" t="s">
        <v>1830</v>
      </c>
      <c r="AW234" s="2" t="s">
        <v>1836</v>
      </c>
      <c r="AX234" s="2" t="s">
        <v>1821</v>
      </c>
      <c r="AY234" s="2" t="s">
        <v>79</v>
      </c>
    </row>
    <row r="235" spans="1:51" x14ac:dyDescent="0.2">
      <c r="A235" s="2" t="s">
        <v>688</v>
      </c>
      <c r="B235" s="2" t="s">
        <v>752</v>
      </c>
      <c r="C235" s="2" t="s">
        <v>689</v>
      </c>
      <c r="D235" s="2">
        <v>2005</v>
      </c>
      <c r="E235" s="2" t="s">
        <v>676</v>
      </c>
      <c r="F235" s="2" t="s">
        <v>690</v>
      </c>
      <c r="G235" s="2" t="s">
        <v>1004</v>
      </c>
      <c r="H235" s="2" t="s">
        <v>694</v>
      </c>
      <c r="I235" s="2" t="s">
        <v>1108</v>
      </c>
      <c r="J235" s="2" t="s">
        <v>34</v>
      </c>
      <c r="K235" s="2" t="s">
        <v>37</v>
      </c>
      <c r="P235" s="2" t="s">
        <v>23</v>
      </c>
      <c r="Q235" s="2" t="s">
        <v>81</v>
      </c>
      <c r="R235" s="2" t="s">
        <v>40</v>
      </c>
      <c r="S235" s="2" t="s">
        <v>43</v>
      </c>
      <c r="T235" s="2" t="s">
        <v>50</v>
      </c>
      <c r="U235" s="2" t="s">
        <v>53</v>
      </c>
      <c r="V235" s="2">
        <v>2031</v>
      </c>
      <c r="W235" s="2">
        <v>2</v>
      </c>
      <c r="AB235" s="4"/>
      <c r="AC235" s="4"/>
      <c r="AD235" s="4"/>
      <c r="AE235" s="4"/>
      <c r="AH235" s="2" t="s">
        <v>4</v>
      </c>
      <c r="AN235" s="2">
        <v>485</v>
      </c>
      <c r="AO235" s="2">
        <v>-0.224</v>
      </c>
      <c r="AR235" s="2" t="s">
        <v>849</v>
      </c>
      <c r="AS235" s="2" t="s">
        <v>849</v>
      </c>
      <c r="AU235" s="2" t="s">
        <v>1818</v>
      </c>
      <c r="AV235" s="2" t="s">
        <v>1830</v>
      </c>
      <c r="AW235" s="2" t="s">
        <v>1836</v>
      </c>
      <c r="AX235" s="2" t="s">
        <v>1821</v>
      </c>
      <c r="AY235" s="2" t="s">
        <v>79</v>
      </c>
    </row>
    <row r="236" spans="1:51" x14ac:dyDescent="0.2">
      <c r="A236" s="2" t="s">
        <v>697</v>
      </c>
      <c r="B236" s="2" t="s">
        <v>698</v>
      </c>
      <c r="C236" s="2" t="s">
        <v>699</v>
      </c>
      <c r="D236" s="2">
        <v>2011</v>
      </c>
      <c r="E236" s="2" t="s">
        <v>700</v>
      </c>
      <c r="F236" s="2" t="s">
        <v>692</v>
      </c>
      <c r="G236" s="2" t="s">
        <v>1005</v>
      </c>
      <c r="H236" s="2" t="s">
        <v>695</v>
      </c>
      <c r="I236" s="2" t="s">
        <v>1108</v>
      </c>
      <c r="J236" s="2" t="s">
        <v>34</v>
      </c>
      <c r="K236" s="2" t="s">
        <v>38</v>
      </c>
      <c r="L236" s="2" t="s">
        <v>11</v>
      </c>
      <c r="M236" s="2" t="s">
        <v>14</v>
      </c>
      <c r="N236" s="2" t="s">
        <v>20</v>
      </c>
      <c r="O236" s="2">
        <v>0</v>
      </c>
      <c r="P236" s="2" t="s">
        <v>23</v>
      </c>
      <c r="Q236" s="2" t="s">
        <v>81</v>
      </c>
      <c r="T236" s="2" t="s">
        <v>51</v>
      </c>
      <c r="U236" s="2" t="s">
        <v>52</v>
      </c>
      <c r="V236" s="2">
        <v>170</v>
      </c>
      <c r="W236" s="2">
        <v>2</v>
      </c>
      <c r="X236" s="2">
        <v>37.5</v>
      </c>
      <c r="Y236" s="2">
        <v>37.5</v>
      </c>
      <c r="AB236" s="2">
        <v>84.012448132780094</v>
      </c>
      <c r="AC236" s="2">
        <v>6.81471320821794</v>
      </c>
      <c r="AD236" s="2">
        <v>80.091286307053906</v>
      </c>
      <c r="AE236" s="2">
        <v>6.81471320821794</v>
      </c>
      <c r="AF236" s="2" t="s">
        <v>74</v>
      </c>
      <c r="AG236" s="2" t="s">
        <v>64</v>
      </c>
      <c r="AH236" s="2" t="str">
        <f>IF(AF236="mean", "mean", "")</f>
        <v>mean</v>
      </c>
      <c r="AR236" s="2" t="s">
        <v>849</v>
      </c>
      <c r="AS236" s="2" t="s">
        <v>849</v>
      </c>
      <c r="AU236" s="2" t="s">
        <v>1818</v>
      </c>
      <c r="AV236" s="2" t="s">
        <v>1830</v>
      </c>
      <c r="AW236" s="2" t="s">
        <v>1836</v>
      </c>
      <c r="AX236" s="2" t="s">
        <v>1821</v>
      </c>
      <c r="AY236" s="2" t="s">
        <v>79</v>
      </c>
    </row>
    <row r="237" spans="1:51" x14ac:dyDescent="0.2">
      <c r="A237" s="2" t="s">
        <v>702</v>
      </c>
      <c r="B237" s="2" t="s">
        <v>703</v>
      </c>
      <c r="C237" s="2" t="s">
        <v>704</v>
      </c>
      <c r="D237" s="2">
        <v>2000</v>
      </c>
      <c r="E237" s="2" t="s">
        <v>705</v>
      </c>
      <c r="F237" s="2" t="s">
        <v>706</v>
      </c>
      <c r="G237" s="2" t="s">
        <v>1006</v>
      </c>
      <c r="H237" s="2" t="s">
        <v>696</v>
      </c>
      <c r="I237" s="2" t="s">
        <v>1068</v>
      </c>
      <c r="J237" s="2" t="s">
        <v>32</v>
      </c>
      <c r="K237" s="2" t="s">
        <v>37</v>
      </c>
      <c r="P237" s="2" t="s">
        <v>22</v>
      </c>
      <c r="Q237" s="2" t="s">
        <v>28</v>
      </c>
      <c r="R237" s="2" t="s">
        <v>41</v>
      </c>
      <c r="S237" s="2" t="s">
        <v>48</v>
      </c>
      <c r="T237" s="2" t="s">
        <v>50</v>
      </c>
      <c r="U237" s="2" t="s">
        <v>52</v>
      </c>
      <c r="V237" s="2">
        <v>2525</v>
      </c>
      <c r="W237" s="2">
        <v>2</v>
      </c>
      <c r="AB237" s="4"/>
      <c r="AC237" s="4"/>
      <c r="AD237" s="4"/>
      <c r="AE237" s="4"/>
      <c r="AH237" s="2" t="s">
        <v>83</v>
      </c>
      <c r="AN237" s="2">
        <v>22</v>
      </c>
      <c r="AP237" s="2">
        <v>0.27600000000000002</v>
      </c>
      <c r="AQ237" s="2">
        <v>1</v>
      </c>
      <c r="AR237" s="2" t="s">
        <v>222</v>
      </c>
      <c r="AS237" s="2" t="s">
        <v>222</v>
      </c>
      <c r="AU237" s="2" t="s">
        <v>1818</v>
      </c>
      <c r="AV237" s="2" t="s">
        <v>1819</v>
      </c>
      <c r="AW237" s="2" t="s">
        <v>1823</v>
      </c>
      <c r="AX237" s="2" t="s">
        <v>1829</v>
      </c>
      <c r="AY237" s="2" t="s">
        <v>79</v>
      </c>
    </row>
    <row r="238" spans="1:51" x14ac:dyDescent="0.2">
      <c r="A238" s="2" t="s">
        <v>702</v>
      </c>
      <c r="B238" s="2" t="s">
        <v>703</v>
      </c>
      <c r="C238" s="2" t="s">
        <v>704</v>
      </c>
      <c r="D238" s="2">
        <v>2000</v>
      </c>
      <c r="E238" s="2" t="s">
        <v>705</v>
      </c>
      <c r="F238" s="2" t="s">
        <v>706</v>
      </c>
      <c r="G238" s="2" t="s">
        <v>1006</v>
      </c>
      <c r="H238" s="2" t="s">
        <v>701</v>
      </c>
      <c r="I238" s="2" t="s">
        <v>1068</v>
      </c>
      <c r="J238" s="2" t="s">
        <v>32</v>
      </c>
      <c r="K238" s="2" t="s">
        <v>37</v>
      </c>
      <c r="P238" s="2" t="s">
        <v>22</v>
      </c>
      <c r="Q238" s="2" t="s">
        <v>28</v>
      </c>
      <c r="R238" s="2" t="s">
        <v>41</v>
      </c>
      <c r="S238" s="2" t="s">
        <v>42</v>
      </c>
      <c r="T238" s="2" t="s">
        <v>50</v>
      </c>
      <c r="AB238" s="4"/>
      <c r="AC238" s="4"/>
      <c r="AD238" s="4"/>
      <c r="AE238" s="4"/>
      <c r="AH238" s="2" t="s">
        <v>83</v>
      </c>
      <c r="AN238" s="2">
        <v>50</v>
      </c>
      <c r="AP238" s="2">
        <v>0.24299999999999999</v>
      </c>
      <c r="AQ238" s="2">
        <v>1</v>
      </c>
      <c r="AR238" s="2" t="s">
        <v>849</v>
      </c>
      <c r="AS238" s="2" t="s">
        <v>222</v>
      </c>
      <c r="AU238" s="2" t="s">
        <v>1818</v>
      </c>
      <c r="AV238" s="2" t="s">
        <v>1819</v>
      </c>
      <c r="AW238" s="2" t="s">
        <v>1823</v>
      </c>
      <c r="AX238" s="2" t="s">
        <v>1829</v>
      </c>
      <c r="AY238" s="2" t="s">
        <v>79</v>
      </c>
    </row>
    <row r="239" spans="1:51" x14ac:dyDescent="0.2">
      <c r="A239" s="2" t="s">
        <v>709</v>
      </c>
      <c r="B239" s="2" t="s">
        <v>710</v>
      </c>
      <c r="C239" s="2" t="s">
        <v>711</v>
      </c>
      <c r="D239" s="2">
        <v>2000</v>
      </c>
      <c r="E239" s="2" t="s">
        <v>707</v>
      </c>
      <c r="F239" s="2" t="s">
        <v>708</v>
      </c>
      <c r="G239" s="2" t="s">
        <v>1007</v>
      </c>
      <c r="H239" s="2" t="s">
        <v>712</v>
      </c>
      <c r="I239" s="2" t="s">
        <v>1104</v>
      </c>
      <c r="J239" s="2" t="s">
        <v>85</v>
      </c>
      <c r="K239" s="2" t="s">
        <v>38</v>
      </c>
      <c r="L239" s="2" t="s">
        <v>11</v>
      </c>
      <c r="M239" s="2" t="s">
        <v>14</v>
      </c>
      <c r="N239" s="2" t="s">
        <v>21</v>
      </c>
      <c r="O239" s="2">
        <v>0</v>
      </c>
      <c r="P239" s="2" t="s">
        <v>22</v>
      </c>
      <c r="Q239" s="2" t="s">
        <v>26</v>
      </c>
      <c r="T239" s="2" t="s">
        <v>50</v>
      </c>
      <c r="U239" s="2" t="s">
        <v>54</v>
      </c>
      <c r="V239" s="2">
        <v>68</v>
      </c>
      <c r="X239" s="2">
        <v>50</v>
      </c>
      <c r="Y239" s="2">
        <v>50</v>
      </c>
      <c r="AB239" s="4">
        <v>111.3</v>
      </c>
      <c r="AC239" s="4">
        <v>16.7</v>
      </c>
      <c r="AD239" s="4">
        <v>124.1</v>
      </c>
      <c r="AE239" s="4">
        <v>16.399999999999999</v>
      </c>
      <c r="AF239" s="2" t="s">
        <v>74</v>
      </c>
      <c r="AG239" s="2" t="s">
        <v>65</v>
      </c>
      <c r="AH239" s="2" t="str">
        <f>IF(AF239="mean", "mean", "")</f>
        <v>mean</v>
      </c>
      <c r="AR239" s="2" t="s">
        <v>849</v>
      </c>
      <c r="AS239" s="2" t="s">
        <v>849</v>
      </c>
      <c r="AU239" s="2" t="s">
        <v>1818</v>
      </c>
      <c r="AV239" s="2" t="s">
        <v>1822</v>
      </c>
      <c r="AW239" s="2" t="s">
        <v>1823</v>
      </c>
      <c r="AX239" s="2" t="s">
        <v>1826</v>
      </c>
      <c r="AY239" s="2" t="s">
        <v>79</v>
      </c>
    </row>
    <row r="240" spans="1:51" x14ac:dyDescent="0.2">
      <c r="A240" s="2" t="s">
        <v>714</v>
      </c>
      <c r="B240" s="2" t="s">
        <v>715</v>
      </c>
      <c r="C240" s="2" t="s">
        <v>716</v>
      </c>
      <c r="D240" s="2">
        <v>2005</v>
      </c>
      <c r="E240" s="2" t="s">
        <v>717</v>
      </c>
      <c r="F240" s="2" t="s">
        <v>718</v>
      </c>
      <c r="G240" s="2" t="s">
        <v>1008</v>
      </c>
      <c r="H240" s="2" t="s">
        <v>713</v>
      </c>
      <c r="I240" s="2" t="s">
        <v>1104</v>
      </c>
      <c r="J240" s="2" t="s">
        <v>85</v>
      </c>
      <c r="K240" s="2" t="s">
        <v>38</v>
      </c>
      <c r="L240" s="2" t="s">
        <v>11</v>
      </c>
      <c r="M240" s="2" t="s">
        <v>14</v>
      </c>
      <c r="N240" s="2" t="s">
        <v>15</v>
      </c>
      <c r="O240" s="2">
        <v>1</v>
      </c>
      <c r="P240" s="2" t="s">
        <v>22</v>
      </c>
      <c r="Q240" s="2" t="s">
        <v>1839</v>
      </c>
      <c r="T240" s="2" t="s">
        <v>50</v>
      </c>
      <c r="U240" s="2" t="s">
        <v>54</v>
      </c>
      <c r="V240" s="2">
        <v>1049</v>
      </c>
      <c r="X240" s="2">
        <v>37</v>
      </c>
      <c r="Y240" s="2">
        <v>37</v>
      </c>
      <c r="AB240" s="4">
        <v>1774.4</v>
      </c>
      <c r="AC240" s="4">
        <v>1488</v>
      </c>
      <c r="AD240" s="4">
        <v>966.9</v>
      </c>
      <c r="AE240" s="4">
        <v>1144</v>
      </c>
      <c r="AF240" s="2" t="s">
        <v>74</v>
      </c>
      <c r="AG240" s="2" t="s">
        <v>65</v>
      </c>
      <c r="AH240" s="2" t="str">
        <f>IF(AF240="mean", "mean", "")</f>
        <v>mean</v>
      </c>
      <c r="AR240" s="2" t="s">
        <v>849</v>
      </c>
      <c r="AS240" s="2" t="s">
        <v>849</v>
      </c>
      <c r="AU240" s="2" t="s">
        <v>1818</v>
      </c>
      <c r="AV240" s="2" t="s">
        <v>1822</v>
      </c>
      <c r="AW240" s="2" t="s">
        <v>1823</v>
      </c>
      <c r="AX240" s="2" t="s">
        <v>1826</v>
      </c>
      <c r="AY240" s="2" t="s">
        <v>79</v>
      </c>
    </row>
    <row r="241" spans="1:51" x14ac:dyDescent="0.2">
      <c r="A241" s="2" t="s">
        <v>714</v>
      </c>
      <c r="B241" s="2" t="s">
        <v>715</v>
      </c>
      <c r="C241" s="2" t="s">
        <v>716</v>
      </c>
      <c r="D241" s="2">
        <v>2005</v>
      </c>
      <c r="E241" s="2" t="s">
        <v>717</v>
      </c>
      <c r="F241" s="2" t="s">
        <v>718</v>
      </c>
      <c r="G241" s="2" t="s">
        <v>1009</v>
      </c>
      <c r="H241" s="2" t="s">
        <v>719</v>
      </c>
      <c r="I241" s="2" t="s">
        <v>1104</v>
      </c>
      <c r="J241" s="2" t="s">
        <v>85</v>
      </c>
      <c r="K241" s="2" t="s">
        <v>38</v>
      </c>
      <c r="L241" s="2" t="s">
        <v>11</v>
      </c>
      <c r="M241" s="2" t="s">
        <v>14</v>
      </c>
      <c r="N241" s="2" t="s">
        <v>15</v>
      </c>
      <c r="O241" s="2">
        <v>1</v>
      </c>
      <c r="P241" s="2" t="s">
        <v>22</v>
      </c>
      <c r="Q241" s="2" t="s">
        <v>30</v>
      </c>
      <c r="T241" s="2" t="s">
        <v>50</v>
      </c>
      <c r="U241" s="2" t="s">
        <v>54</v>
      </c>
      <c r="V241" s="2">
        <v>1050</v>
      </c>
      <c r="X241" s="2">
        <v>33</v>
      </c>
      <c r="Y241" s="2">
        <v>33</v>
      </c>
      <c r="Z241" s="2">
        <v>23</v>
      </c>
      <c r="AA241" s="2">
        <v>10</v>
      </c>
      <c r="AB241" s="4"/>
      <c r="AC241" s="4"/>
      <c r="AD241" s="4"/>
      <c r="AE241" s="4"/>
      <c r="AH241" s="2" t="s">
        <v>1804</v>
      </c>
      <c r="AR241" s="2" t="s">
        <v>849</v>
      </c>
      <c r="AS241" s="2" t="s">
        <v>849</v>
      </c>
      <c r="AU241" s="2" t="s">
        <v>1818</v>
      </c>
      <c r="AV241" s="2" t="s">
        <v>1822</v>
      </c>
      <c r="AW241" s="2" t="s">
        <v>1823</v>
      </c>
      <c r="AX241" s="2" t="s">
        <v>1826</v>
      </c>
      <c r="AY241" s="2" t="s">
        <v>79</v>
      </c>
    </row>
    <row r="242" spans="1:51" x14ac:dyDescent="0.2">
      <c r="A242" s="2" t="s">
        <v>714</v>
      </c>
      <c r="B242" s="2" t="s">
        <v>715</v>
      </c>
      <c r="C242" s="2" t="s">
        <v>716</v>
      </c>
      <c r="D242" s="2">
        <v>2005</v>
      </c>
      <c r="E242" s="2" t="s">
        <v>717</v>
      </c>
      <c r="F242" s="2" t="s">
        <v>718</v>
      </c>
      <c r="G242" s="2" t="s">
        <v>1009</v>
      </c>
      <c r="H242" s="2" t="s">
        <v>720</v>
      </c>
      <c r="I242" s="2" t="s">
        <v>1104</v>
      </c>
      <c r="J242" s="2" t="s">
        <v>85</v>
      </c>
      <c r="K242" s="2" t="s">
        <v>37</v>
      </c>
      <c r="P242" s="2" t="s">
        <v>22</v>
      </c>
      <c r="Q242" s="2" t="s">
        <v>30</v>
      </c>
      <c r="R242" s="2" t="s">
        <v>41</v>
      </c>
      <c r="S242" s="2" t="s">
        <v>48</v>
      </c>
      <c r="T242" s="2" t="s">
        <v>50</v>
      </c>
      <c r="U242" s="2" t="s">
        <v>54</v>
      </c>
      <c r="V242" s="2">
        <v>1050</v>
      </c>
      <c r="AB242" s="4"/>
      <c r="AC242" s="4"/>
      <c r="AD242" s="4"/>
      <c r="AE242" s="4"/>
      <c r="AH242" s="2" t="s">
        <v>4</v>
      </c>
      <c r="AN242" s="2">
        <v>33</v>
      </c>
      <c r="AO242" s="2">
        <v>0.1</v>
      </c>
      <c r="AR242" s="2" t="s">
        <v>222</v>
      </c>
      <c r="AS242" s="2" t="s">
        <v>849</v>
      </c>
      <c r="AU242" s="2" t="s">
        <v>1818</v>
      </c>
      <c r="AV242" s="2" t="s">
        <v>1822</v>
      </c>
      <c r="AW242" s="2" t="s">
        <v>1823</v>
      </c>
      <c r="AX242" s="2" t="s">
        <v>1826</v>
      </c>
      <c r="AY242" s="2" t="s">
        <v>79</v>
      </c>
    </row>
    <row r="243" spans="1:51" x14ac:dyDescent="0.2">
      <c r="A243" s="2" t="s">
        <v>714</v>
      </c>
      <c r="B243" s="2" t="s">
        <v>715</v>
      </c>
      <c r="C243" s="2" t="s">
        <v>716</v>
      </c>
      <c r="D243" s="2">
        <v>2005</v>
      </c>
      <c r="E243" s="2" t="s">
        <v>717</v>
      </c>
      <c r="F243" s="2" t="s">
        <v>718</v>
      </c>
      <c r="G243" s="2" t="s">
        <v>1009</v>
      </c>
      <c r="H243" s="2" t="s">
        <v>721</v>
      </c>
      <c r="I243" s="2" t="s">
        <v>1104</v>
      </c>
      <c r="J243" s="2" t="s">
        <v>85</v>
      </c>
      <c r="K243" s="2" t="s">
        <v>38</v>
      </c>
      <c r="L243" s="2" t="s">
        <v>11</v>
      </c>
      <c r="M243" s="2" t="s">
        <v>14</v>
      </c>
      <c r="N243" s="2" t="s">
        <v>15</v>
      </c>
      <c r="O243" s="2">
        <v>1</v>
      </c>
      <c r="P243" s="2" t="s">
        <v>23</v>
      </c>
      <c r="Q243" s="2" t="s">
        <v>81</v>
      </c>
      <c r="T243" s="2" t="s">
        <v>50</v>
      </c>
      <c r="U243" s="2" t="s">
        <v>54</v>
      </c>
      <c r="V243" s="2">
        <v>1050</v>
      </c>
      <c r="X243" s="2">
        <v>9</v>
      </c>
      <c r="Y243" s="2">
        <v>9</v>
      </c>
      <c r="AB243" s="2">
        <v>1461.1398999999999</v>
      </c>
      <c r="AC243" s="2">
        <v>870.46632099999999</v>
      </c>
      <c r="AD243" s="2">
        <v>455.95854922279801</v>
      </c>
      <c r="AE243" s="2">
        <v>373.05699481865298</v>
      </c>
      <c r="AF243" s="2" t="s">
        <v>74</v>
      </c>
      <c r="AG243" s="2" t="s">
        <v>65</v>
      </c>
      <c r="AH243" s="2" t="s">
        <v>74</v>
      </c>
      <c r="AR243" s="2" t="s">
        <v>849</v>
      </c>
      <c r="AS243" s="2" t="s">
        <v>849</v>
      </c>
      <c r="AU243" s="2" t="s">
        <v>1818</v>
      </c>
      <c r="AV243" s="2" t="s">
        <v>1822</v>
      </c>
      <c r="AW243" s="2" t="s">
        <v>1823</v>
      </c>
      <c r="AX243" s="2" t="s">
        <v>1826</v>
      </c>
      <c r="AY243" s="2" t="s">
        <v>79</v>
      </c>
    </row>
    <row r="244" spans="1:51" x14ac:dyDescent="0.2">
      <c r="A244" s="2" t="s">
        <v>714</v>
      </c>
      <c r="B244" s="2" t="s">
        <v>715</v>
      </c>
      <c r="C244" s="2" t="s">
        <v>716</v>
      </c>
      <c r="D244" s="2">
        <v>2005</v>
      </c>
      <c r="E244" s="2" t="s">
        <v>717</v>
      </c>
      <c r="F244" s="2" t="s">
        <v>718</v>
      </c>
      <c r="G244" s="2" t="s">
        <v>1009</v>
      </c>
      <c r="H244" s="2" t="s">
        <v>722</v>
      </c>
      <c r="I244" s="2" t="s">
        <v>1104</v>
      </c>
      <c r="J244" s="2" t="s">
        <v>85</v>
      </c>
      <c r="K244" s="2" t="s">
        <v>38</v>
      </c>
      <c r="L244" s="2" t="s">
        <v>11</v>
      </c>
      <c r="M244" s="2" t="s">
        <v>14</v>
      </c>
      <c r="N244" s="2" t="s">
        <v>15</v>
      </c>
      <c r="O244" s="2">
        <v>1</v>
      </c>
      <c r="P244" s="2" t="s">
        <v>23</v>
      </c>
      <c r="Q244" s="2" t="s">
        <v>81</v>
      </c>
      <c r="T244" s="2" t="s">
        <v>50</v>
      </c>
      <c r="U244" s="2" t="s">
        <v>54</v>
      </c>
      <c r="V244" s="2">
        <v>1051</v>
      </c>
      <c r="X244" s="2">
        <v>23</v>
      </c>
      <c r="Y244" s="2">
        <v>10</v>
      </c>
      <c r="Z244" s="2">
        <v>6</v>
      </c>
      <c r="AA244" s="2">
        <v>6</v>
      </c>
      <c r="AB244" s="4"/>
      <c r="AC244" s="4"/>
      <c r="AD244" s="4"/>
      <c r="AE244" s="4"/>
      <c r="AH244" s="2" t="s">
        <v>1804</v>
      </c>
      <c r="AR244" s="2" t="s">
        <v>849</v>
      </c>
      <c r="AS244" s="2" t="s">
        <v>222</v>
      </c>
      <c r="AU244" s="2" t="s">
        <v>1818</v>
      </c>
      <c r="AV244" s="2" t="s">
        <v>1822</v>
      </c>
      <c r="AW244" s="2" t="s">
        <v>1823</v>
      </c>
      <c r="AX244" s="2" t="s">
        <v>1826</v>
      </c>
      <c r="AY244" s="2" t="s">
        <v>79</v>
      </c>
    </row>
    <row r="245" spans="1:51" x14ac:dyDescent="0.2">
      <c r="A245" s="2" t="s">
        <v>723</v>
      </c>
      <c r="B245" s="2" t="s">
        <v>724</v>
      </c>
      <c r="C245" s="2" t="s">
        <v>725</v>
      </c>
      <c r="D245" s="2">
        <v>2014</v>
      </c>
      <c r="E245" s="2" t="s">
        <v>726</v>
      </c>
      <c r="F245" s="2" t="s">
        <v>727</v>
      </c>
      <c r="G245" s="2" t="s">
        <v>1010</v>
      </c>
      <c r="H245" s="2" t="s">
        <v>728</v>
      </c>
      <c r="I245" s="2" t="s">
        <v>1792</v>
      </c>
      <c r="J245" s="2" t="s">
        <v>34</v>
      </c>
      <c r="K245" s="2" t="s">
        <v>38</v>
      </c>
      <c r="L245" s="2" t="s">
        <v>12</v>
      </c>
      <c r="P245" s="2" t="s">
        <v>22</v>
      </c>
      <c r="Q245" s="2" t="s">
        <v>30</v>
      </c>
      <c r="R245" s="2" t="s">
        <v>40</v>
      </c>
      <c r="S245" s="2" t="s">
        <v>42</v>
      </c>
      <c r="T245" s="2" t="s">
        <v>50</v>
      </c>
      <c r="U245" s="2" t="s">
        <v>52</v>
      </c>
      <c r="V245" s="2">
        <v>4</v>
      </c>
      <c r="W245" s="2">
        <v>2</v>
      </c>
      <c r="X245" s="2">
        <v>48</v>
      </c>
      <c r="Y245" s="2">
        <v>48</v>
      </c>
      <c r="AB245" s="2">
        <v>3.8783783783783798</v>
      </c>
      <c r="AC245" s="2">
        <v>9.1751880617162307</v>
      </c>
      <c r="AD245" s="2">
        <v>1.13513513513513</v>
      </c>
      <c r="AE245" s="2">
        <v>8.5198174858793703</v>
      </c>
      <c r="AF245" s="2" t="s">
        <v>74</v>
      </c>
      <c r="AG245" s="2" t="s">
        <v>64</v>
      </c>
      <c r="AH245" s="2" t="str">
        <f>IF(AF245="mean", "mean", "")</f>
        <v>mean</v>
      </c>
      <c r="AR245" s="2" t="s">
        <v>849</v>
      </c>
      <c r="AS245" s="2" t="s">
        <v>849</v>
      </c>
      <c r="AU245" s="2" t="s">
        <v>1818</v>
      </c>
      <c r="AV245" s="2" t="s">
        <v>1830</v>
      </c>
      <c r="AW245" s="2" t="s">
        <v>1836</v>
      </c>
      <c r="AX245" s="2" t="s">
        <v>1826</v>
      </c>
      <c r="AY245" s="2" t="s">
        <v>79</v>
      </c>
    </row>
    <row r="246" spans="1:51" x14ac:dyDescent="0.2">
      <c r="A246" s="2" t="s">
        <v>723</v>
      </c>
      <c r="B246" s="2" t="s">
        <v>724</v>
      </c>
      <c r="C246" s="2" t="s">
        <v>725</v>
      </c>
      <c r="D246" s="2">
        <v>2014</v>
      </c>
      <c r="E246" s="2" t="s">
        <v>726</v>
      </c>
      <c r="F246" s="2" t="s">
        <v>727</v>
      </c>
      <c r="G246" s="2" t="s">
        <v>1011</v>
      </c>
      <c r="H246" s="2" t="s">
        <v>729</v>
      </c>
      <c r="I246" s="2" t="s">
        <v>1792</v>
      </c>
      <c r="J246" s="2" t="s">
        <v>34</v>
      </c>
      <c r="K246" s="2" t="s">
        <v>38</v>
      </c>
      <c r="L246" s="2" t="s">
        <v>12</v>
      </c>
      <c r="P246" s="2" t="s">
        <v>22</v>
      </c>
      <c r="Q246" s="2" t="s">
        <v>30</v>
      </c>
      <c r="R246" s="2" t="s">
        <v>41</v>
      </c>
      <c r="S246" s="2" t="s">
        <v>46</v>
      </c>
      <c r="T246" s="2" t="s">
        <v>50</v>
      </c>
      <c r="U246" s="2" t="s">
        <v>52</v>
      </c>
      <c r="V246" s="2">
        <v>4</v>
      </c>
      <c r="W246" s="2">
        <v>2</v>
      </c>
      <c r="X246" s="2">
        <v>33</v>
      </c>
      <c r="Y246" s="2">
        <v>33</v>
      </c>
      <c r="AB246" s="2">
        <v>64.899328859060404</v>
      </c>
      <c r="AC246" s="2">
        <v>13.8794802198234</v>
      </c>
      <c r="AD246" s="2">
        <v>97.114093959731505</v>
      </c>
      <c r="AE246" s="2">
        <v>13.8794802198234</v>
      </c>
      <c r="AF246" s="2" t="s">
        <v>74</v>
      </c>
      <c r="AG246" s="2" t="s">
        <v>64</v>
      </c>
      <c r="AH246" s="2" t="str">
        <f>IF(AF246="mean", "mean", "")</f>
        <v>mean</v>
      </c>
      <c r="AR246" s="2" t="s">
        <v>849</v>
      </c>
      <c r="AS246" s="2" t="s">
        <v>849</v>
      </c>
      <c r="AU246" s="2" t="s">
        <v>1818</v>
      </c>
      <c r="AV246" s="2" t="s">
        <v>1830</v>
      </c>
      <c r="AW246" s="2" t="s">
        <v>1836</v>
      </c>
      <c r="AX246" s="2" t="s">
        <v>1826</v>
      </c>
      <c r="AY246" s="2" t="s">
        <v>79</v>
      </c>
    </row>
    <row r="247" spans="1:51" x14ac:dyDescent="0.2">
      <c r="A247" s="2" t="s">
        <v>417</v>
      </c>
      <c r="B247" s="2" t="s">
        <v>418</v>
      </c>
      <c r="C247" s="2" t="s">
        <v>419</v>
      </c>
      <c r="D247" s="2">
        <v>2012</v>
      </c>
      <c r="E247" s="2" t="s">
        <v>730</v>
      </c>
      <c r="F247" s="2" t="s">
        <v>731</v>
      </c>
      <c r="G247" s="2" t="s">
        <v>1012</v>
      </c>
      <c r="H247" s="2" t="s">
        <v>732</v>
      </c>
      <c r="I247" s="2" t="s">
        <v>433</v>
      </c>
      <c r="J247" s="2" t="s">
        <v>34</v>
      </c>
      <c r="K247" s="2" t="s">
        <v>38</v>
      </c>
      <c r="L247" s="2" t="s">
        <v>11</v>
      </c>
      <c r="M247" s="2" t="s">
        <v>14</v>
      </c>
      <c r="N247" s="2" t="s">
        <v>20</v>
      </c>
      <c r="O247" s="2">
        <v>0</v>
      </c>
      <c r="P247" s="2" t="s">
        <v>22</v>
      </c>
      <c r="Q247" s="2" t="s">
        <v>27</v>
      </c>
      <c r="T247" s="2" t="s">
        <v>50</v>
      </c>
      <c r="U247" s="2" t="s">
        <v>52</v>
      </c>
      <c r="V247" s="2">
        <v>4744</v>
      </c>
      <c r="W247" s="2">
        <v>3</v>
      </c>
      <c r="X247" s="2">
        <v>45</v>
      </c>
      <c r="Y247" s="2">
        <v>45</v>
      </c>
      <c r="AB247" s="2">
        <v>-0.281588447653429</v>
      </c>
      <c r="AC247" s="2">
        <v>2.0923784107146002</v>
      </c>
      <c r="AD247" s="2">
        <v>-0.168953068592058</v>
      </c>
      <c r="AE247" s="2">
        <v>1.91801354315506</v>
      </c>
      <c r="AF247" s="2" t="s">
        <v>74</v>
      </c>
      <c r="AG247" s="2" t="s">
        <v>64</v>
      </c>
      <c r="AH247" s="2" t="str">
        <f t="shared" ref="AH247:AH266" si="8">IF(AF247="mean", "mean", "")</f>
        <v>mean</v>
      </c>
      <c r="AR247" s="2" t="s">
        <v>849</v>
      </c>
      <c r="AS247" s="2" t="s">
        <v>222</v>
      </c>
      <c r="AU247" s="2" t="s">
        <v>1818</v>
      </c>
      <c r="AV247" s="2" t="s">
        <v>1819</v>
      </c>
      <c r="AW247" s="2" t="s">
        <v>1820</v>
      </c>
      <c r="AX247" s="2" t="s">
        <v>1821</v>
      </c>
      <c r="AY247" s="2" t="s">
        <v>79</v>
      </c>
    </row>
    <row r="248" spans="1:51" x14ac:dyDescent="0.2">
      <c r="A248" s="2" t="s">
        <v>417</v>
      </c>
      <c r="B248" s="2" t="s">
        <v>418</v>
      </c>
      <c r="C248" s="2" t="s">
        <v>419</v>
      </c>
      <c r="D248" s="2">
        <v>2012</v>
      </c>
      <c r="E248" s="2" t="s">
        <v>730</v>
      </c>
      <c r="F248" s="2" t="s">
        <v>731</v>
      </c>
      <c r="G248" s="2" t="s">
        <v>1012</v>
      </c>
      <c r="H248" s="2" t="s">
        <v>733</v>
      </c>
      <c r="I248" s="2" t="s">
        <v>433</v>
      </c>
      <c r="J248" s="2" t="s">
        <v>34</v>
      </c>
      <c r="K248" s="2" t="s">
        <v>38</v>
      </c>
      <c r="L248" s="2" t="s">
        <v>11</v>
      </c>
      <c r="M248" s="2" t="s">
        <v>14</v>
      </c>
      <c r="N248" s="2" t="s">
        <v>20</v>
      </c>
      <c r="O248" s="2">
        <v>0</v>
      </c>
      <c r="P248" s="2" t="s">
        <v>22</v>
      </c>
      <c r="Q248" s="2" t="s">
        <v>27</v>
      </c>
      <c r="T248" s="2" t="s">
        <v>50</v>
      </c>
      <c r="U248" s="2" t="s">
        <v>52</v>
      </c>
      <c r="V248" s="2">
        <v>4744</v>
      </c>
      <c r="W248" s="2">
        <v>3</v>
      </c>
      <c r="X248" s="2">
        <v>45</v>
      </c>
      <c r="Y248" s="2">
        <v>45</v>
      </c>
      <c r="AB248" s="2">
        <v>-0.281588447653429</v>
      </c>
      <c r="AC248" s="2">
        <v>2.0923784107146002</v>
      </c>
      <c r="AD248" s="2">
        <v>3.0324909747292399E-2</v>
      </c>
      <c r="AE248" s="2">
        <v>1.9761351656749</v>
      </c>
      <c r="AF248" s="2" t="s">
        <v>74</v>
      </c>
      <c r="AG248" s="2" t="s">
        <v>64</v>
      </c>
      <c r="AH248" s="2" t="str">
        <f t="shared" si="8"/>
        <v>mean</v>
      </c>
      <c r="AR248" s="2" t="s">
        <v>849</v>
      </c>
      <c r="AS248" s="2" t="s">
        <v>222</v>
      </c>
      <c r="AU248" s="2" t="s">
        <v>1818</v>
      </c>
      <c r="AV248" s="2" t="s">
        <v>1819</v>
      </c>
      <c r="AW248" s="2" t="s">
        <v>1820</v>
      </c>
      <c r="AX248" s="2" t="s">
        <v>1821</v>
      </c>
      <c r="AY248" s="2" t="s">
        <v>79</v>
      </c>
    </row>
    <row r="249" spans="1:51" x14ac:dyDescent="0.2">
      <c r="A249" s="2" t="s">
        <v>417</v>
      </c>
      <c r="B249" s="2" t="s">
        <v>418</v>
      </c>
      <c r="C249" s="2" t="s">
        <v>419</v>
      </c>
      <c r="D249" s="2">
        <v>2012</v>
      </c>
      <c r="E249" s="2" t="s">
        <v>730</v>
      </c>
      <c r="F249" s="2" t="s">
        <v>731</v>
      </c>
      <c r="G249" s="2" t="s">
        <v>1012</v>
      </c>
      <c r="H249" s="2" t="s">
        <v>734</v>
      </c>
      <c r="I249" s="2" t="s">
        <v>433</v>
      </c>
      <c r="J249" s="2" t="s">
        <v>34</v>
      </c>
      <c r="K249" s="2" t="s">
        <v>38</v>
      </c>
      <c r="L249" s="2" t="s">
        <v>11</v>
      </c>
      <c r="M249" s="2" t="s">
        <v>14</v>
      </c>
      <c r="N249" s="2" t="s">
        <v>20</v>
      </c>
      <c r="O249" s="2">
        <v>0</v>
      </c>
      <c r="P249" s="2" t="s">
        <v>22</v>
      </c>
      <c r="Q249" s="2" t="s">
        <v>27</v>
      </c>
      <c r="T249" s="2" t="s">
        <v>50</v>
      </c>
      <c r="U249" s="2" t="s">
        <v>52</v>
      </c>
      <c r="V249" s="2">
        <v>4744</v>
      </c>
      <c r="W249" s="2">
        <v>3</v>
      </c>
      <c r="X249" s="2">
        <v>45</v>
      </c>
      <c r="Y249" s="2">
        <v>45</v>
      </c>
      <c r="AB249" s="2">
        <v>-0.281588447653429</v>
      </c>
      <c r="AC249" s="2">
        <v>2.0923784107146002</v>
      </c>
      <c r="AD249" s="2">
        <v>-0.26425992779783403</v>
      </c>
      <c r="AE249" s="2">
        <v>1.8598919206352</v>
      </c>
      <c r="AF249" s="2" t="s">
        <v>74</v>
      </c>
      <c r="AG249" s="2" t="s">
        <v>64</v>
      </c>
      <c r="AH249" s="2" t="str">
        <f t="shared" si="8"/>
        <v>mean</v>
      </c>
      <c r="AR249" s="2" t="s">
        <v>849</v>
      </c>
      <c r="AS249" s="2" t="s">
        <v>222</v>
      </c>
      <c r="AU249" s="2" t="s">
        <v>1818</v>
      </c>
      <c r="AV249" s="2" t="s">
        <v>1819</v>
      </c>
      <c r="AW249" s="2" t="s">
        <v>1820</v>
      </c>
      <c r="AX249" s="2" t="s">
        <v>1821</v>
      </c>
      <c r="AY249" s="2" t="s">
        <v>79</v>
      </c>
    </row>
    <row r="250" spans="1:51" x14ac:dyDescent="0.2">
      <c r="A250" s="2" t="s">
        <v>417</v>
      </c>
      <c r="B250" s="2" t="s">
        <v>418</v>
      </c>
      <c r="C250" s="2" t="s">
        <v>419</v>
      </c>
      <c r="D250" s="2">
        <v>2012</v>
      </c>
      <c r="E250" s="2" t="s">
        <v>730</v>
      </c>
      <c r="F250" s="2" t="s">
        <v>731</v>
      </c>
      <c r="G250" s="2" t="s">
        <v>1012</v>
      </c>
      <c r="H250" s="2" t="s">
        <v>735</v>
      </c>
      <c r="I250" s="2" t="s">
        <v>433</v>
      </c>
      <c r="J250" s="2" t="s">
        <v>34</v>
      </c>
      <c r="K250" s="2" t="s">
        <v>38</v>
      </c>
      <c r="L250" s="2" t="s">
        <v>11</v>
      </c>
      <c r="M250" s="2" t="s">
        <v>14</v>
      </c>
      <c r="N250" s="2" t="s">
        <v>20</v>
      </c>
      <c r="O250" s="2">
        <v>0</v>
      </c>
      <c r="P250" s="2" t="s">
        <v>22</v>
      </c>
      <c r="Q250" s="2" t="s">
        <v>27</v>
      </c>
      <c r="T250" s="2" t="s">
        <v>50</v>
      </c>
      <c r="U250" s="2" t="s">
        <v>52</v>
      </c>
      <c r="V250" s="2">
        <v>4744</v>
      </c>
      <c r="W250" s="2">
        <v>3</v>
      </c>
      <c r="X250" s="2">
        <v>45</v>
      </c>
      <c r="Y250" s="2">
        <v>45</v>
      </c>
      <c r="AB250" s="2">
        <v>-0.281588447653429</v>
      </c>
      <c r="AC250" s="2">
        <v>2.0923784107146002</v>
      </c>
      <c r="AD250" s="2">
        <v>9.9638989169675396E-2</v>
      </c>
      <c r="AE250" s="2">
        <v>1.8017702981153501</v>
      </c>
      <c r="AF250" s="2" t="s">
        <v>74</v>
      </c>
      <c r="AG250" s="2" t="s">
        <v>64</v>
      </c>
      <c r="AH250" s="2" t="str">
        <f t="shared" si="8"/>
        <v>mean</v>
      </c>
      <c r="AR250" s="2" t="s">
        <v>849</v>
      </c>
      <c r="AS250" s="2" t="s">
        <v>222</v>
      </c>
      <c r="AU250" s="2" t="s">
        <v>1818</v>
      </c>
      <c r="AV250" s="2" t="s">
        <v>1819</v>
      </c>
      <c r="AW250" s="2" t="s">
        <v>1820</v>
      </c>
      <c r="AX250" s="2" t="s">
        <v>1821</v>
      </c>
      <c r="AY250" s="2" t="s">
        <v>79</v>
      </c>
    </row>
    <row r="251" spans="1:51" x14ac:dyDescent="0.2">
      <c r="A251" s="2" t="s">
        <v>417</v>
      </c>
      <c r="B251" s="2" t="s">
        <v>418</v>
      </c>
      <c r="C251" s="2" t="s">
        <v>419</v>
      </c>
      <c r="D251" s="2">
        <v>2012</v>
      </c>
      <c r="E251" s="2" t="s">
        <v>730</v>
      </c>
      <c r="F251" s="2" t="s">
        <v>731</v>
      </c>
      <c r="G251" s="2" t="s">
        <v>1012</v>
      </c>
      <c r="H251" s="2" t="s">
        <v>736</v>
      </c>
      <c r="I251" s="2" t="s">
        <v>433</v>
      </c>
      <c r="J251" s="2" t="s">
        <v>34</v>
      </c>
      <c r="K251" s="2" t="s">
        <v>38</v>
      </c>
      <c r="L251" s="2" t="s">
        <v>11</v>
      </c>
      <c r="M251" s="2" t="s">
        <v>14</v>
      </c>
      <c r="N251" s="2" t="s">
        <v>20</v>
      </c>
      <c r="O251" s="2">
        <v>0</v>
      </c>
      <c r="P251" s="2" t="s">
        <v>22</v>
      </c>
      <c r="Q251" s="2" t="s">
        <v>27</v>
      </c>
      <c r="T251" s="2" t="s">
        <v>50</v>
      </c>
      <c r="U251" s="2" t="s">
        <v>52</v>
      </c>
      <c r="V251" s="2">
        <v>4744</v>
      </c>
      <c r="W251" s="2">
        <v>3</v>
      </c>
      <c r="X251" s="2">
        <v>45</v>
      </c>
      <c r="Y251" s="2">
        <v>45</v>
      </c>
      <c r="AB251" s="2">
        <v>-0.281588447653429</v>
      </c>
      <c r="AC251" s="2">
        <v>2.0923784107146002</v>
      </c>
      <c r="AD251" s="2">
        <v>0.48086642599278001</v>
      </c>
      <c r="AE251" s="2">
        <v>2.0923784107146002</v>
      </c>
      <c r="AF251" s="2" t="s">
        <v>74</v>
      </c>
      <c r="AG251" s="2" t="s">
        <v>64</v>
      </c>
      <c r="AH251" s="2" t="str">
        <f t="shared" si="8"/>
        <v>mean</v>
      </c>
      <c r="AR251" s="2" t="s">
        <v>849</v>
      </c>
      <c r="AS251" s="2" t="s">
        <v>222</v>
      </c>
      <c r="AU251" s="2" t="s">
        <v>1818</v>
      </c>
      <c r="AV251" s="2" t="s">
        <v>1819</v>
      </c>
      <c r="AW251" s="2" t="s">
        <v>1820</v>
      </c>
      <c r="AX251" s="2" t="s">
        <v>1821</v>
      </c>
      <c r="AY251" s="2" t="s">
        <v>79</v>
      </c>
    </row>
    <row r="252" spans="1:51" x14ac:dyDescent="0.2">
      <c r="A252" s="2" t="s">
        <v>417</v>
      </c>
      <c r="B252" s="2" t="s">
        <v>418</v>
      </c>
      <c r="C252" s="2" t="s">
        <v>419</v>
      </c>
      <c r="D252" s="2">
        <v>2012</v>
      </c>
      <c r="E252" s="2" t="s">
        <v>730</v>
      </c>
      <c r="F252" s="2" t="s">
        <v>731</v>
      </c>
      <c r="G252" s="2" t="s">
        <v>1012</v>
      </c>
      <c r="H252" s="2" t="s">
        <v>737</v>
      </c>
      <c r="I252" s="2" t="s">
        <v>433</v>
      </c>
      <c r="J252" s="2" t="s">
        <v>34</v>
      </c>
      <c r="K252" s="2" t="s">
        <v>38</v>
      </c>
      <c r="L252" s="2" t="s">
        <v>11</v>
      </c>
      <c r="M252" s="2" t="s">
        <v>14</v>
      </c>
      <c r="N252" s="2" t="s">
        <v>20</v>
      </c>
      <c r="O252" s="2">
        <v>0</v>
      </c>
      <c r="P252" s="2" t="s">
        <v>22</v>
      </c>
      <c r="Q252" s="2" t="s">
        <v>27</v>
      </c>
      <c r="T252" s="2" t="s">
        <v>50</v>
      </c>
      <c r="U252" s="2" t="s">
        <v>52</v>
      </c>
      <c r="V252" s="2">
        <v>4744</v>
      </c>
      <c r="W252" s="2">
        <v>3</v>
      </c>
      <c r="X252" s="2">
        <v>25</v>
      </c>
      <c r="Y252" s="2">
        <v>25</v>
      </c>
      <c r="AB252" s="2">
        <v>0.26425992779783403</v>
      </c>
      <c r="AC252" s="2">
        <v>1.8194945848375399</v>
      </c>
      <c r="AD252" s="2">
        <v>0.76678700361010799</v>
      </c>
      <c r="AE252" s="2">
        <v>1.6462093862815901</v>
      </c>
      <c r="AF252" s="2" t="s">
        <v>74</v>
      </c>
      <c r="AG252" s="2" t="s">
        <v>64</v>
      </c>
      <c r="AH252" s="2" t="str">
        <f t="shared" si="8"/>
        <v>mean</v>
      </c>
      <c r="AR252" s="2" t="s">
        <v>849</v>
      </c>
      <c r="AS252" s="2" t="s">
        <v>222</v>
      </c>
      <c r="AU252" s="2" t="s">
        <v>1818</v>
      </c>
      <c r="AV252" s="2" t="s">
        <v>1819</v>
      </c>
      <c r="AW252" s="2" t="s">
        <v>1820</v>
      </c>
      <c r="AX252" s="2" t="s">
        <v>1821</v>
      </c>
      <c r="AY252" s="2" t="s">
        <v>79</v>
      </c>
    </row>
    <row r="253" spans="1:51" x14ac:dyDescent="0.2">
      <c r="A253" s="2" t="s">
        <v>417</v>
      </c>
      <c r="B253" s="2" t="s">
        <v>418</v>
      </c>
      <c r="C253" s="2" t="s">
        <v>419</v>
      </c>
      <c r="D253" s="2">
        <v>2012</v>
      </c>
      <c r="E253" s="2" t="s">
        <v>730</v>
      </c>
      <c r="F253" s="2" t="s">
        <v>731</v>
      </c>
      <c r="G253" s="2" t="s">
        <v>1013</v>
      </c>
      <c r="H253" s="2" t="s">
        <v>738</v>
      </c>
      <c r="I253" s="2" t="s">
        <v>433</v>
      </c>
      <c r="J253" s="2" t="s">
        <v>34</v>
      </c>
      <c r="K253" s="2" t="s">
        <v>38</v>
      </c>
      <c r="L253" s="2" t="s">
        <v>11</v>
      </c>
      <c r="M253" s="2" t="s">
        <v>14</v>
      </c>
      <c r="N253" s="2" t="s">
        <v>20</v>
      </c>
      <c r="O253" s="2">
        <v>0</v>
      </c>
      <c r="P253" s="2" t="s">
        <v>22</v>
      </c>
      <c r="Q253" s="2" t="s">
        <v>27</v>
      </c>
      <c r="T253" s="2" t="s">
        <v>50</v>
      </c>
      <c r="U253" s="2" t="s">
        <v>52</v>
      </c>
      <c r="V253" s="2">
        <v>4744</v>
      </c>
      <c r="W253" s="2">
        <v>3</v>
      </c>
      <c r="X253" s="2">
        <v>25</v>
      </c>
      <c r="Y253" s="2">
        <v>25</v>
      </c>
      <c r="AB253" s="2">
        <v>0.26425992779783403</v>
      </c>
      <c r="AC253" s="2">
        <v>1.8194945848375399</v>
      </c>
      <c r="AD253" s="2">
        <v>0.44620938628158802</v>
      </c>
      <c r="AE253" s="2">
        <v>1.5162454873646201</v>
      </c>
      <c r="AF253" s="2" t="s">
        <v>74</v>
      </c>
      <c r="AG253" s="2" t="s">
        <v>64</v>
      </c>
      <c r="AH253" s="2" t="str">
        <f t="shared" si="8"/>
        <v>mean</v>
      </c>
      <c r="AR253" s="2" t="s">
        <v>849</v>
      </c>
      <c r="AS253" s="2" t="s">
        <v>222</v>
      </c>
      <c r="AU253" s="2" t="s">
        <v>1818</v>
      </c>
      <c r="AV253" s="2" t="s">
        <v>1819</v>
      </c>
      <c r="AW253" s="2" t="s">
        <v>1820</v>
      </c>
      <c r="AX253" s="2" t="s">
        <v>1821</v>
      </c>
      <c r="AY253" s="2" t="s">
        <v>79</v>
      </c>
    </row>
    <row r="254" spans="1:51" x14ac:dyDescent="0.2">
      <c r="A254" s="2" t="s">
        <v>417</v>
      </c>
      <c r="B254" s="2" t="s">
        <v>418</v>
      </c>
      <c r="C254" s="2" t="s">
        <v>419</v>
      </c>
      <c r="D254" s="2">
        <v>2012</v>
      </c>
      <c r="E254" s="2" t="s">
        <v>730</v>
      </c>
      <c r="F254" s="2" t="s">
        <v>731</v>
      </c>
      <c r="G254" s="2" t="s">
        <v>1013</v>
      </c>
      <c r="H254" s="2" t="s">
        <v>739</v>
      </c>
      <c r="I254" s="2" t="s">
        <v>433</v>
      </c>
      <c r="J254" s="2" t="s">
        <v>34</v>
      </c>
      <c r="K254" s="2" t="s">
        <v>38</v>
      </c>
      <c r="L254" s="2" t="s">
        <v>11</v>
      </c>
      <c r="M254" s="2" t="s">
        <v>14</v>
      </c>
      <c r="N254" s="2" t="s">
        <v>20</v>
      </c>
      <c r="O254" s="2">
        <v>0</v>
      </c>
      <c r="P254" s="2" t="s">
        <v>22</v>
      </c>
      <c r="Q254" s="2" t="s">
        <v>27</v>
      </c>
      <c r="T254" s="2" t="s">
        <v>50</v>
      </c>
      <c r="U254" s="2" t="s">
        <v>52</v>
      </c>
      <c r="V254" s="2">
        <v>4744</v>
      </c>
      <c r="W254" s="2">
        <v>3</v>
      </c>
      <c r="X254" s="2">
        <v>25</v>
      </c>
      <c r="Y254" s="2">
        <v>25</v>
      </c>
      <c r="AB254" s="2">
        <v>0.26425992779783403</v>
      </c>
      <c r="AC254" s="2">
        <v>1.8194945848375399</v>
      </c>
      <c r="AD254" s="2">
        <v>-0.55884476534296001</v>
      </c>
      <c r="AE254" s="2">
        <v>1.5595667870036101</v>
      </c>
      <c r="AF254" s="2" t="s">
        <v>74</v>
      </c>
      <c r="AG254" s="2" t="s">
        <v>64</v>
      </c>
      <c r="AH254" s="2" t="str">
        <f t="shared" si="8"/>
        <v>mean</v>
      </c>
      <c r="AR254" s="2" t="s">
        <v>849</v>
      </c>
      <c r="AS254" s="2" t="s">
        <v>222</v>
      </c>
      <c r="AU254" s="2" t="s">
        <v>1818</v>
      </c>
      <c r="AV254" s="2" t="s">
        <v>1819</v>
      </c>
      <c r="AW254" s="2" t="s">
        <v>1820</v>
      </c>
      <c r="AX254" s="2" t="s">
        <v>1821</v>
      </c>
      <c r="AY254" s="2" t="s">
        <v>79</v>
      </c>
    </row>
    <row r="255" spans="1:51" x14ac:dyDescent="0.2">
      <c r="A255" s="2" t="s">
        <v>417</v>
      </c>
      <c r="B255" s="2" t="s">
        <v>418</v>
      </c>
      <c r="C255" s="2" t="s">
        <v>419</v>
      </c>
      <c r="D255" s="2">
        <v>2012</v>
      </c>
      <c r="E255" s="2" t="s">
        <v>730</v>
      </c>
      <c r="F255" s="2" t="s">
        <v>731</v>
      </c>
      <c r="G255" s="2" t="s">
        <v>1013</v>
      </c>
      <c r="H255" s="2" t="s">
        <v>740</v>
      </c>
      <c r="I255" s="2" t="s">
        <v>433</v>
      </c>
      <c r="J255" s="2" t="s">
        <v>34</v>
      </c>
      <c r="K255" s="2" t="s">
        <v>38</v>
      </c>
      <c r="L255" s="2" t="s">
        <v>11</v>
      </c>
      <c r="M255" s="2" t="s">
        <v>14</v>
      </c>
      <c r="N255" s="2" t="s">
        <v>20</v>
      </c>
      <c r="O255" s="2">
        <v>0</v>
      </c>
      <c r="P255" s="2" t="s">
        <v>22</v>
      </c>
      <c r="Q255" s="2" t="s">
        <v>27</v>
      </c>
      <c r="T255" s="2" t="s">
        <v>50</v>
      </c>
      <c r="U255" s="2" t="s">
        <v>52</v>
      </c>
      <c r="V255" s="2">
        <v>4744</v>
      </c>
      <c r="W255" s="2">
        <v>3</v>
      </c>
      <c r="X255" s="2">
        <v>25</v>
      </c>
      <c r="Y255" s="2">
        <v>25</v>
      </c>
      <c r="AB255" s="2">
        <v>0.26425992779783403</v>
      </c>
      <c r="AC255" s="2">
        <v>1.8194945848375399</v>
      </c>
      <c r="AD255" s="2">
        <v>-0.16028880866426001</v>
      </c>
      <c r="AE255" s="2">
        <v>1.8628158844765399</v>
      </c>
      <c r="AF255" s="2" t="s">
        <v>74</v>
      </c>
      <c r="AG255" s="2" t="s">
        <v>64</v>
      </c>
      <c r="AH255" s="2" t="str">
        <f t="shared" si="8"/>
        <v>mean</v>
      </c>
      <c r="AR255" s="2" t="s">
        <v>849</v>
      </c>
      <c r="AS255" s="2" t="s">
        <v>222</v>
      </c>
      <c r="AU255" s="2" t="s">
        <v>1818</v>
      </c>
      <c r="AV255" s="2" t="s">
        <v>1819</v>
      </c>
      <c r="AW255" s="2" t="s">
        <v>1820</v>
      </c>
      <c r="AX255" s="2" t="s">
        <v>1821</v>
      </c>
      <c r="AY255" s="2" t="s">
        <v>79</v>
      </c>
    </row>
    <row r="256" spans="1:51" x14ac:dyDescent="0.2">
      <c r="A256" s="2" t="s">
        <v>417</v>
      </c>
      <c r="B256" s="2" t="s">
        <v>418</v>
      </c>
      <c r="C256" s="2" t="s">
        <v>419</v>
      </c>
      <c r="D256" s="2">
        <v>2012</v>
      </c>
      <c r="E256" s="2" t="s">
        <v>730</v>
      </c>
      <c r="F256" s="2" t="s">
        <v>731</v>
      </c>
      <c r="G256" s="2" t="s">
        <v>1013</v>
      </c>
      <c r="H256" s="2" t="s">
        <v>741</v>
      </c>
      <c r="I256" s="2" t="s">
        <v>433</v>
      </c>
      <c r="J256" s="2" t="s">
        <v>34</v>
      </c>
      <c r="K256" s="2" t="s">
        <v>38</v>
      </c>
      <c r="L256" s="2" t="s">
        <v>11</v>
      </c>
      <c r="M256" s="2" t="s">
        <v>14</v>
      </c>
      <c r="N256" s="2" t="s">
        <v>20</v>
      </c>
      <c r="O256" s="2">
        <v>0</v>
      </c>
      <c r="P256" s="2" t="s">
        <v>22</v>
      </c>
      <c r="Q256" s="2" t="s">
        <v>27</v>
      </c>
      <c r="T256" s="2" t="s">
        <v>50</v>
      </c>
      <c r="U256" s="2" t="s">
        <v>52</v>
      </c>
      <c r="V256" s="2">
        <v>4744</v>
      </c>
      <c r="W256" s="2">
        <v>3</v>
      </c>
      <c r="X256" s="2">
        <v>25</v>
      </c>
      <c r="Y256" s="2">
        <v>25</v>
      </c>
      <c r="AB256" s="2">
        <v>0.26425992779783403</v>
      </c>
      <c r="AC256" s="2">
        <v>1.8194945848375399</v>
      </c>
      <c r="AD256" s="2">
        <v>-0.55884476534296001</v>
      </c>
      <c r="AE256" s="2">
        <v>1.6028880866426001</v>
      </c>
      <c r="AF256" s="2" t="s">
        <v>74</v>
      </c>
      <c r="AG256" s="2" t="s">
        <v>64</v>
      </c>
      <c r="AH256" s="2" t="str">
        <f t="shared" si="8"/>
        <v>mean</v>
      </c>
      <c r="AR256" s="2" t="s">
        <v>849</v>
      </c>
      <c r="AS256" s="2" t="s">
        <v>222</v>
      </c>
      <c r="AU256" s="2" t="s">
        <v>1818</v>
      </c>
      <c r="AV256" s="2" t="s">
        <v>1819</v>
      </c>
      <c r="AW256" s="2" t="s">
        <v>1820</v>
      </c>
      <c r="AX256" s="2" t="s">
        <v>1821</v>
      </c>
      <c r="AY256" s="2" t="s">
        <v>79</v>
      </c>
    </row>
    <row r="257" spans="1:51" x14ac:dyDescent="0.2">
      <c r="A257" s="2" t="s">
        <v>417</v>
      </c>
      <c r="B257" s="2" t="s">
        <v>418</v>
      </c>
      <c r="C257" s="2" t="s">
        <v>419</v>
      </c>
      <c r="D257" s="2">
        <v>2012</v>
      </c>
      <c r="E257" s="2" t="s">
        <v>730</v>
      </c>
      <c r="F257" s="2" t="s">
        <v>731</v>
      </c>
      <c r="G257" s="2" t="s">
        <v>1013</v>
      </c>
      <c r="H257" s="2" t="s">
        <v>742</v>
      </c>
      <c r="I257" s="2" t="s">
        <v>433</v>
      </c>
      <c r="J257" s="2" t="s">
        <v>34</v>
      </c>
      <c r="K257" s="2" t="s">
        <v>38</v>
      </c>
      <c r="L257" s="2" t="s">
        <v>11</v>
      </c>
      <c r="M257" s="2" t="s">
        <v>14</v>
      </c>
      <c r="N257" s="2" t="s">
        <v>20</v>
      </c>
      <c r="O257" s="2">
        <v>0</v>
      </c>
      <c r="P257" s="2" t="s">
        <v>22</v>
      </c>
      <c r="Q257" s="2" t="s">
        <v>1056</v>
      </c>
      <c r="T257" s="2" t="s">
        <v>50</v>
      </c>
      <c r="U257" s="2" t="s">
        <v>52</v>
      </c>
      <c r="V257" s="2">
        <v>4744</v>
      </c>
      <c r="W257" s="2">
        <v>4</v>
      </c>
      <c r="X257" s="2">
        <v>45</v>
      </c>
      <c r="Y257" s="2">
        <v>45</v>
      </c>
      <c r="AB257" s="2">
        <v>9.0681003584229405</v>
      </c>
      <c r="AC257" s="2">
        <v>13.753020248708401</v>
      </c>
      <c r="AD257" s="2">
        <v>18.530465949820801</v>
      </c>
      <c r="AE257" s="2">
        <v>12.1661332969343</v>
      </c>
      <c r="AF257" s="2" t="s">
        <v>74</v>
      </c>
      <c r="AG257" s="2" t="s">
        <v>64</v>
      </c>
      <c r="AH257" s="2" t="str">
        <f t="shared" si="8"/>
        <v>mean</v>
      </c>
      <c r="AR257" s="2" t="s">
        <v>849</v>
      </c>
      <c r="AS257" s="2" t="s">
        <v>849</v>
      </c>
      <c r="AU257" s="2" t="s">
        <v>1818</v>
      </c>
      <c r="AV257" s="2" t="s">
        <v>1819</v>
      </c>
      <c r="AW257" s="2" t="s">
        <v>1820</v>
      </c>
      <c r="AX257" s="2" t="s">
        <v>1821</v>
      </c>
      <c r="AY257" s="2" t="s">
        <v>79</v>
      </c>
    </row>
    <row r="258" spans="1:51" x14ac:dyDescent="0.2">
      <c r="A258" s="2" t="s">
        <v>417</v>
      </c>
      <c r="B258" s="2" t="s">
        <v>418</v>
      </c>
      <c r="C258" s="2" t="s">
        <v>419</v>
      </c>
      <c r="D258" s="2">
        <v>2012</v>
      </c>
      <c r="E258" s="2" t="s">
        <v>730</v>
      </c>
      <c r="F258" s="2" t="s">
        <v>731</v>
      </c>
      <c r="G258" s="2" t="s">
        <v>1012</v>
      </c>
      <c r="H258" s="2" t="s">
        <v>743</v>
      </c>
      <c r="I258" s="2" t="s">
        <v>433</v>
      </c>
      <c r="J258" s="2" t="s">
        <v>34</v>
      </c>
      <c r="K258" s="2" t="s">
        <v>38</v>
      </c>
      <c r="L258" s="2" t="s">
        <v>11</v>
      </c>
      <c r="M258" s="2" t="s">
        <v>14</v>
      </c>
      <c r="N258" s="2" t="s">
        <v>20</v>
      </c>
      <c r="O258" s="2">
        <v>0</v>
      </c>
      <c r="P258" s="2" t="s">
        <v>22</v>
      </c>
      <c r="Q258" s="2" t="s">
        <v>1056</v>
      </c>
      <c r="T258" s="2" t="s">
        <v>50</v>
      </c>
      <c r="U258" s="2" t="s">
        <v>52</v>
      </c>
      <c r="V258" s="2">
        <v>4744</v>
      </c>
      <c r="W258" s="2">
        <v>4</v>
      </c>
      <c r="X258" s="2">
        <v>45</v>
      </c>
      <c r="Y258" s="2">
        <v>45</v>
      </c>
      <c r="AB258" s="2">
        <v>9.0681003584229405</v>
      </c>
      <c r="AC258" s="2">
        <v>13.753020248708401</v>
      </c>
      <c r="AD258" s="2">
        <v>12.8530465949821</v>
      </c>
      <c r="AE258" s="2">
        <v>10.5792463451603</v>
      </c>
      <c r="AF258" s="2" t="s">
        <v>74</v>
      </c>
      <c r="AG258" s="2" t="s">
        <v>64</v>
      </c>
      <c r="AH258" s="2" t="str">
        <f t="shared" si="8"/>
        <v>mean</v>
      </c>
      <c r="AR258" s="2" t="s">
        <v>849</v>
      </c>
      <c r="AS258" s="2" t="s">
        <v>849</v>
      </c>
      <c r="AU258" s="2" t="s">
        <v>1818</v>
      </c>
      <c r="AV258" s="2" t="s">
        <v>1819</v>
      </c>
      <c r="AW258" s="2" t="s">
        <v>1820</v>
      </c>
      <c r="AX258" s="2" t="s">
        <v>1821</v>
      </c>
      <c r="AY258" s="2" t="s">
        <v>79</v>
      </c>
    </row>
    <row r="259" spans="1:51" x14ac:dyDescent="0.2">
      <c r="A259" s="2" t="s">
        <v>417</v>
      </c>
      <c r="B259" s="2" t="s">
        <v>418</v>
      </c>
      <c r="C259" s="2" t="s">
        <v>419</v>
      </c>
      <c r="D259" s="2">
        <v>2012</v>
      </c>
      <c r="E259" s="2" t="s">
        <v>730</v>
      </c>
      <c r="F259" s="2" t="s">
        <v>731</v>
      </c>
      <c r="G259" s="2" t="s">
        <v>1012</v>
      </c>
      <c r="H259" s="2" t="s">
        <v>744</v>
      </c>
      <c r="I259" s="2" t="s">
        <v>433</v>
      </c>
      <c r="J259" s="2" t="s">
        <v>34</v>
      </c>
      <c r="K259" s="2" t="s">
        <v>38</v>
      </c>
      <c r="L259" s="2" t="s">
        <v>11</v>
      </c>
      <c r="M259" s="2" t="s">
        <v>14</v>
      </c>
      <c r="N259" s="2" t="s">
        <v>20</v>
      </c>
      <c r="O259" s="2">
        <v>0</v>
      </c>
      <c r="P259" s="2" t="s">
        <v>22</v>
      </c>
      <c r="Q259" s="2" t="s">
        <v>1056</v>
      </c>
      <c r="T259" s="2" t="s">
        <v>50</v>
      </c>
      <c r="U259" s="2" t="s">
        <v>52</v>
      </c>
      <c r="V259" s="2">
        <v>4744</v>
      </c>
      <c r="W259" s="2">
        <v>4</v>
      </c>
      <c r="X259" s="2">
        <v>45</v>
      </c>
      <c r="Y259" s="2">
        <v>45</v>
      </c>
      <c r="AB259" s="2">
        <v>9.0681003584229405</v>
      </c>
      <c r="AC259" s="2">
        <v>13.753020248708401</v>
      </c>
      <c r="AD259" s="2">
        <v>13.010752688171999</v>
      </c>
      <c r="AE259" s="2">
        <v>11.108208662418299</v>
      </c>
      <c r="AF259" s="2" t="s">
        <v>74</v>
      </c>
      <c r="AG259" s="2" t="s">
        <v>64</v>
      </c>
      <c r="AH259" s="2" t="str">
        <f t="shared" si="8"/>
        <v>mean</v>
      </c>
      <c r="AR259" s="2" t="s">
        <v>849</v>
      </c>
      <c r="AS259" s="2" t="s">
        <v>849</v>
      </c>
      <c r="AU259" s="2" t="s">
        <v>1818</v>
      </c>
      <c r="AV259" s="2" t="s">
        <v>1819</v>
      </c>
      <c r="AW259" s="2" t="s">
        <v>1820</v>
      </c>
      <c r="AX259" s="2" t="s">
        <v>1821</v>
      </c>
      <c r="AY259" s="2" t="s">
        <v>79</v>
      </c>
    </row>
    <row r="260" spans="1:51" x14ac:dyDescent="0.2">
      <c r="A260" s="2" t="s">
        <v>417</v>
      </c>
      <c r="B260" s="2" t="s">
        <v>418</v>
      </c>
      <c r="C260" s="2" t="s">
        <v>419</v>
      </c>
      <c r="D260" s="2">
        <v>2012</v>
      </c>
      <c r="E260" s="2" t="s">
        <v>730</v>
      </c>
      <c r="F260" s="2" t="s">
        <v>731</v>
      </c>
      <c r="G260" s="2" t="s">
        <v>1012</v>
      </c>
      <c r="H260" s="2" t="s">
        <v>745</v>
      </c>
      <c r="I260" s="2" t="s">
        <v>433</v>
      </c>
      <c r="J260" s="2" t="s">
        <v>34</v>
      </c>
      <c r="K260" s="2" t="s">
        <v>38</v>
      </c>
      <c r="L260" s="2" t="s">
        <v>11</v>
      </c>
      <c r="M260" s="2" t="s">
        <v>14</v>
      </c>
      <c r="N260" s="2" t="s">
        <v>20</v>
      </c>
      <c r="O260" s="2">
        <v>0</v>
      </c>
      <c r="P260" s="2" t="s">
        <v>22</v>
      </c>
      <c r="Q260" s="2" t="s">
        <v>1056</v>
      </c>
      <c r="T260" s="2" t="s">
        <v>50</v>
      </c>
      <c r="U260" s="2" t="s">
        <v>52</v>
      </c>
      <c r="V260" s="2">
        <v>4744</v>
      </c>
      <c r="W260" s="2">
        <v>4</v>
      </c>
      <c r="X260" s="2">
        <v>45</v>
      </c>
      <c r="Y260" s="2">
        <v>45</v>
      </c>
      <c r="AB260" s="2">
        <v>9.0681003584229405</v>
      </c>
      <c r="AC260" s="2">
        <v>13.753020248708401</v>
      </c>
      <c r="AD260" s="2">
        <v>11.0394265232975</v>
      </c>
      <c r="AE260" s="2">
        <v>12.1661332969343</v>
      </c>
      <c r="AF260" s="2" t="s">
        <v>74</v>
      </c>
      <c r="AG260" s="2" t="s">
        <v>64</v>
      </c>
      <c r="AH260" s="2" t="str">
        <f t="shared" si="8"/>
        <v>mean</v>
      </c>
      <c r="AR260" s="2" t="s">
        <v>849</v>
      </c>
      <c r="AS260" s="2" t="s">
        <v>849</v>
      </c>
      <c r="AU260" s="2" t="s">
        <v>1818</v>
      </c>
      <c r="AV260" s="2" t="s">
        <v>1819</v>
      </c>
      <c r="AW260" s="2" t="s">
        <v>1820</v>
      </c>
      <c r="AX260" s="2" t="s">
        <v>1821</v>
      </c>
      <c r="AY260" s="2" t="s">
        <v>79</v>
      </c>
    </row>
    <row r="261" spans="1:51" x14ac:dyDescent="0.2">
      <c r="A261" s="2" t="s">
        <v>417</v>
      </c>
      <c r="B261" s="2" t="s">
        <v>418</v>
      </c>
      <c r="C261" s="2" t="s">
        <v>419</v>
      </c>
      <c r="D261" s="2">
        <v>2012</v>
      </c>
      <c r="E261" s="2" t="s">
        <v>730</v>
      </c>
      <c r="F261" s="2" t="s">
        <v>731</v>
      </c>
      <c r="G261" s="2" t="s">
        <v>1012</v>
      </c>
      <c r="H261" s="2" t="s">
        <v>746</v>
      </c>
      <c r="I261" s="2" t="s">
        <v>433</v>
      </c>
      <c r="J261" s="2" t="s">
        <v>34</v>
      </c>
      <c r="K261" s="2" t="s">
        <v>38</v>
      </c>
      <c r="L261" s="2" t="s">
        <v>11</v>
      </c>
      <c r="M261" s="2" t="s">
        <v>14</v>
      </c>
      <c r="N261" s="2" t="s">
        <v>20</v>
      </c>
      <c r="O261" s="2">
        <v>0</v>
      </c>
      <c r="P261" s="2" t="s">
        <v>22</v>
      </c>
      <c r="Q261" s="2" t="s">
        <v>1056</v>
      </c>
      <c r="T261" s="2" t="s">
        <v>50</v>
      </c>
      <c r="U261" s="2" t="s">
        <v>52</v>
      </c>
      <c r="V261" s="2">
        <v>4744</v>
      </c>
      <c r="W261" s="2">
        <v>4</v>
      </c>
      <c r="X261" s="2">
        <v>45</v>
      </c>
      <c r="Y261" s="2">
        <v>45</v>
      </c>
      <c r="AB261" s="2">
        <v>9.0681003584229405</v>
      </c>
      <c r="AC261" s="2">
        <v>13.753020248708401</v>
      </c>
      <c r="AD261" s="2">
        <v>8.4372759856630903</v>
      </c>
      <c r="AE261" s="2">
        <v>16.397831834998499</v>
      </c>
      <c r="AF261" s="2" t="s">
        <v>74</v>
      </c>
      <c r="AG261" s="2" t="s">
        <v>64</v>
      </c>
      <c r="AH261" s="2" t="str">
        <f t="shared" si="8"/>
        <v>mean</v>
      </c>
      <c r="AR261" s="2" t="s">
        <v>849</v>
      </c>
      <c r="AS261" s="2" t="s">
        <v>849</v>
      </c>
      <c r="AU261" s="2" t="s">
        <v>1818</v>
      </c>
      <c r="AV261" s="2" t="s">
        <v>1819</v>
      </c>
      <c r="AW261" s="2" t="s">
        <v>1820</v>
      </c>
      <c r="AX261" s="2" t="s">
        <v>1821</v>
      </c>
      <c r="AY261" s="2" t="s">
        <v>79</v>
      </c>
    </row>
    <row r="262" spans="1:51" x14ac:dyDescent="0.2">
      <c r="A262" s="2" t="s">
        <v>417</v>
      </c>
      <c r="B262" s="2" t="s">
        <v>418</v>
      </c>
      <c r="C262" s="2" t="s">
        <v>419</v>
      </c>
      <c r="D262" s="2">
        <v>2012</v>
      </c>
      <c r="E262" s="2" t="s">
        <v>730</v>
      </c>
      <c r="F262" s="2" t="s">
        <v>731</v>
      </c>
      <c r="G262" s="2" t="s">
        <v>1012</v>
      </c>
      <c r="H262" s="2" t="s">
        <v>747</v>
      </c>
      <c r="I262" s="2" t="s">
        <v>433</v>
      </c>
      <c r="J262" s="2" t="s">
        <v>34</v>
      </c>
      <c r="K262" s="2" t="s">
        <v>38</v>
      </c>
      <c r="L262" s="2" t="s">
        <v>11</v>
      </c>
      <c r="M262" s="2" t="s">
        <v>14</v>
      </c>
      <c r="N262" s="2" t="s">
        <v>20</v>
      </c>
      <c r="O262" s="2">
        <v>0</v>
      </c>
      <c r="P262" s="2" t="s">
        <v>22</v>
      </c>
      <c r="Q262" s="2" t="s">
        <v>1056</v>
      </c>
      <c r="T262" s="2" t="s">
        <v>50</v>
      </c>
      <c r="U262" s="2" t="s">
        <v>52</v>
      </c>
      <c r="V262" s="2">
        <v>4744</v>
      </c>
      <c r="W262" s="2">
        <v>4</v>
      </c>
      <c r="X262" s="2">
        <v>25</v>
      </c>
      <c r="Y262" s="2">
        <v>25</v>
      </c>
      <c r="AB262" s="2">
        <v>10.566308243727599</v>
      </c>
      <c r="AC262" s="2">
        <v>11.0394265232975</v>
      </c>
      <c r="AD262" s="2">
        <v>7.4121863799283201</v>
      </c>
      <c r="AE262" s="2">
        <v>11.8279569892473</v>
      </c>
      <c r="AF262" s="2" t="s">
        <v>74</v>
      </c>
      <c r="AG262" s="2" t="s">
        <v>64</v>
      </c>
      <c r="AH262" s="2" t="str">
        <f t="shared" si="8"/>
        <v>mean</v>
      </c>
      <c r="AR262" s="2" t="s">
        <v>849</v>
      </c>
      <c r="AS262" s="2" t="s">
        <v>849</v>
      </c>
      <c r="AU262" s="2" t="s">
        <v>1818</v>
      </c>
      <c r="AV262" s="2" t="s">
        <v>1819</v>
      </c>
      <c r="AW262" s="2" t="s">
        <v>1820</v>
      </c>
      <c r="AX262" s="2" t="s">
        <v>1821</v>
      </c>
      <c r="AY262" s="2" t="s">
        <v>79</v>
      </c>
    </row>
    <row r="263" spans="1:51" x14ac:dyDescent="0.2">
      <c r="A263" s="2" t="s">
        <v>417</v>
      </c>
      <c r="B263" s="2" t="s">
        <v>418</v>
      </c>
      <c r="C263" s="2" t="s">
        <v>419</v>
      </c>
      <c r="D263" s="2">
        <v>2012</v>
      </c>
      <c r="E263" s="2" t="s">
        <v>730</v>
      </c>
      <c r="F263" s="2" t="s">
        <v>731</v>
      </c>
      <c r="G263" s="2" t="s">
        <v>1013</v>
      </c>
      <c r="H263" s="2" t="s">
        <v>748</v>
      </c>
      <c r="I263" s="2" t="s">
        <v>433</v>
      </c>
      <c r="J263" s="2" t="s">
        <v>34</v>
      </c>
      <c r="K263" s="2" t="s">
        <v>38</v>
      </c>
      <c r="L263" s="2" t="s">
        <v>11</v>
      </c>
      <c r="M263" s="2" t="s">
        <v>14</v>
      </c>
      <c r="N263" s="2" t="s">
        <v>20</v>
      </c>
      <c r="O263" s="2">
        <v>0</v>
      </c>
      <c r="P263" s="2" t="s">
        <v>22</v>
      </c>
      <c r="Q263" s="2" t="s">
        <v>1056</v>
      </c>
      <c r="T263" s="2" t="s">
        <v>50</v>
      </c>
      <c r="U263" s="2" t="s">
        <v>52</v>
      </c>
      <c r="V263" s="2">
        <v>4744</v>
      </c>
      <c r="W263" s="2">
        <v>4</v>
      </c>
      <c r="X263" s="2">
        <v>25</v>
      </c>
      <c r="Y263" s="2">
        <v>25</v>
      </c>
      <c r="AB263" s="2">
        <v>10.566308243727599</v>
      </c>
      <c r="AC263" s="2">
        <v>11.0394265232975</v>
      </c>
      <c r="AD263" s="2">
        <v>2.2078853046594999</v>
      </c>
      <c r="AE263" s="2">
        <v>10.250896057347701</v>
      </c>
      <c r="AF263" s="2" t="s">
        <v>74</v>
      </c>
      <c r="AG263" s="2" t="s">
        <v>64</v>
      </c>
      <c r="AH263" s="2" t="str">
        <f t="shared" si="8"/>
        <v>mean</v>
      </c>
      <c r="AR263" s="2" t="s">
        <v>849</v>
      </c>
      <c r="AS263" s="2" t="s">
        <v>849</v>
      </c>
      <c r="AU263" s="2" t="s">
        <v>1818</v>
      </c>
      <c r="AV263" s="2" t="s">
        <v>1819</v>
      </c>
      <c r="AW263" s="2" t="s">
        <v>1820</v>
      </c>
      <c r="AX263" s="2" t="s">
        <v>1821</v>
      </c>
      <c r="AY263" s="2" t="s">
        <v>79</v>
      </c>
    </row>
    <row r="264" spans="1:51" x14ac:dyDescent="0.2">
      <c r="A264" s="2" t="s">
        <v>417</v>
      </c>
      <c r="B264" s="2" t="s">
        <v>418</v>
      </c>
      <c r="C264" s="2" t="s">
        <v>419</v>
      </c>
      <c r="D264" s="2">
        <v>2012</v>
      </c>
      <c r="E264" s="2" t="s">
        <v>730</v>
      </c>
      <c r="F264" s="2" t="s">
        <v>731</v>
      </c>
      <c r="G264" s="2" t="s">
        <v>1013</v>
      </c>
      <c r="H264" s="2" t="s">
        <v>749</v>
      </c>
      <c r="I264" s="2" t="s">
        <v>433</v>
      </c>
      <c r="J264" s="2" t="s">
        <v>34</v>
      </c>
      <c r="K264" s="2" t="s">
        <v>38</v>
      </c>
      <c r="L264" s="2" t="s">
        <v>11</v>
      </c>
      <c r="M264" s="2" t="s">
        <v>14</v>
      </c>
      <c r="N264" s="2" t="s">
        <v>20</v>
      </c>
      <c r="O264" s="2">
        <v>0</v>
      </c>
      <c r="P264" s="2" t="s">
        <v>22</v>
      </c>
      <c r="Q264" s="2" t="s">
        <v>1056</v>
      </c>
      <c r="T264" s="2" t="s">
        <v>50</v>
      </c>
      <c r="U264" s="2" t="s">
        <v>52</v>
      </c>
      <c r="V264" s="2">
        <v>4744</v>
      </c>
      <c r="W264" s="2">
        <v>4</v>
      </c>
      <c r="X264" s="2">
        <v>25</v>
      </c>
      <c r="Y264" s="2">
        <v>25</v>
      </c>
      <c r="AB264" s="2">
        <v>10.566308243727599</v>
      </c>
      <c r="AC264" s="2">
        <v>11.0394265232975</v>
      </c>
      <c r="AD264" s="2">
        <v>7.7275985663082496</v>
      </c>
      <c r="AE264" s="2">
        <v>9.8566308243727505</v>
      </c>
      <c r="AF264" s="2" t="s">
        <v>74</v>
      </c>
      <c r="AG264" s="2" t="s">
        <v>64</v>
      </c>
      <c r="AH264" s="2" t="str">
        <f t="shared" si="8"/>
        <v>mean</v>
      </c>
      <c r="AR264" s="2" t="s">
        <v>849</v>
      </c>
      <c r="AS264" s="2" t="s">
        <v>849</v>
      </c>
      <c r="AU264" s="2" t="s">
        <v>1818</v>
      </c>
      <c r="AV264" s="2" t="s">
        <v>1819</v>
      </c>
      <c r="AW264" s="2" t="s">
        <v>1820</v>
      </c>
      <c r="AX264" s="2" t="s">
        <v>1821</v>
      </c>
      <c r="AY264" s="2" t="s">
        <v>79</v>
      </c>
    </row>
    <row r="265" spans="1:51" x14ac:dyDescent="0.2">
      <c r="A265" s="2" t="s">
        <v>417</v>
      </c>
      <c r="B265" s="2" t="s">
        <v>418</v>
      </c>
      <c r="C265" s="2" t="s">
        <v>419</v>
      </c>
      <c r="D265" s="2">
        <v>2012</v>
      </c>
      <c r="E265" s="2" t="s">
        <v>730</v>
      </c>
      <c r="F265" s="2" t="s">
        <v>731</v>
      </c>
      <c r="G265" s="2" t="s">
        <v>1013</v>
      </c>
      <c r="H265" s="2" t="s">
        <v>750</v>
      </c>
      <c r="I265" s="2" t="s">
        <v>433</v>
      </c>
      <c r="J265" s="2" t="s">
        <v>34</v>
      </c>
      <c r="K265" s="2" t="s">
        <v>38</v>
      </c>
      <c r="L265" s="2" t="s">
        <v>11</v>
      </c>
      <c r="M265" s="2" t="s">
        <v>14</v>
      </c>
      <c r="N265" s="2" t="s">
        <v>20</v>
      </c>
      <c r="O265" s="2">
        <v>0</v>
      </c>
      <c r="P265" s="2" t="s">
        <v>22</v>
      </c>
      <c r="Q265" s="2" t="s">
        <v>1056</v>
      </c>
      <c r="T265" s="2" t="s">
        <v>50</v>
      </c>
      <c r="U265" s="2" t="s">
        <v>52</v>
      </c>
      <c r="V265" s="2">
        <v>4744</v>
      </c>
      <c r="W265" s="2">
        <v>4</v>
      </c>
      <c r="X265" s="2">
        <v>25</v>
      </c>
      <c r="Y265" s="2">
        <v>25</v>
      </c>
      <c r="AB265" s="2">
        <v>10.566308243727599</v>
      </c>
      <c r="AC265" s="2">
        <v>11.0394265232975</v>
      </c>
      <c r="AD265" s="2">
        <v>6.15053763440861</v>
      </c>
      <c r="AE265" s="2">
        <v>9.4623655913978304</v>
      </c>
      <c r="AF265" s="2" t="s">
        <v>74</v>
      </c>
      <c r="AG265" s="2" t="s">
        <v>64</v>
      </c>
      <c r="AH265" s="2" t="str">
        <f t="shared" si="8"/>
        <v>mean</v>
      </c>
      <c r="AR265" s="2" t="s">
        <v>849</v>
      </c>
      <c r="AS265" s="2" t="s">
        <v>849</v>
      </c>
      <c r="AU265" s="2" t="s">
        <v>1818</v>
      </c>
      <c r="AV265" s="2" t="s">
        <v>1819</v>
      </c>
      <c r="AW265" s="2" t="s">
        <v>1820</v>
      </c>
      <c r="AX265" s="2" t="s">
        <v>1821</v>
      </c>
      <c r="AY265" s="2" t="s">
        <v>79</v>
      </c>
    </row>
    <row r="266" spans="1:51" x14ac:dyDescent="0.2">
      <c r="A266" s="2" t="s">
        <v>417</v>
      </c>
      <c r="B266" s="2" t="s">
        <v>418</v>
      </c>
      <c r="C266" s="2" t="s">
        <v>419</v>
      </c>
      <c r="D266" s="2">
        <v>2012</v>
      </c>
      <c r="E266" s="2" t="s">
        <v>730</v>
      </c>
      <c r="F266" s="2" t="s">
        <v>731</v>
      </c>
      <c r="G266" s="2" t="s">
        <v>1013</v>
      </c>
      <c r="H266" s="2" t="s">
        <v>751</v>
      </c>
      <c r="I266" s="2" t="s">
        <v>433</v>
      </c>
      <c r="J266" s="2" t="s">
        <v>34</v>
      </c>
      <c r="K266" s="2" t="s">
        <v>38</v>
      </c>
      <c r="L266" s="2" t="s">
        <v>11</v>
      </c>
      <c r="M266" s="2" t="s">
        <v>14</v>
      </c>
      <c r="N266" s="2" t="s">
        <v>20</v>
      </c>
      <c r="O266" s="2">
        <v>0</v>
      </c>
      <c r="P266" s="2" t="s">
        <v>22</v>
      </c>
      <c r="Q266" s="2" t="s">
        <v>1056</v>
      </c>
      <c r="T266" s="2" t="s">
        <v>50</v>
      </c>
      <c r="U266" s="2" t="s">
        <v>52</v>
      </c>
      <c r="V266" s="2">
        <v>4744</v>
      </c>
      <c r="W266" s="2">
        <v>4</v>
      </c>
      <c r="X266" s="2">
        <v>25</v>
      </c>
      <c r="Y266" s="2">
        <v>25</v>
      </c>
      <c r="AB266" s="2">
        <v>10.566308243727599</v>
      </c>
      <c r="AC266" s="2">
        <v>11.0394265232975</v>
      </c>
      <c r="AD266" s="2">
        <v>3.78494623655914</v>
      </c>
      <c r="AE266" s="2">
        <v>8.2795698924731091</v>
      </c>
      <c r="AF266" s="2" t="s">
        <v>74</v>
      </c>
      <c r="AG266" s="2" t="s">
        <v>64</v>
      </c>
      <c r="AH266" s="2" t="str">
        <f t="shared" si="8"/>
        <v>mean</v>
      </c>
      <c r="AR266" s="2" t="s">
        <v>849</v>
      </c>
      <c r="AS266" s="2" t="s">
        <v>849</v>
      </c>
      <c r="AU266" s="2" t="s">
        <v>1818</v>
      </c>
      <c r="AV266" s="2" t="s">
        <v>1819</v>
      </c>
      <c r="AW266" s="2" t="s">
        <v>1820</v>
      </c>
      <c r="AX266" s="2" t="s">
        <v>1821</v>
      </c>
      <c r="AY266" s="2" t="s">
        <v>79</v>
      </c>
    </row>
    <row r="267" spans="1:51" x14ac:dyDescent="0.2">
      <c r="A267" s="2" t="s">
        <v>425</v>
      </c>
      <c r="B267" s="2" t="s">
        <v>426</v>
      </c>
      <c r="C267" s="2" t="s">
        <v>427</v>
      </c>
      <c r="D267" s="2">
        <v>2012</v>
      </c>
      <c r="E267" s="2" t="s">
        <v>428</v>
      </c>
      <c r="F267" s="2" t="s">
        <v>362</v>
      </c>
      <c r="G267" s="2" t="s">
        <v>1014</v>
      </c>
      <c r="H267" s="2" t="s">
        <v>753</v>
      </c>
      <c r="I267" s="2" t="s">
        <v>1779</v>
      </c>
      <c r="J267" s="2" t="s">
        <v>85</v>
      </c>
      <c r="K267" s="2" t="s">
        <v>37</v>
      </c>
      <c r="P267" s="2" t="s">
        <v>22</v>
      </c>
      <c r="Q267" s="2" t="s">
        <v>1832</v>
      </c>
      <c r="R267" s="2" t="s">
        <v>40</v>
      </c>
      <c r="S267" s="2" t="s">
        <v>42</v>
      </c>
      <c r="T267" s="2" t="s">
        <v>51</v>
      </c>
      <c r="U267" s="2" t="s">
        <v>54</v>
      </c>
      <c r="V267" s="2">
        <v>6</v>
      </c>
      <c r="AH267" s="2" t="s">
        <v>83</v>
      </c>
      <c r="AN267" s="2">
        <v>129</v>
      </c>
      <c r="AP267" s="2">
        <v>7.2999999999999995E-2</v>
      </c>
      <c r="AQ267" s="2">
        <v>1</v>
      </c>
      <c r="AR267" s="2" t="s">
        <v>849</v>
      </c>
      <c r="AS267" s="2" t="s">
        <v>849</v>
      </c>
      <c r="AU267" s="2" t="s">
        <v>1818</v>
      </c>
      <c r="AV267" s="2" t="s">
        <v>1830</v>
      </c>
      <c r="AW267" s="2" t="s">
        <v>1832</v>
      </c>
      <c r="AX267" s="2" t="s">
        <v>1821</v>
      </c>
      <c r="AY267" s="2" t="s">
        <v>79</v>
      </c>
    </row>
    <row r="268" spans="1:51" x14ac:dyDescent="0.2">
      <c r="A268" s="2" t="s">
        <v>755</v>
      </c>
      <c r="B268" s="2" t="s">
        <v>756</v>
      </c>
      <c r="C268" s="2" t="s">
        <v>588</v>
      </c>
      <c r="D268" s="2">
        <v>2017</v>
      </c>
      <c r="E268" s="2" t="s">
        <v>757</v>
      </c>
      <c r="F268" s="2" t="s">
        <v>758</v>
      </c>
      <c r="G268" s="2" t="s">
        <v>1015</v>
      </c>
      <c r="H268" s="2" t="s">
        <v>754</v>
      </c>
      <c r="I268" s="2" t="s">
        <v>1793</v>
      </c>
      <c r="J268" s="2" t="s">
        <v>33</v>
      </c>
      <c r="K268" s="2" t="s">
        <v>37</v>
      </c>
      <c r="P268" s="2" t="s">
        <v>22</v>
      </c>
      <c r="Q268" s="2" t="s">
        <v>1832</v>
      </c>
      <c r="R268" s="2" t="s">
        <v>40</v>
      </c>
      <c r="S268" s="2" t="s">
        <v>45</v>
      </c>
      <c r="T268" s="2" t="s">
        <v>50</v>
      </c>
      <c r="U268" s="2" t="s">
        <v>632</v>
      </c>
      <c r="AB268" s="4"/>
      <c r="AC268" s="4"/>
      <c r="AD268" s="4"/>
      <c r="AE268" s="4"/>
      <c r="AH268" s="2" t="s">
        <v>4</v>
      </c>
      <c r="AN268" s="2">
        <v>122</v>
      </c>
      <c r="AO268" s="2">
        <v>0.12590000000000001</v>
      </c>
      <c r="AR268" s="2" t="s">
        <v>849</v>
      </c>
      <c r="AS268" s="2" t="s">
        <v>849</v>
      </c>
      <c r="AU268" s="2" t="s">
        <v>1825</v>
      </c>
      <c r="AV268" s="2" t="s">
        <v>1830</v>
      </c>
      <c r="AW268" s="2" t="s">
        <v>1832</v>
      </c>
      <c r="AX268" s="2" t="s">
        <v>1821</v>
      </c>
      <c r="AY268" s="2" t="s">
        <v>79</v>
      </c>
    </row>
    <row r="269" spans="1:51" x14ac:dyDescent="0.2">
      <c r="A269" s="2" t="s">
        <v>755</v>
      </c>
      <c r="B269" s="2" t="s">
        <v>756</v>
      </c>
      <c r="C269" s="2" t="s">
        <v>588</v>
      </c>
      <c r="D269" s="2">
        <v>2017</v>
      </c>
      <c r="E269" s="2" t="s">
        <v>757</v>
      </c>
      <c r="F269" s="2" t="s">
        <v>758</v>
      </c>
      <c r="G269" s="2" t="s">
        <v>1015</v>
      </c>
      <c r="H269" s="2" t="s">
        <v>759</v>
      </c>
      <c r="I269" s="2" t="s">
        <v>1793</v>
      </c>
      <c r="J269" s="2" t="s">
        <v>33</v>
      </c>
      <c r="K269" s="2" t="s">
        <v>37</v>
      </c>
      <c r="P269" s="2" t="s">
        <v>22</v>
      </c>
      <c r="Q269" s="2" t="s">
        <v>1832</v>
      </c>
      <c r="R269" s="2" t="s">
        <v>40</v>
      </c>
      <c r="S269" s="2" t="s">
        <v>42</v>
      </c>
      <c r="T269" s="2" t="s">
        <v>50</v>
      </c>
      <c r="U269" s="2" t="s">
        <v>632</v>
      </c>
      <c r="AB269" s="4"/>
      <c r="AC269" s="4"/>
      <c r="AD269" s="4"/>
      <c r="AE269" s="4"/>
      <c r="AH269" s="2" t="s">
        <v>4</v>
      </c>
      <c r="AN269" s="2">
        <v>118</v>
      </c>
      <c r="AO269" s="2">
        <v>1.41E-2</v>
      </c>
      <c r="AR269" s="2" t="s">
        <v>849</v>
      </c>
      <c r="AS269" s="2" t="s">
        <v>849</v>
      </c>
      <c r="AU269" s="2" t="s">
        <v>1825</v>
      </c>
      <c r="AV269" s="2" t="s">
        <v>1830</v>
      </c>
      <c r="AW269" s="2" t="s">
        <v>1832</v>
      </c>
      <c r="AX269" s="2" t="s">
        <v>1821</v>
      </c>
      <c r="AY269" s="2" t="s">
        <v>79</v>
      </c>
    </row>
    <row r="270" spans="1:51" x14ac:dyDescent="0.2">
      <c r="A270" s="2" t="s">
        <v>755</v>
      </c>
      <c r="B270" s="2" t="s">
        <v>756</v>
      </c>
      <c r="C270" s="2" t="s">
        <v>588</v>
      </c>
      <c r="D270" s="2">
        <v>2017</v>
      </c>
      <c r="E270" s="2" t="s">
        <v>757</v>
      </c>
      <c r="F270" s="2" t="s">
        <v>758</v>
      </c>
      <c r="G270" s="2" t="s">
        <v>1015</v>
      </c>
      <c r="H270" s="2" t="s">
        <v>760</v>
      </c>
      <c r="I270" s="2" t="s">
        <v>1793</v>
      </c>
      <c r="J270" s="2" t="s">
        <v>33</v>
      </c>
      <c r="K270" s="2" t="s">
        <v>37</v>
      </c>
      <c r="P270" s="2" t="s">
        <v>22</v>
      </c>
      <c r="Q270" s="2" t="s">
        <v>1832</v>
      </c>
      <c r="R270" s="2" t="s">
        <v>40</v>
      </c>
      <c r="S270" s="2" t="s">
        <v>42</v>
      </c>
      <c r="T270" s="2" t="s">
        <v>50</v>
      </c>
      <c r="U270" s="2" t="s">
        <v>632</v>
      </c>
      <c r="AB270" s="4"/>
      <c r="AC270" s="4"/>
      <c r="AD270" s="4"/>
      <c r="AE270" s="4"/>
      <c r="AH270" s="2" t="s">
        <v>4</v>
      </c>
      <c r="AN270" s="2">
        <v>122</v>
      </c>
      <c r="AO270" s="2">
        <v>1.34E-2</v>
      </c>
      <c r="AR270" s="2" t="s">
        <v>849</v>
      </c>
      <c r="AS270" s="2" t="s">
        <v>849</v>
      </c>
      <c r="AU270" s="2" t="s">
        <v>1825</v>
      </c>
      <c r="AV270" s="2" t="s">
        <v>1830</v>
      </c>
      <c r="AW270" s="2" t="s">
        <v>1832</v>
      </c>
      <c r="AX270" s="2" t="s">
        <v>1821</v>
      </c>
      <c r="AY270" s="2" t="s">
        <v>79</v>
      </c>
    </row>
    <row r="271" spans="1:51" x14ac:dyDescent="0.2">
      <c r="A271" s="2" t="s">
        <v>755</v>
      </c>
      <c r="B271" s="2" t="s">
        <v>756</v>
      </c>
      <c r="C271" s="2" t="s">
        <v>588</v>
      </c>
      <c r="D271" s="2">
        <v>2017</v>
      </c>
      <c r="E271" s="2" t="s">
        <v>757</v>
      </c>
      <c r="F271" s="2" t="s">
        <v>758</v>
      </c>
      <c r="G271" s="2" t="s">
        <v>1016</v>
      </c>
      <c r="H271" s="2" t="s">
        <v>761</v>
      </c>
      <c r="I271" s="2" t="s">
        <v>1793</v>
      </c>
      <c r="J271" s="2" t="s">
        <v>33</v>
      </c>
      <c r="K271" s="2" t="s">
        <v>37</v>
      </c>
      <c r="P271" s="2" t="s">
        <v>22</v>
      </c>
      <c r="Q271" s="2" t="s">
        <v>1832</v>
      </c>
      <c r="R271" s="2" t="s">
        <v>40</v>
      </c>
      <c r="S271" s="2" t="s">
        <v>45</v>
      </c>
      <c r="T271" s="2" t="s">
        <v>50</v>
      </c>
      <c r="U271" s="2" t="s">
        <v>632</v>
      </c>
      <c r="AB271" s="4"/>
      <c r="AC271" s="4"/>
      <c r="AD271" s="4"/>
      <c r="AE271" s="4"/>
      <c r="AH271" s="2" t="s">
        <v>4</v>
      </c>
      <c r="AN271" s="2">
        <v>104</v>
      </c>
      <c r="AO271" s="2">
        <v>2.6499999999999999E-2</v>
      </c>
      <c r="AR271" s="2" t="s">
        <v>849</v>
      </c>
      <c r="AS271" s="2" t="s">
        <v>849</v>
      </c>
      <c r="AU271" s="2" t="s">
        <v>1825</v>
      </c>
      <c r="AV271" s="2" t="s">
        <v>1830</v>
      </c>
      <c r="AW271" s="2" t="s">
        <v>1832</v>
      </c>
      <c r="AX271" s="2" t="s">
        <v>1821</v>
      </c>
      <c r="AY271" s="2" t="s">
        <v>79</v>
      </c>
    </row>
    <row r="272" spans="1:51" x14ac:dyDescent="0.2">
      <c r="A272" s="2" t="s">
        <v>755</v>
      </c>
      <c r="B272" s="2" t="s">
        <v>756</v>
      </c>
      <c r="C272" s="2" t="s">
        <v>588</v>
      </c>
      <c r="D272" s="2">
        <v>2017</v>
      </c>
      <c r="E272" s="2" t="s">
        <v>757</v>
      </c>
      <c r="F272" s="2" t="s">
        <v>758</v>
      </c>
      <c r="G272" s="2" t="s">
        <v>1016</v>
      </c>
      <c r="H272" s="2" t="s">
        <v>762</v>
      </c>
      <c r="I272" s="2" t="s">
        <v>1793</v>
      </c>
      <c r="J272" s="2" t="s">
        <v>33</v>
      </c>
      <c r="K272" s="2" t="s">
        <v>37</v>
      </c>
      <c r="P272" s="2" t="s">
        <v>22</v>
      </c>
      <c r="Q272" s="2" t="s">
        <v>1832</v>
      </c>
      <c r="R272" s="2" t="s">
        <v>40</v>
      </c>
      <c r="S272" s="2" t="s">
        <v>42</v>
      </c>
      <c r="T272" s="2" t="s">
        <v>50</v>
      </c>
      <c r="U272" s="2" t="s">
        <v>632</v>
      </c>
      <c r="AB272" s="4"/>
      <c r="AC272" s="4"/>
      <c r="AD272" s="4"/>
      <c r="AE272" s="4"/>
      <c r="AH272" s="2" t="s">
        <v>4</v>
      </c>
      <c r="AN272" s="2">
        <v>99</v>
      </c>
      <c r="AO272" s="2">
        <v>4.4999999999999997E-3</v>
      </c>
      <c r="AR272" s="2" t="s">
        <v>849</v>
      </c>
      <c r="AS272" s="2" t="s">
        <v>849</v>
      </c>
      <c r="AU272" s="2" t="s">
        <v>1825</v>
      </c>
      <c r="AV272" s="2" t="s">
        <v>1830</v>
      </c>
      <c r="AW272" s="2" t="s">
        <v>1832</v>
      </c>
      <c r="AX272" s="2" t="s">
        <v>1821</v>
      </c>
      <c r="AY272" s="2" t="s">
        <v>79</v>
      </c>
    </row>
    <row r="273" spans="1:51" x14ac:dyDescent="0.2">
      <c r="A273" s="2" t="s">
        <v>755</v>
      </c>
      <c r="B273" s="2" t="s">
        <v>756</v>
      </c>
      <c r="C273" s="2" t="s">
        <v>588</v>
      </c>
      <c r="D273" s="2">
        <v>2017</v>
      </c>
      <c r="E273" s="2" t="s">
        <v>757</v>
      </c>
      <c r="F273" s="2" t="s">
        <v>758</v>
      </c>
      <c r="G273" s="2" t="s">
        <v>1016</v>
      </c>
      <c r="H273" s="2" t="s">
        <v>763</v>
      </c>
      <c r="I273" s="2" t="s">
        <v>1793</v>
      </c>
      <c r="J273" s="2" t="s">
        <v>33</v>
      </c>
      <c r="K273" s="2" t="s">
        <v>37</v>
      </c>
      <c r="P273" s="2" t="s">
        <v>22</v>
      </c>
      <c r="Q273" s="2" t="s">
        <v>1832</v>
      </c>
      <c r="R273" s="2" t="s">
        <v>40</v>
      </c>
      <c r="S273" s="2" t="s">
        <v>42</v>
      </c>
      <c r="T273" s="2" t="s">
        <v>50</v>
      </c>
      <c r="U273" s="2" t="s">
        <v>632</v>
      </c>
      <c r="AB273" s="4"/>
      <c r="AC273" s="4"/>
      <c r="AD273" s="4"/>
      <c r="AE273" s="4"/>
      <c r="AH273" s="2" t="s">
        <v>4</v>
      </c>
      <c r="AN273" s="2">
        <v>104</v>
      </c>
      <c r="AO273" s="2">
        <v>-6.13E-2</v>
      </c>
      <c r="AR273" s="2" t="s">
        <v>849</v>
      </c>
      <c r="AS273" s="2" t="s">
        <v>849</v>
      </c>
      <c r="AU273" s="2" t="s">
        <v>1825</v>
      </c>
      <c r="AV273" s="2" t="s">
        <v>1830</v>
      </c>
      <c r="AW273" s="2" t="s">
        <v>1832</v>
      </c>
      <c r="AX273" s="2" t="s">
        <v>1821</v>
      </c>
      <c r="AY273" s="2" t="s">
        <v>79</v>
      </c>
    </row>
    <row r="274" spans="1:51" x14ac:dyDescent="0.2">
      <c r="A274" s="2" t="s">
        <v>755</v>
      </c>
      <c r="B274" s="2" t="s">
        <v>756</v>
      </c>
      <c r="C274" s="2" t="s">
        <v>588</v>
      </c>
      <c r="D274" s="2">
        <v>2017</v>
      </c>
      <c r="E274" s="2" t="s">
        <v>757</v>
      </c>
      <c r="F274" s="2" t="s">
        <v>758</v>
      </c>
      <c r="G274" s="2" t="s">
        <v>1017</v>
      </c>
      <c r="H274" s="2" t="s">
        <v>764</v>
      </c>
      <c r="I274" s="2" t="s">
        <v>1793</v>
      </c>
      <c r="J274" s="2" t="s">
        <v>33</v>
      </c>
      <c r="K274" s="2" t="s">
        <v>37</v>
      </c>
      <c r="P274" s="2" t="s">
        <v>22</v>
      </c>
      <c r="Q274" s="2" t="s">
        <v>1832</v>
      </c>
      <c r="R274" s="2" t="s">
        <v>41</v>
      </c>
      <c r="S274" s="2" t="s">
        <v>45</v>
      </c>
      <c r="T274" s="2" t="s">
        <v>50</v>
      </c>
      <c r="U274" s="2" t="s">
        <v>632</v>
      </c>
      <c r="AD274" s="4"/>
      <c r="AE274" s="4"/>
      <c r="AH274" s="2" t="s">
        <v>4</v>
      </c>
      <c r="AN274" s="2">
        <v>31</v>
      </c>
      <c r="AO274" s="2">
        <v>-0.35980000000000001</v>
      </c>
      <c r="AR274" s="2" t="s">
        <v>849</v>
      </c>
      <c r="AS274" s="2" t="s">
        <v>849</v>
      </c>
      <c r="AU274" s="2" t="s">
        <v>1825</v>
      </c>
      <c r="AV274" s="2" t="s">
        <v>1830</v>
      </c>
      <c r="AW274" s="2" t="s">
        <v>1832</v>
      </c>
      <c r="AX274" s="2" t="s">
        <v>1821</v>
      </c>
      <c r="AY274" s="2" t="s">
        <v>79</v>
      </c>
    </row>
    <row r="275" spans="1:51" x14ac:dyDescent="0.2">
      <c r="A275" s="2" t="s">
        <v>755</v>
      </c>
      <c r="B275" s="2" t="s">
        <v>756</v>
      </c>
      <c r="C275" s="2" t="s">
        <v>588</v>
      </c>
      <c r="D275" s="2">
        <v>2017</v>
      </c>
      <c r="E275" s="2" t="s">
        <v>757</v>
      </c>
      <c r="F275" s="2" t="s">
        <v>758</v>
      </c>
      <c r="G275" s="2" t="s">
        <v>1017</v>
      </c>
      <c r="H275" s="2" t="s">
        <v>765</v>
      </c>
      <c r="I275" s="2" t="s">
        <v>1793</v>
      </c>
      <c r="J275" s="2" t="s">
        <v>33</v>
      </c>
      <c r="K275" s="2" t="s">
        <v>37</v>
      </c>
      <c r="P275" s="2" t="s">
        <v>22</v>
      </c>
      <c r="Q275" s="2" t="s">
        <v>1832</v>
      </c>
      <c r="R275" s="2" t="s">
        <v>41</v>
      </c>
      <c r="S275" s="2" t="s">
        <v>42</v>
      </c>
      <c r="T275" s="2" t="s">
        <v>50</v>
      </c>
      <c r="U275" s="2" t="s">
        <v>632</v>
      </c>
      <c r="AB275" s="4"/>
      <c r="AC275" s="4"/>
      <c r="AD275" s="4"/>
      <c r="AE275" s="4"/>
      <c r="AH275" s="2" t="s">
        <v>4</v>
      </c>
      <c r="AN275" s="2">
        <v>30</v>
      </c>
      <c r="AO275" s="2">
        <v>5.9799999999999999E-2</v>
      </c>
      <c r="AR275" s="2" t="s">
        <v>849</v>
      </c>
      <c r="AS275" s="2" t="s">
        <v>849</v>
      </c>
      <c r="AU275" s="2" t="s">
        <v>1825</v>
      </c>
      <c r="AV275" s="2" t="s">
        <v>1830</v>
      </c>
      <c r="AW275" s="2" t="s">
        <v>1832</v>
      </c>
      <c r="AX275" s="2" t="s">
        <v>1821</v>
      </c>
      <c r="AY275" s="2" t="s">
        <v>79</v>
      </c>
    </row>
    <row r="276" spans="1:51" x14ac:dyDescent="0.2">
      <c r="A276" s="2" t="s">
        <v>755</v>
      </c>
      <c r="B276" s="2" t="s">
        <v>756</v>
      </c>
      <c r="C276" s="2" t="s">
        <v>588</v>
      </c>
      <c r="D276" s="2">
        <v>2017</v>
      </c>
      <c r="E276" s="2" t="s">
        <v>757</v>
      </c>
      <c r="F276" s="2" t="s">
        <v>758</v>
      </c>
      <c r="G276" s="2" t="s">
        <v>1017</v>
      </c>
      <c r="H276" s="2" t="s">
        <v>766</v>
      </c>
      <c r="I276" s="2" t="s">
        <v>1793</v>
      </c>
      <c r="J276" s="2" t="s">
        <v>33</v>
      </c>
      <c r="K276" s="2" t="s">
        <v>37</v>
      </c>
      <c r="P276" s="2" t="s">
        <v>22</v>
      </c>
      <c r="Q276" s="2" t="s">
        <v>1832</v>
      </c>
      <c r="R276" s="2" t="s">
        <v>41</v>
      </c>
      <c r="S276" s="2" t="s">
        <v>42</v>
      </c>
      <c r="T276" s="2" t="s">
        <v>50</v>
      </c>
      <c r="U276" s="2" t="s">
        <v>632</v>
      </c>
      <c r="AB276" s="4"/>
      <c r="AC276" s="4"/>
      <c r="AD276" s="4"/>
      <c r="AE276" s="4"/>
      <c r="AH276" s="2" t="s">
        <v>4</v>
      </c>
      <c r="AN276" s="2">
        <v>29</v>
      </c>
      <c r="AO276" s="2">
        <v>-8.2799999999999999E-2</v>
      </c>
      <c r="AR276" s="2" t="s">
        <v>849</v>
      </c>
      <c r="AS276" s="2" t="s">
        <v>849</v>
      </c>
      <c r="AU276" s="2" t="s">
        <v>1825</v>
      </c>
      <c r="AV276" s="2" t="s">
        <v>1830</v>
      </c>
      <c r="AW276" s="2" t="s">
        <v>1832</v>
      </c>
      <c r="AX276" s="2" t="s">
        <v>1821</v>
      </c>
      <c r="AY276" s="2" t="s">
        <v>79</v>
      </c>
    </row>
    <row r="277" spans="1:51" x14ac:dyDescent="0.2">
      <c r="A277" s="2" t="s">
        <v>755</v>
      </c>
      <c r="B277" s="2" t="s">
        <v>756</v>
      </c>
      <c r="C277" s="2" t="s">
        <v>588</v>
      </c>
      <c r="D277" s="2">
        <v>2017</v>
      </c>
      <c r="E277" s="2" t="s">
        <v>757</v>
      </c>
      <c r="F277" s="2" t="s">
        <v>758</v>
      </c>
      <c r="G277" s="2" t="s">
        <v>1018</v>
      </c>
      <c r="H277" s="2" t="s">
        <v>767</v>
      </c>
      <c r="I277" s="2" t="s">
        <v>1793</v>
      </c>
      <c r="J277" s="2" t="s">
        <v>33</v>
      </c>
      <c r="K277" s="2" t="s">
        <v>37</v>
      </c>
      <c r="P277" s="2" t="s">
        <v>22</v>
      </c>
      <c r="Q277" s="2" t="s">
        <v>1832</v>
      </c>
      <c r="R277" s="2" t="s">
        <v>41</v>
      </c>
      <c r="S277" s="2" t="s">
        <v>45</v>
      </c>
      <c r="T277" s="2" t="s">
        <v>50</v>
      </c>
      <c r="U277" s="2" t="s">
        <v>632</v>
      </c>
      <c r="AB277" s="4"/>
      <c r="AC277" s="4"/>
      <c r="AD277" s="4"/>
      <c r="AE277" s="4"/>
      <c r="AH277" s="2" t="s">
        <v>4</v>
      </c>
      <c r="AN277" s="2">
        <v>28</v>
      </c>
      <c r="AO277" s="2">
        <v>-2.76E-2</v>
      </c>
      <c r="AR277" s="2" t="s">
        <v>849</v>
      </c>
      <c r="AS277" s="2" t="s">
        <v>849</v>
      </c>
      <c r="AU277" s="2" t="s">
        <v>1825</v>
      </c>
      <c r="AV277" s="2" t="s">
        <v>1830</v>
      </c>
      <c r="AW277" s="2" t="s">
        <v>1832</v>
      </c>
      <c r="AX277" s="2" t="s">
        <v>1821</v>
      </c>
      <c r="AY277" s="2" t="s">
        <v>79</v>
      </c>
    </row>
    <row r="278" spans="1:51" x14ac:dyDescent="0.2">
      <c r="A278" s="2" t="s">
        <v>755</v>
      </c>
      <c r="B278" s="2" t="s">
        <v>756</v>
      </c>
      <c r="C278" s="2" t="s">
        <v>588</v>
      </c>
      <c r="D278" s="2">
        <v>2017</v>
      </c>
      <c r="E278" s="2" t="s">
        <v>757</v>
      </c>
      <c r="F278" s="2" t="s">
        <v>758</v>
      </c>
      <c r="G278" s="2" t="s">
        <v>1018</v>
      </c>
      <c r="H278" s="2" t="s">
        <v>768</v>
      </c>
      <c r="I278" s="2" t="s">
        <v>1793</v>
      </c>
      <c r="J278" s="2" t="s">
        <v>33</v>
      </c>
      <c r="K278" s="2" t="s">
        <v>37</v>
      </c>
      <c r="P278" s="2" t="s">
        <v>22</v>
      </c>
      <c r="Q278" s="2" t="s">
        <v>1832</v>
      </c>
      <c r="R278" s="2" t="s">
        <v>41</v>
      </c>
      <c r="S278" s="2" t="s">
        <v>42</v>
      </c>
      <c r="T278" s="2" t="s">
        <v>50</v>
      </c>
      <c r="U278" s="2" t="s">
        <v>632</v>
      </c>
      <c r="AB278" s="4"/>
      <c r="AC278" s="4"/>
      <c r="AD278" s="4"/>
      <c r="AE278" s="4"/>
      <c r="AH278" s="2" t="s">
        <v>4</v>
      </c>
      <c r="AN278" s="2">
        <v>27</v>
      </c>
      <c r="AO278" s="2">
        <v>2.4199999999999999E-2</v>
      </c>
      <c r="AR278" s="2" t="s">
        <v>849</v>
      </c>
      <c r="AS278" s="2" t="s">
        <v>849</v>
      </c>
      <c r="AU278" s="2" t="s">
        <v>1825</v>
      </c>
      <c r="AV278" s="2" t="s">
        <v>1830</v>
      </c>
      <c r="AW278" s="2" t="s">
        <v>1832</v>
      </c>
      <c r="AX278" s="2" t="s">
        <v>1821</v>
      </c>
      <c r="AY278" s="2" t="s">
        <v>79</v>
      </c>
    </row>
    <row r="279" spans="1:51" x14ac:dyDescent="0.2">
      <c r="A279" s="2" t="s">
        <v>755</v>
      </c>
      <c r="B279" s="2" t="s">
        <v>756</v>
      </c>
      <c r="C279" s="2" t="s">
        <v>588</v>
      </c>
      <c r="D279" s="2">
        <v>2017</v>
      </c>
      <c r="E279" s="2" t="s">
        <v>757</v>
      </c>
      <c r="F279" s="2" t="s">
        <v>758</v>
      </c>
      <c r="G279" s="2" t="s">
        <v>1018</v>
      </c>
      <c r="H279" s="2" t="s">
        <v>769</v>
      </c>
      <c r="I279" s="2" t="s">
        <v>1793</v>
      </c>
      <c r="J279" s="2" t="s">
        <v>33</v>
      </c>
      <c r="K279" s="2" t="s">
        <v>37</v>
      </c>
      <c r="P279" s="2" t="s">
        <v>22</v>
      </c>
      <c r="Q279" s="2" t="s">
        <v>1832</v>
      </c>
      <c r="R279" s="2" t="s">
        <v>41</v>
      </c>
      <c r="S279" s="2" t="s">
        <v>42</v>
      </c>
      <c r="T279" s="2" t="s">
        <v>50</v>
      </c>
      <c r="U279" s="2" t="s">
        <v>632</v>
      </c>
      <c r="AB279" s="4"/>
      <c r="AC279" s="4"/>
      <c r="AD279" s="4"/>
      <c r="AE279" s="4"/>
      <c r="AH279" s="2" t="s">
        <v>4</v>
      </c>
      <c r="AN279" s="2">
        <v>27</v>
      </c>
      <c r="AO279" s="2">
        <v>-2.5600000000000001E-2</v>
      </c>
      <c r="AR279" s="2" t="s">
        <v>849</v>
      </c>
      <c r="AS279" s="2" t="s">
        <v>849</v>
      </c>
      <c r="AU279" s="2" t="s">
        <v>1825</v>
      </c>
      <c r="AV279" s="2" t="s">
        <v>1830</v>
      </c>
      <c r="AW279" s="2" t="s">
        <v>1832</v>
      </c>
      <c r="AX279" s="2" t="s">
        <v>1821</v>
      </c>
      <c r="AY279" s="2" t="s">
        <v>79</v>
      </c>
    </row>
    <row r="280" spans="1:51" x14ac:dyDescent="0.2">
      <c r="A280" s="2" t="s">
        <v>770</v>
      </c>
      <c r="B280" s="2" t="s">
        <v>771</v>
      </c>
      <c r="C280" s="2" t="s">
        <v>772</v>
      </c>
      <c r="D280" s="2">
        <v>2007</v>
      </c>
      <c r="E280" s="2" t="s">
        <v>773</v>
      </c>
      <c r="F280" s="2" t="s">
        <v>774</v>
      </c>
      <c r="G280" s="2" t="s">
        <v>1019</v>
      </c>
      <c r="H280" s="2" t="s">
        <v>775</v>
      </c>
      <c r="I280" s="2" t="s">
        <v>1794</v>
      </c>
      <c r="J280" s="2" t="s">
        <v>84</v>
      </c>
      <c r="K280" s="2" t="s">
        <v>37</v>
      </c>
      <c r="P280" s="2" t="s">
        <v>23</v>
      </c>
      <c r="Q280" s="2" t="s">
        <v>81</v>
      </c>
      <c r="R280" s="2" t="s">
        <v>41</v>
      </c>
      <c r="S280" s="2" t="s">
        <v>1843</v>
      </c>
      <c r="T280" s="2" t="s">
        <v>50</v>
      </c>
      <c r="U280" s="2" t="s">
        <v>54</v>
      </c>
      <c r="V280" s="2">
        <v>808</v>
      </c>
      <c r="AB280" s="4"/>
      <c r="AC280" s="4"/>
      <c r="AD280" s="4"/>
      <c r="AE280" s="4"/>
      <c r="AH280" s="2" t="s">
        <v>4</v>
      </c>
      <c r="AN280" s="2">
        <v>108</v>
      </c>
      <c r="AO280" s="2">
        <v>0.375</v>
      </c>
      <c r="AR280" s="2" t="s">
        <v>849</v>
      </c>
      <c r="AS280" s="2" t="s">
        <v>849</v>
      </c>
      <c r="AU280" s="2" t="s">
        <v>1827</v>
      </c>
      <c r="AV280" s="2" t="s">
        <v>1822</v>
      </c>
      <c r="AW280" s="2" t="s">
        <v>1823</v>
      </c>
      <c r="AY280" s="2" t="s">
        <v>1828</v>
      </c>
    </row>
    <row r="281" spans="1:51" x14ac:dyDescent="0.2">
      <c r="A281" s="2" t="s">
        <v>680</v>
      </c>
      <c r="B281" s="2" t="s">
        <v>681</v>
      </c>
      <c r="C281" s="2" t="s">
        <v>682</v>
      </c>
      <c r="D281" s="2">
        <v>2018</v>
      </c>
      <c r="E281" s="2" t="s">
        <v>776</v>
      </c>
      <c r="F281" s="2" t="s">
        <v>777</v>
      </c>
      <c r="G281" s="2" t="s">
        <v>1020</v>
      </c>
      <c r="H281" s="2" t="s">
        <v>778</v>
      </c>
      <c r="I281" s="2" t="s">
        <v>683</v>
      </c>
      <c r="J281" s="2" t="s">
        <v>85</v>
      </c>
      <c r="K281" s="2" t="s">
        <v>37</v>
      </c>
      <c r="P281" s="2" t="s">
        <v>22</v>
      </c>
      <c r="Q281" s="2" t="s">
        <v>1056</v>
      </c>
      <c r="R281" s="2" t="s">
        <v>40</v>
      </c>
      <c r="S281" s="2" t="s">
        <v>42</v>
      </c>
      <c r="T281" s="2" t="s">
        <v>50</v>
      </c>
      <c r="U281" s="2" t="s">
        <v>52</v>
      </c>
      <c r="V281" s="2">
        <v>5</v>
      </c>
      <c r="W281" s="2" t="s">
        <v>672</v>
      </c>
      <c r="AH281" s="2" t="s">
        <v>4</v>
      </c>
      <c r="AN281" s="2">
        <v>11</v>
      </c>
      <c r="AO281" s="2">
        <v>0.63937750651942404</v>
      </c>
      <c r="AR281" s="2" t="s">
        <v>849</v>
      </c>
      <c r="AS281" s="2" t="s">
        <v>222</v>
      </c>
      <c r="AU281" s="2" t="s">
        <v>1818</v>
      </c>
      <c r="AV281" s="2" t="s">
        <v>1830</v>
      </c>
      <c r="AW281" s="2" t="s">
        <v>1823</v>
      </c>
      <c r="AX281" s="2" t="s">
        <v>1821</v>
      </c>
      <c r="AY281" s="2" t="s">
        <v>79</v>
      </c>
    </row>
    <row r="282" spans="1:51" x14ac:dyDescent="0.2">
      <c r="A282" s="2" t="s">
        <v>779</v>
      </c>
      <c r="B282" s="2" t="s">
        <v>780</v>
      </c>
      <c r="C282" s="2" t="s">
        <v>781</v>
      </c>
      <c r="D282" s="2">
        <v>2006</v>
      </c>
      <c r="E282" s="2" t="s">
        <v>782</v>
      </c>
      <c r="F282" s="2" t="s">
        <v>783</v>
      </c>
      <c r="G282" s="2" t="s">
        <v>1021</v>
      </c>
      <c r="H282" s="2" t="s">
        <v>784</v>
      </c>
      <c r="I282" s="2" t="s">
        <v>1108</v>
      </c>
      <c r="J282" s="2" t="s">
        <v>34</v>
      </c>
      <c r="K282" s="2" t="s">
        <v>37</v>
      </c>
      <c r="P282" s="2" t="s">
        <v>22</v>
      </c>
      <c r="Q282" s="2" t="s">
        <v>27</v>
      </c>
      <c r="R282" s="2" t="s">
        <v>41</v>
      </c>
      <c r="S282" s="2" t="s">
        <v>46</v>
      </c>
      <c r="T282" s="2" t="s">
        <v>50</v>
      </c>
      <c r="U282" s="2" t="s">
        <v>54</v>
      </c>
      <c r="V282" s="2">
        <v>813</v>
      </c>
      <c r="AB282" s="4"/>
      <c r="AC282" s="4"/>
      <c r="AD282" s="4"/>
      <c r="AE282" s="4"/>
      <c r="AH282" s="2" t="s">
        <v>83</v>
      </c>
      <c r="AN282" s="2">
        <v>87</v>
      </c>
      <c r="AP282" s="2">
        <v>0.06</v>
      </c>
      <c r="AQ282" s="2">
        <v>1</v>
      </c>
      <c r="AR282" s="2" t="s">
        <v>849</v>
      </c>
      <c r="AS282" s="2" t="s">
        <v>849</v>
      </c>
      <c r="AU282" s="2" t="s">
        <v>1818</v>
      </c>
      <c r="AV282" s="2" t="s">
        <v>1830</v>
      </c>
      <c r="AW282" s="2" t="s">
        <v>1836</v>
      </c>
      <c r="AX282" s="2" t="s">
        <v>1821</v>
      </c>
      <c r="AY282" s="2" t="s">
        <v>79</v>
      </c>
    </row>
    <row r="283" spans="1:51" x14ac:dyDescent="0.2">
      <c r="A283" s="2" t="s">
        <v>779</v>
      </c>
      <c r="B283" s="2" t="s">
        <v>780</v>
      </c>
      <c r="C283" s="2" t="s">
        <v>781</v>
      </c>
      <c r="D283" s="2">
        <v>2006</v>
      </c>
      <c r="E283" s="2" t="s">
        <v>782</v>
      </c>
      <c r="F283" s="2" t="s">
        <v>783</v>
      </c>
      <c r="G283" s="2" t="s">
        <v>1021</v>
      </c>
      <c r="H283" s="2" t="s">
        <v>785</v>
      </c>
      <c r="I283" s="2" t="s">
        <v>1108</v>
      </c>
      <c r="J283" s="2" t="s">
        <v>34</v>
      </c>
      <c r="K283" s="2" t="s">
        <v>37</v>
      </c>
      <c r="P283" s="2" t="s">
        <v>22</v>
      </c>
      <c r="Q283" s="2" t="s">
        <v>27</v>
      </c>
      <c r="R283" s="2" t="s">
        <v>40</v>
      </c>
      <c r="S283" s="2" t="s">
        <v>43</v>
      </c>
      <c r="T283" s="2" t="s">
        <v>50</v>
      </c>
      <c r="U283" s="2" t="s">
        <v>54</v>
      </c>
      <c r="V283" s="2">
        <v>813</v>
      </c>
      <c r="AB283" s="4"/>
      <c r="AC283" s="4"/>
      <c r="AD283" s="4"/>
      <c r="AE283" s="4"/>
      <c r="AH283" s="2" t="s">
        <v>83</v>
      </c>
      <c r="AN283" s="2">
        <v>87</v>
      </c>
      <c r="AP283" s="2">
        <v>4.3999999999999997E-2</v>
      </c>
      <c r="AQ283" s="2">
        <v>1</v>
      </c>
      <c r="AR283" s="2" t="s">
        <v>849</v>
      </c>
      <c r="AS283" s="2" t="s">
        <v>849</v>
      </c>
      <c r="AU283" s="2" t="s">
        <v>1818</v>
      </c>
      <c r="AV283" s="2" t="s">
        <v>1830</v>
      </c>
      <c r="AW283" s="2" t="s">
        <v>1836</v>
      </c>
      <c r="AX283" s="2" t="s">
        <v>1821</v>
      </c>
      <c r="AY283" s="2" t="s">
        <v>79</v>
      </c>
    </row>
    <row r="284" spans="1:51" x14ac:dyDescent="0.2">
      <c r="A284" s="2" t="s">
        <v>786</v>
      </c>
      <c r="B284" s="2" t="s">
        <v>787</v>
      </c>
      <c r="C284" s="2" t="s">
        <v>788</v>
      </c>
      <c r="D284" s="2">
        <v>2011</v>
      </c>
      <c r="E284" s="2" t="s">
        <v>789</v>
      </c>
      <c r="F284" s="2" t="s">
        <v>790</v>
      </c>
      <c r="G284" s="2" t="s">
        <v>1022</v>
      </c>
      <c r="H284" s="2" t="s">
        <v>791</v>
      </c>
      <c r="I284" s="2" t="s">
        <v>1262</v>
      </c>
      <c r="J284" s="2" t="s">
        <v>85</v>
      </c>
      <c r="K284" s="2" t="s">
        <v>38</v>
      </c>
      <c r="L284" s="2" t="s">
        <v>12</v>
      </c>
      <c r="P284" s="2" t="s">
        <v>22</v>
      </c>
      <c r="Q284" s="2" t="s">
        <v>30</v>
      </c>
      <c r="R284" s="2" t="s">
        <v>41</v>
      </c>
      <c r="S284" s="2" t="s">
        <v>46</v>
      </c>
      <c r="T284" s="2" t="s">
        <v>50</v>
      </c>
      <c r="U284" s="2" t="s">
        <v>52</v>
      </c>
      <c r="V284" s="2">
        <v>1372</v>
      </c>
      <c r="W284" s="2">
        <v>2</v>
      </c>
      <c r="X284" s="2">
        <v>31</v>
      </c>
      <c r="Y284" s="2">
        <v>31</v>
      </c>
      <c r="AB284" s="2">
        <v>71.336032388663895</v>
      </c>
      <c r="AC284" s="2">
        <v>16.5680437517412</v>
      </c>
      <c r="AD284" s="2">
        <v>70.627530364372404</v>
      </c>
      <c r="AE284" s="2">
        <v>19.7238616092156</v>
      </c>
      <c r="AF284" s="2" t="s">
        <v>74</v>
      </c>
      <c r="AG284" s="2" t="s">
        <v>64</v>
      </c>
      <c r="AH284" s="2" t="str">
        <f>IF(AF284="mean", "mean", "")</f>
        <v>mean</v>
      </c>
      <c r="AR284" s="2" t="s">
        <v>849</v>
      </c>
      <c r="AS284" s="2" t="s">
        <v>849</v>
      </c>
      <c r="AU284" s="2" t="s">
        <v>1818</v>
      </c>
      <c r="AV284" s="2" t="s">
        <v>1830</v>
      </c>
      <c r="AW284" s="2" t="s">
        <v>1837</v>
      </c>
      <c r="AX284" s="2" t="s">
        <v>1821</v>
      </c>
      <c r="AY284" s="2" t="s">
        <v>79</v>
      </c>
    </row>
    <row r="285" spans="1:51" x14ac:dyDescent="0.2">
      <c r="A285" s="2" t="s">
        <v>786</v>
      </c>
      <c r="B285" s="2" t="s">
        <v>787</v>
      </c>
      <c r="C285" s="2" t="s">
        <v>788</v>
      </c>
      <c r="D285" s="2">
        <v>2011</v>
      </c>
      <c r="E285" s="2" t="s">
        <v>789</v>
      </c>
      <c r="F285" s="2" t="s">
        <v>790</v>
      </c>
      <c r="G285" s="2" t="s">
        <v>1022</v>
      </c>
      <c r="H285" s="2" t="s">
        <v>792</v>
      </c>
      <c r="I285" s="2" t="s">
        <v>1262</v>
      </c>
      <c r="J285" s="2" t="s">
        <v>85</v>
      </c>
      <c r="K285" s="2" t="s">
        <v>38</v>
      </c>
      <c r="L285" s="2" t="s">
        <v>12</v>
      </c>
      <c r="P285" s="2" t="s">
        <v>22</v>
      </c>
      <c r="Q285" s="2" t="s">
        <v>30</v>
      </c>
      <c r="R285" s="2" t="s">
        <v>40</v>
      </c>
      <c r="S285" s="2" t="s">
        <v>42</v>
      </c>
      <c r="T285" s="2" t="s">
        <v>50</v>
      </c>
      <c r="U285" s="2" t="s">
        <v>52</v>
      </c>
      <c r="V285" s="2">
        <v>1373</v>
      </c>
      <c r="W285" s="2">
        <v>3</v>
      </c>
      <c r="X285" s="2">
        <v>31</v>
      </c>
      <c r="Y285" s="2">
        <v>31</v>
      </c>
      <c r="AB285" s="2">
        <v>2.7887323943662002E-3</v>
      </c>
      <c r="AC285" s="2">
        <v>1.40174349275474E-3</v>
      </c>
      <c r="AD285" s="2">
        <v>2.63380281690141E-3</v>
      </c>
      <c r="AE285" s="2">
        <v>1.72522276031353E-3</v>
      </c>
      <c r="AF285" s="2" t="s">
        <v>74</v>
      </c>
      <c r="AG285" s="2" t="s">
        <v>64</v>
      </c>
      <c r="AH285" s="2" t="str">
        <f>IF(AF285="mean", "mean", "")</f>
        <v>mean</v>
      </c>
      <c r="AR285" s="2" t="s">
        <v>849</v>
      </c>
      <c r="AS285" s="2" t="s">
        <v>849</v>
      </c>
      <c r="AU285" s="2" t="s">
        <v>1818</v>
      </c>
      <c r="AV285" s="2" t="s">
        <v>1830</v>
      </c>
      <c r="AW285" s="2" t="s">
        <v>1837</v>
      </c>
      <c r="AX285" s="2" t="s">
        <v>1821</v>
      </c>
      <c r="AY285" s="2" t="s">
        <v>79</v>
      </c>
    </row>
    <row r="286" spans="1:51" x14ac:dyDescent="0.2">
      <c r="A286" s="2" t="s">
        <v>786</v>
      </c>
      <c r="B286" s="2" t="s">
        <v>787</v>
      </c>
      <c r="C286" s="2" t="s">
        <v>788</v>
      </c>
      <c r="D286" s="2">
        <v>2011</v>
      </c>
      <c r="E286" s="2" t="s">
        <v>789</v>
      </c>
      <c r="F286" s="2" t="s">
        <v>790</v>
      </c>
      <c r="G286" s="2" t="s">
        <v>1022</v>
      </c>
      <c r="H286" s="2" t="s">
        <v>793</v>
      </c>
      <c r="I286" s="2" t="s">
        <v>1262</v>
      </c>
      <c r="J286" s="2" t="s">
        <v>85</v>
      </c>
      <c r="K286" s="2" t="s">
        <v>38</v>
      </c>
      <c r="L286" s="2" t="s">
        <v>12</v>
      </c>
      <c r="P286" s="2" t="s">
        <v>22</v>
      </c>
      <c r="Q286" s="2" t="s">
        <v>30</v>
      </c>
      <c r="R286" s="2" t="s">
        <v>40</v>
      </c>
      <c r="S286" s="2" t="s">
        <v>43</v>
      </c>
      <c r="T286" s="2" t="s">
        <v>50</v>
      </c>
      <c r="U286" s="2" t="s">
        <v>52</v>
      </c>
      <c r="V286" s="2">
        <v>1373</v>
      </c>
      <c r="W286" s="2">
        <v>3</v>
      </c>
      <c r="X286" s="2">
        <v>28</v>
      </c>
      <c r="Y286" s="2">
        <v>28</v>
      </c>
      <c r="AB286" s="2">
        <v>1.01147540983607E-3</v>
      </c>
      <c r="AC286" s="2">
        <v>1.27516538598851E-3</v>
      </c>
      <c r="AD286" s="2">
        <v>7.7540983606557399E-4</v>
      </c>
      <c r="AE286" s="2">
        <v>8.0673728501313795E-4</v>
      </c>
      <c r="AF286" s="2" t="s">
        <v>74</v>
      </c>
      <c r="AG286" s="2" t="s">
        <v>64</v>
      </c>
      <c r="AH286" s="2" t="str">
        <f>IF(AF286="mean", "mean", "")</f>
        <v>mean</v>
      </c>
      <c r="AR286" s="2" t="s">
        <v>849</v>
      </c>
      <c r="AS286" s="2" t="s">
        <v>849</v>
      </c>
      <c r="AU286" s="2" t="s">
        <v>1818</v>
      </c>
      <c r="AV286" s="2" t="s">
        <v>1830</v>
      </c>
      <c r="AW286" s="2" t="s">
        <v>1837</v>
      </c>
      <c r="AX286" s="2" t="s">
        <v>1821</v>
      </c>
      <c r="AY286" s="2" t="s">
        <v>79</v>
      </c>
    </row>
    <row r="287" spans="1:51" x14ac:dyDescent="0.2">
      <c r="A287" s="2" t="s">
        <v>674</v>
      </c>
      <c r="B287" s="2" t="s">
        <v>675</v>
      </c>
      <c r="D287" s="2">
        <v>2000</v>
      </c>
      <c r="E287" s="2" t="s">
        <v>794</v>
      </c>
      <c r="F287" s="2" t="s">
        <v>795</v>
      </c>
      <c r="G287" s="2" t="s">
        <v>1023</v>
      </c>
      <c r="H287" s="2" t="s">
        <v>796</v>
      </c>
      <c r="I287" s="2" t="s">
        <v>679</v>
      </c>
      <c r="J287" s="2" t="s">
        <v>34</v>
      </c>
      <c r="K287" s="2" t="s">
        <v>37</v>
      </c>
      <c r="P287" s="2" t="s">
        <v>22</v>
      </c>
      <c r="Q287" s="2" t="s">
        <v>27</v>
      </c>
      <c r="R287" s="2" t="s">
        <v>40</v>
      </c>
      <c r="S287" s="2" t="s">
        <v>45</v>
      </c>
      <c r="T287" s="2" t="s">
        <v>50</v>
      </c>
      <c r="U287" s="2" t="s">
        <v>54</v>
      </c>
      <c r="V287" s="2">
        <v>1173</v>
      </c>
      <c r="AH287" s="2" t="s">
        <v>70</v>
      </c>
      <c r="AK287" s="2">
        <v>2.29</v>
      </c>
      <c r="AL287" s="2">
        <v>35</v>
      </c>
      <c r="AN287" s="2">
        <v>39</v>
      </c>
      <c r="AR287" s="2" t="s">
        <v>849</v>
      </c>
      <c r="AS287" s="2" t="s">
        <v>849</v>
      </c>
      <c r="AU287" s="2" t="s">
        <v>1818</v>
      </c>
      <c r="AV287" s="2" t="s">
        <v>1819</v>
      </c>
      <c r="AW287" s="2" t="s">
        <v>1820</v>
      </c>
      <c r="AX287" s="2" t="s">
        <v>1821</v>
      </c>
      <c r="AY287" s="2" t="s">
        <v>79</v>
      </c>
    </row>
    <row r="288" spans="1:51" x14ac:dyDescent="0.2">
      <c r="A288" s="2" t="s">
        <v>674</v>
      </c>
      <c r="B288" s="2" t="s">
        <v>675</v>
      </c>
      <c r="D288" s="2">
        <v>2000</v>
      </c>
      <c r="E288" s="2" t="s">
        <v>794</v>
      </c>
      <c r="F288" s="2" t="s">
        <v>795</v>
      </c>
      <c r="G288" s="2" t="s">
        <v>1023</v>
      </c>
      <c r="H288" s="2" t="s">
        <v>801</v>
      </c>
      <c r="I288" s="2" t="s">
        <v>679</v>
      </c>
      <c r="J288" s="2" t="s">
        <v>34</v>
      </c>
      <c r="K288" s="2" t="s">
        <v>37</v>
      </c>
      <c r="P288" s="2" t="s">
        <v>22</v>
      </c>
      <c r="Q288" s="2" t="s">
        <v>27</v>
      </c>
      <c r="R288" s="2" t="s">
        <v>41</v>
      </c>
      <c r="S288" s="2" t="s">
        <v>46</v>
      </c>
      <c r="T288" s="2" t="s">
        <v>50</v>
      </c>
      <c r="U288" s="2" t="s">
        <v>54</v>
      </c>
      <c r="V288" s="2">
        <v>1173</v>
      </c>
      <c r="AH288" s="2" t="s">
        <v>70</v>
      </c>
      <c r="AK288" s="2">
        <v>1.26</v>
      </c>
      <c r="AL288" s="2">
        <v>35</v>
      </c>
      <c r="AN288" s="2">
        <v>39</v>
      </c>
      <c r="AR288" s="2" t="s">
        <v>849</v>
      </c>
      <c r="AS288" s="2" t="s">
        <v>849</v>
      </c>
      <c r="AU288" s="2" t="s">
        <v>1818</v>
      </c>
      <c r="AV288" s="2" t="s">
        <v>1819</v>
      </c>
      <c r="AW288" s="2" t="s">
        <v>1820</v>
      </c>
      <c r="AX288" s="2" t="s">
        <v>1821</v>
      </c>
      <c r="AY288" s="2" t="s">
        <v>79</v>
      </c>
    </row>
    <row r="289" spans="1:51" x14ac:dyDescent="0.2">
      <c r="A289" s="2" t="s">
        <v>797</v>
      </c>
      <c r="B289" s="2" t="s">
        <v>810</v>
      </c>
      <c r="C289" s="2" t="s">
        <v>798</v>
      </c>
      <c r="D289" s="2">
        <v>2016</v>
      </c>
      <c r="E289" s="2" t="s">
        <v>799</v>
      </c>
      <c r="F289" s="2" t="s">
        <v>800</v>
      </c>
      <c r="G289" s="2" t="s">
        <v>1024</v>
      </c>
      <c r="H289" s="2" t="s">
        <v>802</v>
      </c>
      <c r="I289" s="2" t="s">
        <v>514</v>
      </c>
      <c r="J289" s="2" t="s">
        <v>85</v>
      </c>
      <c r="K289" s="2" t="s">
        <v>38</v>
      </c>
      <c r="L289" s="2" t="s">
        <v>12</v>
      </c>
      <c r="P289" s="2" t="s">
        <v>22</v>
      </c>
      <c r="Q289" s="2" t="s">
        <v>30</v>
      </c>
      <c r="R289" s="2" t="s">
        <v>41</v>
      </c>
      <c r="S289" s="2" t="s">
        <v>44</v>
      </c>
      <c r="T289" s="2" t="s">
        <v>50</v>
      </c>
      <c r="U289" s="2" t="s">
        <v>632</v>
      </c>
      <c r="X289" s="2">
        <v>20</v>
      </c>
      <c r="Y289" s="2">
        <v>20</v>
      </c>
      <c r="AB289" s="2">
        <v>5.3562500000000002</v>
      </c>
      <c r="AC289" s="2">
        <v>3.0836141112081625</v>
      </c>
      <c r="AD289" s="2">
        <v>3.7562500000000001</v>
      </c>
      <c r="AE289" s="2">
        <v>3.5797941263209685</v>
      </c>
      <c r="AF289" s="2" t="s">
        <v>74</v>
      </c>
      <c r="AG289" s="2" t="s">
        <v>64</v>
      </c>
      <c r="AH289" s="2" t="str">
        <f>IF(AF289="mean", "mean", "")</f>
        <v>mean</v>
      </c>
      <c r="AR289" s="2" t="s">
        <v>849</v>
      </c>
      <c r="AS289" s="2" t="s">
        <v>849</v>
      </c>
      <c r="AU289" s="2" t="s">
        <v>1818</v>
      </c>
      <c r="AV289" s="2" t="s">
        <v>1822</v>
      </c>
      <c r="AW289" s="2" t="s">
        <v>1823</v>
      </c>
      <c r="AX289" s="2" t="s">
        <v>1826</v>
      </c>
      <c r="AY289" s="2" t="s">
        <v>79</v>
      </c>
    </row>
    <row r="290" spans="1:51" x14ac:dyDescent="0.2">
      <c r="A290" s="2" t="s">
        <v>797</v>
      </c>
      <c r="B290" s="2" t="s">
        <v>810</v>
      </c>
      <c r="C290" s="2" t="s">
        <v>798</v>
      </c>
      <c r="D290" s="2">
        <v>2016</v>
      </c>
      <c r="E290" s="2" t="s">
        <v>799</v>
      </c>
      <c r="F290" s="2" t="s">
        <v>800</v>
      </c>
      <c r="G290" s="2" t="s">
        <v>1025</v>
      </c>
      <c r="H290" s="2" t="s">
        <v>803</v>
      </c>
      <c r="I290" s="2" t="s">
        <v>514</v>
      </c>
      <c r="J290" s="2" t="s">
        <v>85</v>
      </c>
      <c r="K290" s="2" t="s">
        <v>38</v>
      </c>
      <c r="L290" s="2" t="s">
        <v>12</v>
      </c>
      <c r="P290" s="2" t="s">
        <v>22</v>
      </c>
      <c r="Q290" s="2" t="s">
        <v>30</v>
      </c>
      <c r="R290" s="2" t="s">
        <v>41</v>
      </c>
      <c r="S290" s="2" t="s">
        <v>44</v>
      </c>
      <c r="T290" s="2" t="s">
        <v>50</v>
      </c>
      <c r="U290" s="2" t="s">
        <v>632</v>
      </c>
      <c r="X290" s="2">
        <v>15</v>
      </c>
      <c r="Y290" s="2">
        <v>20</v>
      </c>
      <c r="AB290" s="2">
        <v>2.3937499999999998</v>
      </c>
      <c r="AC290" s="2">
        <v>2.5524997422547422</v>
      </c>
      <c r="AD290" s="2">
        <v>3.8250000000000002</v>
      </c>
      <c r="AE290" s="2">
        <v>3.2226874322084491</v>
      </c>
      <c r="AF290" s="2" t="s">
        <v>74</v>
      </c>
      <c r="AG290" s="2" t="s">
        <v>64</v>
      </c>
      <c r="AH290" s="2" t="str">
        <f>IF(AF290="mean", "mean", "")</f>
        <v>mean</v>
      </c>
      <c r="AR290" s="2" t="s">
        <v>849</v>
      </c>
      <c r="AS290" s="2" t="s">
        <v>849</v>
      </c>
      <c r="AU290" s="2" t="s">
        <v>1818</v>
      </c>
      <c r="AV290" s="2" t="s">
        <v>1822</v>
      </c>
      <c r="AW290" s="2" t="s">
        <v>1823</v>
      </c>
      <c r="AX290" s="2" t="s">
        <v>1826</v>
      </c>
      <c r="AY290" s="2" t="s">
        <v>79</v>
      </c>
    </row>
    <row r="291" spans="1:51" x14ac:dyDescent="0.2">
      <c r="A291" s="2" t="s">
        <v>797</v>
      </c>
      <c r="B291" s="2" t="s">
        <v>810</v>
      </c>
      <c r="C291" s="2" t="s">
        <v>798</v>
      </c>
      <c r="D291" s="2">
        <v>2016</v>
      </c>
      <c r="E291" s="2" t="s">
        <v>799</v>
      </c>
      <c r="F291" s="2" t="s">
        <v>800</v>
      </c>
      <c r="G291" s="2" t="s">
        <v>1026</v>
      </c>
      <c r="H291" s="2" t="s">
        <v>804</v>
      </c>
      <c r="I291" s="2" t="s">
        <v>514</v>
      </c>
      <c r="J291" s="2" t="s">
        <v>85</v>
      </c>
      <c r="K291" s="2" t="s">
        <v>38</v>
      </c>
      <c r="L291" s="2" t="s">
        <v>12</v>
      </c>
      <c r="P291" s="2" t="s">
        <v>22</v>
      </c>
      <c r="Q291" s="2" t="s">
        <v>30</v>
      </c>
      <c r="R291" s="2" t="s">
        <v>41</v>
      </c>
      <c r="S291" s="2" t="s">
        <v>43</v>
      </c>
      <c r="T291" s="2" t="s">
        <v>50</v>
      </c>
      <c r="U291" s="2" t="s">
        <v>632</v>
      </c>
      <c r="X291" s="2">
        <v>18</v>
      </c>
      <c r="Y291" s="2">
        <v>19</v>
      </c>
      <c r="AB291" s="2">
        <v>4.7894736842105265</v>
      </c>
      <c r="AC291" s="2">
        <v>3.2202302776254479</v>
      </c>
      <c r="AD291" s="2">
        <v>4.916666666666667</v>
      </c>
      <c r="AE291" s="2">
        <v>3.4009081832046326</v>
      </c>
      <c r="AF291" s="2" t="s">
        <v>74</v>
      </c>
      <c r="AG291" s="2" t="s">
        <v>64</v>
      </c>
      <c r="AH291" s="2" t="str">
        <f>IF(AF291="mean", "mean", "")</f>
        <v>mean</v>
      </c>
      <c r="AR291" s="2" t="s">
        <v>849</v>
      </c>
      <c r="AS291" s="2" t="s">
        <v>849</v>
      </c>
      <c r="AU291" s="2" t="s">
        <v>1818</v>
      </c>
      <c r="AV291" s="2" t="s">
        <v>1822</v>
      </c>
      <c r="AW291" s="2" t="s">
        <v>1823</v>
      </c>
      <c r="AX291" s="2" t="s">
        <v>1826</v>
      </c>
      <c r="AY291" s="2" t="s">
        <v>79</v>
      </c>
    </row>
    <row r="292" spans="1:51" x14ac:dyDescent="0.2">
      <c r="A292" s="2" t="s">
        <v>797</v>
      </c>
      <c r="B292" s="2" t="s">
        <v>810</v>
      </c>
      <c r="C292" s="2" t="s">
        <v>798</v>
      </c>
      <c r="D292" s="2">
        <v>2016</v>
      </c>
      <c r="E292" s="2" t="s">
        <v>799</v>
      </c>
      <c r="F292" s="2" t="s">
        <v>800</v>
      </c>
      <c r="G292" s="2" t="s">
        <v>1027</v>
      </c>
      <c r="H292" s="2" t="s">
        <v>805</v>
      </c>
      <c r="I292" s="2" t="s">
        <v>514</v>
      </c>
      <c r="J292" s="2" t="s">
        <v>85</v>
      </c>
      <c r="K292" s="2" t="s">
        <v>38</v>
      </c>
      <c r="L292" s="2" t="s">
        <v>12</v>
      </c>
      <c r="P292" s="2" t="s">
        <v>22</v>
      </c>
      <c r="Q292" s="2" t="s">
        <v>30</v>
      </c>
      <c r="R292" s="2" t="s">
        <v>41</v>
      </c>
      <c r="S292" s="2" t="s">
        <v>43</v>
      </c>
      <c r="T292" s="2" t="s">
        <v>50</v>
      </c>
      <c r="U292" s="2" t="s">
        <v>632</v>
      </c>
      <c r="X292" s="2">
        <v>18</v>
      </c>
      <c r="Y292" s="2">
        <v>18</v>
      </c>
      <c r="AB292" s="2">
        <v>6.5</v>
      </c>
      <c r="AC292" s="2">
        <v>2.3136424046231925</v>
      </c>
      <c r="AD292" s="2">
        <v>5.25</v>
      </c>
      <c r="AE292" s="2">
        <v>3.9079481602919723</v>
      </c>
      <c r="AF292" s="2" t="s">
        <v>74</v>
      </c>
      <c r="AG292" s="2" t="s">
        <v>64</v>
      </c>
      <c r="AH292" s="2" t="str">
        <f>IF(AF292="mean", "mean", "")</f>
        <v>mean</v>
      </c>
      <c r="AR292" s="2" t="s">
        <v>849</v>
      </c>
      <c r="AS292" s="2" t="s">
        <v>849</v>
      </c>
      <c r="AU292" s="2" t="s">
        <v>1818</v>
      </c>
      <c r="AV292" s="2" t="s">
        <v>1822</v>
      </c>
      <c r="AW292" s="2" t="s">
        <v>1823</v>
      </c>
      <c r="AX292" s="2" t="s">
        <v>1826</v>
      </c>
      <c r="AY292" s="2" t="s">
        <v>79</v>
      </c>
    </row>
    <row r="293" spans="1:51" x14ac:dyDescent="0.2">
      <c r="A293" s="2" t="s">
        <v>509</v>
      </c>
      <c r="B293" s="2" t="s">
        <v>508</v>
      </c>
      <c r="C293" s="2" t="s">
        <v>513</v>
      </c>
      <c r="D293" s="2">
        <v>2013</v>
      </c>
      <c r="E293" s="2" t="s">
        <v>811</v>
      </c>
      <c r="F293" s="2" t="s">
        <v>812</v>
      </c>
      <c r="G293" s="2" t="s">
        <v>1028</v>
      </c>
      <c r="H293" s="2" t="s">
        <v>806</v>
      </c>
      <c r="I293" s="2" t="s">
        <v>512</v>
      </c>
      <c r="J293" s="2" t="s">
        <v>86</v>
      </c>
      <c r="K293" s="2" t="s">
        <v>38</v>
      </c>
      <c r="L293" s="2" t="s">
        <v>12</v>
      </c>
      <c r="P293" s="2" t="s">
        <v>22</v>
      </c>
      <c r="Q293" s="2" t="s">
        <v>30</v>
      </c>
      <c r="R293" s="2" t="s">
        <v>41</v>
      </c>
      <c r="S293" s="2" t="s">
        <v>44</v>
      </c>
      <c r="T293" s="2" t="s">
        <v>50</v>
      </c>
      <c r="U293" s="2" t="s">
        <v>53</v>
      </c>
      <c r="V293" s="2">
        <v>4</v>
      </c>
      <c r="W293" s="2">
        <v>2</v>
      </c>
      <c r="X293" s="2">
        <v>80</v>
      </c>
      <c r="Y293" s="2">
        <v>80</v>
      </c>
      <c r="Z293" s="2">
        <f t="shared" ref="Z293:Z298" si="9">AB293*Y293</f>
        <v>64</v>
      </c>
      <c r="AA293" s="2">
        <f t="shared" ref="AA293:AA298" si="10">X293*AD293</f>
        <v>48</v>
      </c>
      <c r="AB293" s="2">
        <v>0.8</v>
      </c>
      <c r="AD293" s="2">
        <v>0.6</v>
      </c>
      <c r="AH293" s="2" t="s">
        <v>1804</v>
      </c>
      <c r="AR293" s="2" t="s">
        <v>222</v>
      </c>
      <c r="AS293" s="2" t="s">
        <v>849</v>
      </c>
      <c r="AU293" s="2" t="s">
        <v>1818</v>
      </c>
      <c r="AV293" s="2" t="s">
        <v>1830</v>
      </c>
      <c r="AW293" s="2" t="s">
        <v>1831</v>
      </c>
      <c r="AX293" s="2" t="s">
        <v>1829</v>
      </c>
      <c r="AY293" s="2" t="s">
        <v>79</v>
      </c>
    </row>
    <row r="294" spans="1:51" x14ac:dyDescent="0.2">
      <c r="A294" s="2" t="s">
        <v>509</v>
      </c>
      <c r="B294" s="2" t="s">
        <v>508</v>
      </c>
      <c r="C294" s="2" t="s">
        <v>513</v>
      </c>
      <c r="D294" s="2">
        <v>2013</v>
      </c>
      <c r="E294" s="2" t="s">
        <v>811</v>
      </c>
      <c r="F294" s="2" t="s">
        <v>812</v>
      </c>
      <c r="G294" s="2" t="s">
        <v>1029</v>
      </c>
      <c r="H294" s="2" t="s">
        <v>807</v>
      </c>
      <c r="I294" s="2" t="s">
        <v>512</v>
      </c>
      <c r="J294" s="2" t="s">
        <v>86</v>
      </c>
      <c r="K294" s="2" t="s">
        <v>38</v>
      </c>
      <c r="L294" s="2" t="s">
        <v>12</v>
      </c>
      <c r="P294" s="2" t="s">
        <v>22</v>
      </c>
      <c r="Q294" s="2" t="s">
        <v>30</v>
      </c>
      <c r="R294" s="2" t="s">
        <v>41</v>
      </c>
      <c r="S294" s="2" t="s">
        <v>44</v>
      </c>
      <c r="T294" s="2" t="s">
        <v>50</v>
      </c>
      <c r="U294" s="2" t="s">
        <v>53</v>
      </c>
      <c r="V294" s="2">
        <v>4</v>
      </c>
      <c r="W294" s="2">
        <v>2</v>
      </c>
      <c r="X294" s="2">
        <v>80</v>
      </c>
      <c r="Y294" s="2">
        <v>80</v>
      </c>
      <c r="Z294" s="2">
        <f t="shared" si="9"/>
        <v>28</v>
      </c>
      <c r="AA294" s="2">
        <f t="shared" si="10"/>
        <v>32</v>
      </c>
      <c r="AB294" s="4">
        <v>0.35</v>
      </c>
      <c r="AD294" s="4">
        <v>0.4</v>
      </c>
      <c r="AH294" s="2" t="s">
        <v>1804</v>
      </c>
      <c r="AR294" s="2" t="s">
        <v>222</v>
      </c>
      <c r="AS294" s="2" t="s">
        <v>849</v>
      </c>
      <c r="AU294" s="2" t="s">
        <v>1818</v>
      </c>
      <c r="AV294" s="2" t="s">
        <v>1830</v>
      </c>
      <c r="AW294" s="2" t="s">
        <v>1831</v>
      </c>
      <c r="AX294" s="2" t="s">
        <v>1829</v>
      </c>
      <c r="AY294" s="2" t="s">
        <v>79</v>
      </c>
    </row>
    <row r="295" spans="1:51" x14ac:dyDescent="0.2">
      <c r="A295" s="2" t="s">
        <v>509</v>
      </c>
      <c r="B295" s="2" t="s">
        <v>508</v>
      </c>
      <c r="C295" s="2" t="s">
        <v>513</v>
      </c>
      <c r="D295" s="2">
        <v>2013</v>
      </c>
      <c r="E295" s="2" t="s">
        <v>811</v>
      </c>
      <c r="F295" s="2" t="s">
        <v>819</v>
      </c>
      <c r="G295" s="2" t="s">
        <v>1030</v>
      </c>
      <c r="H295" s="2" t="s">
        <v>808</v>
      </c>
      <c r="I295" s="2" t="s">
        <v>512</v>
      </c>
      <c r="J295" s="2" t="s">
        <v>86</v>
      </c>
      <c r="K295" s="2" t="s">
        <v>38</v>
      </c>
      <c r="L295" s="2" t="s">
        <v>12</v>
      </c>
      <c r="P295" s="2" t="s">
        <v>22</v>
      </c>
      <c r="Q295" s="2" t="s">
        <v>30</v>
      </c>
      <c r="R295" s="2" t="s">
        <v>41</v>
      </c>
      <c r="S295" s="2" t="s">
        <v>44</v>
      </c>
      <c r="T295" s="2" t="s">
        <v>50</v>
      </c>
      <c r="U295" s="2" t="s">
        <v>53</v>
      </c>
      <c r="V295" s="2">
        <v>4</v>
      </c>
      <c r="W295" s="2">
        <v>2</v>
      </c>
      <c r="X295" s="2">
        <v>80</v>
      </c>
      <c r="Y295" s="2">
        <v>80</v>
      </c>
      <c r="Z295" s="2">
        <f t="shared" si="9"/>
        <v>53.6</v>
      </c>
      <c r="AA295" s="2">
        <f t="shared" si="10"/>
        <v>21.6</v>
      </c>
      <c r="AB295" s="4">
        <v>0.67</v>
      </c>
      <c r="AD295" s="4">
        <v>0.27</v>
      </c>
      <c r="AH295" s="2" t="s">
        <v>1804</v>
      </c>
      <c r="AR295" s="2" t="s">
        <v>222</v>
      </c>
      <c r="AS295" s="2" t="s">
        <v>849</v>
      </c>
      <c r="AU295" s="2" t="s">
        <v>1818</v>
      </c>
      <c r="AV295" s="2" t="s">
        <v>1830</v>
      </c>
      <c r="AW295" s="2" t="s">
        <v>1831</v>
      </c>
      <c r="AX295" s="2" t="s">
        <v>1829</v>
      </c>
      <c r="AY295" s="2" t="s">
        <v>79</v>
      </c>
    </row>
    <row r="296" spans="1:51" x14ac:dyDescent="0.2">
      <c r="A296" s="2" t="s">
        <v>509</v>
      </c>
      <c r="B296" s="2" t="s">
        <v>508</v>
      </c>
      <c r="C296" s="2" t="s">
        <v>513</v>
      </c>
      <c r="D296" s="2">
        <v>2013</v>
      </c>
      <c r="E296" s="2" t="s">
        <v>811</v>
      </c>
      <c r="F296" s="2" t="s">
        <v>819</v>
      </c>
      <c r="G296" s="2" t="s">
        <v>1031</v>
      </c>
      <c r="H296" s="2" t="s">
        <v>809</v>
      </c>
      <c r="I296" s="2" t="s">
        <v>512</v>
      </c>
      <c r="J296" s="2" t="s">
        <v>86</v>
      </c>
      <c r="K296" s="2" t="s">
        <v>38</v>
      </c>
      <c r="L296" s="2" t="s">
        <v>12</v>
      </c>
      <c r="P296" s="2" t="s">
        <v>22</v>
      </c>
      <c r="Q296" s="2" t="s">
        <v>30</v>
      </c>
      <c r="R296" s="2" t="s">
        <v>41</v>
      </c>
      <c r="S296" s="2" t="s">
        <v>44</v>
      </c>
      <c r="T296" s="2" t="s">
        <v>50</v>
      </c>
      <c r="U296" s="2" t="s">
        <v>53</v>
      </c>
      <c r="V296" s="2">
        <v>4</v>
      </c>
      <c r="W296" s="2">
        <v>2</v>
      </c>
      <c r="X296" s="2">
        <v>80</v>
      </c>
      <c r="Y296" s="2">
        <v>80</v>
      </c>
      <c r="Z296" s="2">
        <f t="shared" si="9"/>
        <v>32</v>
      </c>
      <c r="AA296" s="2">
        <f t="shared" si="10"/>
        <v>24</v>
      </c>
      <c r="AB296" s="4">
        <v>0.4</v>
      </c>
      <c r="AD296" s="4">
        <v>0.3</v>
      </c>
      <c r="AH296" s="2" t="s">
        <v>1804</v>
      </c>
      <c r="AR296" s="2" t="s">
        <v>222</v>
      </c>
      <c r="AS296" s="2" t="s">
        <v>849</v>
      </c>
      <c r="AU296" s="2" t="s">
        <v>1818</v>
      </c>
      <c r="AV296" s="2" t="s">
        <v>1830</v>
      </c>
      <c r="AW296" s="2" t="s">
        <v>1831</v>
      </c>
      <c r="AX296" s="2" t="s">
        <v>1829</v>
      </c>
      <c r="AY296" s="2" t="s">
        <v>79</v>
      </c>
    </row>
    <row r="297" spans="1:51" x14ac:dyDescent="0.2">
      <c r="A297" s="2" t="s">
        <v>509</v>
      </c>
      <c r="B297" s="2" t="s">
        <v>508</v>
      </c>
      <c r="C297" s="2" t="s">
        <v>513</v>
      </c>
      <c r="D297" s="2">
        <v>2013</v>
      </c>
      <c r="E297" s="2" t="s">
        <v>811</v>
      </c>
      <c r="F297" s="2" t="s">
        <v>820</v>
      </c>
      <c r="G297" s="2" t="s">
        <v>1032</v>
      </c>
      <c r="H297" s="2" t="s">
        <v>813</v>
      </c>
      <c r="I297" s="2" t="s">
        <v>512</v>
      </c>
      <c r="J297" s="2" t="s">
        <v>86</v>
      </c>
      <c r="K297" s="2" t="s">
        <v>38</v>
      </c>
      <c r="L297" s="2" t="s">
        <v>12</v>
      </c>
      <c r="P297" s="2" t="s">
        <v>22</v>
      </c>
      <c r="Q297" s="2" t="s">
        <v>30</v>
      </c>
      <c r="R297" s="2" t="s">
        <v>41</v>
      </c>
      <c r="S297" s="2" t="s">
        <v>44</v>
      </c>
      <c r="T297" s="2" t="s">
        <v>50</v>
      </c>
      <c r="U297" s="2" t="s">
        <v>53</v>
      </c>
      <c r="V297" s="2">
        <v>4</v>
      </c>
      <c r="W297" s="2">
        <v>2</v>
      </c>
      <c r="X297" s="2">
        <v>80</v>
      </c>
      <c r="Y297" s="2">
        <v>80</v>
      </c>
      <c r="Z297" s="2">
        <f t="shared" si="9"/>
        <v>80</v>
      </c>
      <c r="AA297" s="2">
        <f t="shared" si="10"/>
        <v>72</v>
      </c>
      <c r="AB297" s="4">
        <v>1</v>
      </c>
      <c r="AD297" s="4">
        <v>0.9</v>
      </c>
      <c r="AH297" s="2" t="s">
        <v>1804</v>
      </c>
      <c r="AR297" s="2" t="s">
        <v>222</v>
      </c>
      <c r="AS297" s="2" t="s">
        <v>849</v>
      </c>
      <c r="AU297" s="2" t="s">
        <v>1818</v>
      </c>
      <c r="AV297" s="2" t="s">
        <v>1830</v>
      </c>
      <c r="AW297" s="2" t="s">
        <v>1831</v>
      </c>
      <c r="AX297" s="2" t="s">
        <v>1829</v>
      </c>
      <c r="AY297" s="2" t="s">
        <v>79</v>
      </c>
    </row>
    <row r="298" spans="1:51" x14ac:dyDescent="0.2">
      <c r="A298" s="2" t="s">
        <v>509</v>
      </c>
      <c r="B298" s="2" t="s">
        <v>508</v>
      </c>
      <c r="C298" s="2" t="s">
        <v>513</v>
      </c>
      <c r="D298" s="2">
        <v>2013</v>
      </c>
      <c r="E298" s="2" t="s">
        <v>811</v>
      </c>
      <c r="F298" s="2" t="s">
        <v>820</v>
      </c>
      <c r="G298" s="2" t="s">
        <v>1033</v>
      </c>
      <c r="H298" s="2" t="s">
        <v>814</v>
      </c>
      <c r="I298" s="2" t="s">
        <v>512</v>
      </c>
      <c r="J298" s="2" t="s">
        <v>86</v>
      </c>
      <c r="K298" s="2" t="s">
        <v>38</v>
      </c>
      <c r="L298" s="2" t="s">
        <v>12</v>
      </c>
      <c r="P298" s="2" t="s">
        <v>22</v>
      </c>
      <c r="Q298" s="2" t="s">
        <v>30</v>
      </c>
      <c r="R298" s="2" t="s">
        <v>41</v>
      </c>
      <c r="S298" s="2" t="s">
        <v>44</v>
      </c>
      <c r="T298" s="2" t="s">
        <v>50</v>
      </c>
      <c r="U298" s="2" t="s">
        <v>53</v>
      </c>
      <c r="V298" s="2">
        <v>4</v>
      </c>
      <c r="W298" s="2">
        <v>2</v>
      </c>
      <c r="X298" s="2">
        <v>80</v>
      </c>
      <c r="Y298" s="2">
        <v>80</v>
      </c>
      <c r="Z298" s="2">
        <f t="shared" si="9"/>
        <v>32</v>
      </c>
      <c r="AA298" s="2">
        <f t="shared" si="10"/>
        <v>32</v>
      </c>
      <c r="AB298" s="4">
        <v>0.4</v>
      </c>
      <c r="AD298" s="4">
        <v>0.4</v>
      </c>
      <c r="AH298" s="2" t="s">
        <v>1804</v>
      </c>
      <c r="AR298" s="2" t="s">
        <v>222</v>
      </c>
      <c r="AS298" s="2" t="s">
        <v>849</v>
      </c>
      <c r="AU298" s="2" t="s">
        <v>1818</v>
      </c>
      <c r="AV298" s="2" t="s">
        <v>1830</v>
      </c>
      <c r="AW298" s="2" t="s">
        <v>1831</v>
      </c>
      <c r="AX298" s="2" t="s">
        <v>1829</v>
      </c>
      <c r="AY298" s="2" t="s">
        <v>79</v>
      </c>
    </row>
    <row r="299" spans="1:51" x14ac:dyDescent="0.2">
      <c r="A299" s="2" t="s">
        <v>509</v>
      </c>
      <c r="B299" s="2" t="s">
        <v>508</v>
      </c>
      <c r="C299" s="2" t="s">
        <v>513</v>
      </c>
      <c r="D299" s="2">
        <v>2013</v>
      </c>
      <c r="E299" s="2" t="s">
        <v>811</v>
      </c>
      <c r="F299" s="2" t="s">
        <v>812</v>
      </c>
      <c r="G299" s="2" t="s">
        <v>1034</v>
      </c>
      <c r="H299" s="2" t="s">
        <v>815</v>
      </c>
      <c r="I299" s="2" t="s">
        <v>512</v>
      </c>
      <c r="J299" s="2" t="s">
        <v>86</v>
      </c>
      <c r="K299" s="2" t="s">
        <v>38</v>
      </c>
      <c r="L299" s="2" t="s">
        <v>12</v>
      </c>
      <c r="P299" s="2" t="s">
        <v>22</v>
      </c>
      <c r="Q299" s="2" t="s">
        <v>30</v>
      </c>
      <c r="R299" s="2" t="s">
        <v>41</v>
      </c>
      <c r="S299" s="2" t="s">
        <v>821</v>
      </c>
      <c r="T299" s="2" t="s">
        <v>50</v>
      </c>
      <c r="U299" s="2" t="s">
        <v>52</v>
      </c>
      <c r="V299" s="2">
        <v>5</v>
      </c>
      <c r="W299" s="2">
        <v>3</v>
      </c>
      <c r="X299" s="2">
        <v>36</v>
      </c>
      <c r="Y299" s="2">
        <v>36</v>
      </c>
      <c r="AB299" s="2">
        <v>10.443262411347501</v>
      </c>
      <c r="AC299" s="2">
        <v>1.3404255319149001</v>
      </c>
      <c r="AD299" s="2">
        <v>11.709219858156001</v>
      </c>
      <c r="AE299" s="2">
        <v>1.63829787234043</v>
      </c>
      <c r="AF299" s="2" t="s">
        <v>74</v>
      </c>
      <c r="AG299" s="2" t="s">
        <v>64</v>
      </c>
      <c r="AH299" s="2" t="str">
        <f>IF(AF299="mean", "mean", "")</f>
        <v>mean</v>
      </c>
      <c r="AR299" s="2" t="s">
        <v>222</v>
      </c>
      <c r="AS299" s="2" t="s">
        <v>849</v>
      </c>
      <c r="AU299" s="2" t="s">
        <v>1818</v>
      </c>
      <c r="AV299" s="2" t="s">
        <v>1830</v>
      </c>
      <c r="AW299" s="2" t="s">
        <v>1831</v>
      </c>
      <c r="AX299" s="2" t="s">
        <v>1829</v>
      </c>
      <c r="AY299" s="2" t="s">
        <v>79</v>
      </c>
    </row>
    <row r="300" spans="1:51" x14ac:dyDescent="0.2">
      <c r="A300" s="2" t="s">
        <v>509</v>
      </c>
      <c r="B300" s="2" t="s">
        <v>508</v>
      </c>
      <c r="C300" s="2" t="s">
        <v>513</v>
      </c>
      <c r="D300" s="2">
        <v>2013</v>
      </c>
      <c r="E300" s="2" t="s">
        <v>811</v>
      </c>
      <c r="F300" s="2" t="s">
        <v>812</v>
      </c>
      <c r="G300" s="2" t="s">
        <v>1035</v>
      </c>
      <c r="H300" s="2" t="s">
        <v>816</v>
      </c>
      <c r="I300" s="2" t="s">
        <v>512</v>
      </c>
      <c r="J300" s="2" t="s">
        <v>86</v>
      </c>
      <c r="K300" s="2" t="s">
        <v>38</v>
      </c>
      <c r="L300" s="2" t="s">
        <v>12</v>
      </c>
      <c r="P300" s="2" t="s">
        <v>22</v>
      </c>
      <c r="Q300" s="2" t="s">
        <v>30</v>
      </c>
      <c r="R300" s="2" t="s">
        <v>41</v>
      </c>
      <c r="S300" s="2" t="s">
        <v>44</v>
      </c>
      <c r="T300" s="2" t="s">
        <v>50</v>
      </c>
      <c r="U300" s="2" t="s">
        <v>52</v>
      </c>
      <c r="V300" s="2">
        <v>5</v>
      </c>
      <c r="W300" s="2">
        <v>4</v>
      </c>
      <c r="X300" s="2">
        <v>50</v>
      </c>
      <c r="Y300" s="2">
        <v>50</v>
      </c>
      <c r="Z300" s="2">
        <f>Y300*AB300</f>
        <v>6.6147859922179002</v>
      </c>
      <c r="AA300" s="2">
        <f>X300*AD300</f>
        <v>8.3657587548637995</v>
      </c>
      <c r="AB300" s="2">
        <v>0.13229571984435801</v>
      </c>
      <c r="AC300" s="4"/>
      <c r="AD300" s="2">
        <v>0.167315175097276</v>
      </c>
      <c r="AE300" s="4"/>
      <c r="AH300" s="2" t="s">
        <v>1804</v>
      </c>
      <c r="AR300" s="2" t="s">
        <v>849</v>
      </c>
      <c r="AS300" s="2" t="s">
        <v>849</v>
      </c>
      <c r="AU300" s="2" t="s">
        <v>1818</v>
      </c>
      <c r="AV300" s="2" t="s">
        <v>1830</v>
      </c>
      <c r="AW300" s="2" t="s">
        <v>1831</v>
      </c>
      <c r="AX300" s="2" t="s">
        <v>1829</v>
      </c>
      <c r="AY300" s="2" t="s">
        <v>79</v>
      </c>
    </row>
    <row r="301" spans="1:51" x14ac:dyDescent="0.2">
      <c r="A301" s="2" t="s">
        <v>509</v>
      </c>
      <c r="B301" s="2" t="s">
        <v>508</v>
      </c>
      <c r="C301" s="2" t="s">
        <v>513</v>
      </c>
      <c r="D301" s="2">
        <v>2013</v>
      </c>
      <c r="E301" s="2" t="s">
        <v>811</v>
      </c>
      <c r="F301" s="2" t="s">
        <v>812</v>
      </c>
      <c r="G301" s="2" t="s">
        <v>1036</v>
      </c>
      <c r="H301" s="2" t="s">
        <v>817</v>
      </c>
      <c r="I301" s="2" t="s">
        <v>512</v>
      </c>
      <c r="J301" s="2" t="s">
        <v>86</v>
      </c>
      <c r="K301" s="2" t="s">
        <v>38</v>
      </c>
      <c r="L301" s="2" t="s">
        <v>12</v>
      </c>
      <c r="P301" s="2" t="s">
        <v>22</v>
      </c>
      <c r="Q301" s="2" t="s">
        <v>30</v>
      </c>
      <c r="R301" s="2" t="s">
        <v>41</v>
      </c>
      <c r="S301" s="2" t="s">
        <v>44</v>
      </c>
      <c r="T301" s="2" t="s">
        <v>50</v>
      </c>
      <c r="U301" s="2" t="s">
        <v>52</v>
      </c>
      <c r="V301" s="2">
        <v>6</v>
      </c>
      <c r="W301" s="2">
        <v>5</v>
      </c>
      <c r="X301" s="2">
        <v>50</v>
      </c>
      <c r="Y301" s="2">
        <v>50</v>
      </c>
      <c r="Z301" s="2">
        <f>Y301*AB301</f>
        <v>6.2992125984251999</v>
      </c>
      <c r="AA301" s="2">
        <f>X301*AD301</f>
        <v>13.582677000000002</v>
      </c>
      <c r="AB301" s="2">
        <v>0.12598425196850399</v>
      </c>
      <c r="AC301" s="4"/>
      <c r="AD301" s="2">
        <v>0.27165354000000003</v>
      </c>
      <c r="AE301" s="4"/>
      <c r="AH301" s="2" t="s">
        <v>1804</v>
      </c>
      <c r="AR301" s="2" t="s">
        <v>849</v>
      </c>
      <c r="AS301" s="2" t="s">
        <v>849</v>
      </c>
      <c r="AU301" s="2" t="s">
        <v>1818</v>
      </c>
      <c r="AV301" s="2" t="s">
        <v>1830</v>
      </c>
      <c r="AW301" s="2" t="s">
        <v>1831</v>
      </c>
      <c r="AX301" s="2" t="s">
        <v>1829</v>
      </c>
      <c r="AY301" s="2" t="s">
        <v>79</v>
      </c>
    </row>
    <row r="302" spans="1:51" x14ac:dyDescent="0.2">
      <c r="A302" s="2" t="s">
        <v>509</v>
      </c>
      <c r="B302" s="2" t="s">
        <v>508</v>
      </c>
      <c r="C302" s="2" t="s">
        <v>513</v>
      </c>
      <c r="D302" s="2">
        <v>2013</v>
      </c>
      <c r="E302" s="2" t="s">
        <v>811</v>
      </c>
      <c r="F302" s="2" t="s">
        <v>812</v>
      </c>
      <c r="G302" s="2" t="s">
        <v>1036</v>
      </c>
      <c r="H302" s="2" t="s">
        <v>818</v>
      </c>
      <c r="I302" s="2" t="s">
        <v>512</v>
      </c>
      <c r="J302" s="2" t="s">
        <v>86</v>
      </c>
      <c r="K302" s="2" t="s">
        <v>38</v>
      </c>
      <c r="L302" s="2" t="s">
        <v>12</v>
      </c>
      <c r="P302" s="2" t="s">
        <v>22</v>
      </c>
      <c r="Q302" s="2" t="s">
        <v>30</v>
      </c>
      <c r="R302" s="2" t="s">
        <v>41</v>
      </c>
      <c r="S302" s="2" t="s">
        <v>44</v>
      </c>
      <c r="T302" s="2" t="s">
        <v>50</v>
      </c>
      <c r="U302" s="2" t="s">
        <v>52</v>
      </c>
      <c r="V302" s="2">
        <v>6</v>
      </c>
      <c r="W302" s="2">
        <v>5</v>
      </c>
      <c r="X302" s="2">
        <v>50</v>
      </c>
      <c r="Y302" s="2">
        <v>50</v>
      </c>
      <c r="Z302" s="2">
        <f>Y302*AB302</f>
        <v>9.2519685039370003</v>
      </c>
      <c r="AA302" s="2">
        <f>X302*AD302</f>
        <v>13.582677000000002</v>
      </c>
      <c r="AB302" s="2">
        <v>0.18503937007874</v>
      </c>
      <c r="AC302" s="4"/>
      <c r="AD302" s="2">
        <v>0.27165354000000003</v>
      </c>
      <c r="AE302" s="4"/>
      <c r="AH302" s="2" t="s">
        <v>1804</v>
      </c>
      <c r="AR302" s="2" t="s">
        <v>849</v>
      </c>
      <c r="AS302" s="2" t="s">
        <v>849</v>
      </c>
      <c r="AU302" s="2" t="s">
        <v>1818</v>
      </c>
      <c r="AV302" s="2" t="s">
        <v>1830</v>
      </c>
      <c r="AW302" s="2" t="s">
        <v>1831</v>
      </c>
      <c r="AX302" s="2" t="s">
        <v>1829</v>
      </c>
      <c r="AY302" s="2" t="s">
        <v>79</v>
      </c>
    </row>
    <row r="303" spans="1:51" x14ac:dyDescent="0.2">
      <c r="A303" s="2" t="s">
        <v>509</v>
      </c>
      <c r="B303" s="2" t="s">
        <v>508</v>
      </c>
      <c r="C303" s="2" t="s">
        <v>513</v>
      </c>
      <c r="D303" s="2">
        <v>2013</v>
      </c>
      <c r="E303" s="2" t="s">
        <v>811</v>
      </c>
      <c r="F303" s="2" t="s">
        <v>812</v>
      </c>
      <c r="G303" s="2" t="s">
        <v>1037</v>
      </c>
      <c r="H303" s="2" t="s">
        <v>822</v>
      </c>
      <c r="I303" s="2" t="s">
        <v>512</v>
      </c>
      <c r="J303" s="2" t="s">
        <v>86</v>
      </c>
      <c r="K303" s="2" t="s">
        <v>38</v>
      </c>
      <c r="L303" s="2" t="s">
        <v>12</v>
      </c>
      <c r="P303" s="2" t="s">
        <v>22</v>
      </c>
      <c r="Q303" s="2" t="s">
        <v>30</v>
      </c>
      <c r="R303" s="2" t="s">
        <v>41</v>
      </c>
      <c r="S303" s="2" t="s">
        <v>44</v>
      </c>
      <c r="T303" s="2" t="s">
        <v>50</v>
      </c>
      <c r="U303" s="2" t="s">
        <v>52</v>
      </c>
      <c r="V303" s="2">
        <v>6</v>
      </c>
      <c r="W303" s="2">
        <v>6</v>
      </c>
      <c r="X303" s="2">
        <v>50</v>
      </c>
      <c r="Y303" s="2">
        <v>50</v>
      </c>
      <c r="Z303" s="2">
        <f>Y303*AB303</f>
        <v>6.6666666666666501</v>
      </c>
      <c r="AA303" s="2">
        <f>X303*AD303</f>
        <v>18.823529411764699</v>
      </c>
      <c r="AB303" s="2">
        <v>0.133333333333333</v>
      </c>
      <c r="AC303" s="4"/>
      <c r="AD303" s="2">
        <v>0.376470588235294</v>
      </c>
      <c r="AE303" s="4"/>
      <c r="AH303" s="2" t="s">
        <v>1804</v>
      </c>
      <c r="AR303" s="2" t="s">
        <v>849</v>
      </c>
      <c r="AS303" s="2" t="s">
        <v>849</v>
      </c>
      <c r="AU303" s="2" t="s">
        <v>1818</v>
      </c>
      <c r="AV303" s="2" t="s">
        <v>1830</v>
      </c>
      <c r="AW303" s="2" t="s">
        <v>1831</v>
      </c>
      <c r="AX303" s="2" t="s">
        <v>1829</v>
      </c>
      <c r="AY303" s="2" t="s">
        <v>79</v>
      </c>
    </row>
    <row r="304" spans="1:51" x14ac:dyDescent="0.2">
      <c r="A304" s="2" t="s">
        <v>509</v>
      </c>
      <c r="B304" s="2" t="s">
        <v>508</v>
      </c>
      <c r="C304" s="2" t="s">
        <v>513</v>
      </c>
      <c r="D304" s="2">
        <v>2013</v>
      </c>
      <c r="E304" s="2" t="s">
        <v>811</v>
      </c>
      <c r="F304" s="2" t="s">
        <v>812</v>
      </c>
      <c r="G304" s="2" t="s">
        <v>1037</v>
      </c>
      <c r="H304" s="2" t="s">
        <v>823</v>
      </c>
      <c r="I304" s="2" t="s">
        <v>512</v>
      </c>
      <c r="J304" s="2" t="s">
        <v>86</v>
      </c>
      <c r="K304" s="2" t="s">
        <v>38</v>
      </c>
      <c r="L304" s="2" t="s">
        <v>12</v>
      </c>
      <c r="P304" s="2" t="s">
        <v>22</v>
      </c>
      <c r="Q304" s="2" t="s">
        <v>30</v>
      </c>
      <c r="R304" s="2" t="s">
        <v>41</v>
      </c>
      <c r="S304" s="2" t="s">
        <v>44</v>
      </c>
      <c r="T304" s="2" t="s">
        <v>50</v>
      </c>
      <c r="U304" s="2" t="s">
        <v>52</v>
      </c>
      <c r="V304" s="2">
        <v>6</v>
      </c>
      <c r="W304" s="2">
        <v>6</v>
      </c>
      <c r="X304" s="2">
        <v>50</v>
      </c>
      <c r="Y304" s="2">
        <v>50</v>
      </c>
      <c r="Z304" s="2">
        <f>Y304*AB304</f>
        <v>12.94117647058825</v>
      </c>
      <c r="AA304" s="2">
        <f>X304*AD304</f>
        <v>18.823529411764699</v>
      </c>
      <c r="AB304" s="2">
        <v>0.25882352941176501</v>
      </c>
      <c r="AC304" s="4"/>
      <c r="AD304" s="2">
        <v>0.376470588235294</v>
      </c>
      <c r="AE304" s="4"/>
      <c r="AH304" s="2" t="s">
        <v>1804</v>
      </c>
      <c r="AR304" s="2" t="s">
        <v>849</v>
      </c>
      <c r="AS304" s="2" t="s">
        <v>849</v>
      </c>
      <c r="AU304" s="2" t="s">
        <v>1818</v>
      </c>
      <c r="AV304" s="2" t="s">
        <v>1830</v>
      </c>
      <c r="AW304" s="2" t="s">
        <v>1831</v>
      </c>
      <c r="AX304" s="2" t="s">
        <v>1829</v>
      </c>
      <c r="AY304" s="2" t="s">
        <v>79</v>
      </c>
    </row>
    <row r="305" spans="1:51" x14ac:dyDescent="0.2">
      <c r="A305" s="2" t="s">
        <v>828</v>
      </c>
      <c r="B305" s="2" t="s">
        <v>829</v>
      </c>
      <c r="C305" s="2" t="s">
        <v>830</v>
      </c>
      <c r="D305" s="2">
        <v>2018</v>
      </c>
      <c r="E305" s="2" t="s">
        <v>827</v>
      </c>
      <c r="F305" s="2" t="s">
        <v>819</v>
      </c>
      <c r="G305" s="2" t="s">
        <v>1038</v>
      </c>
      <c r="H305" s="2" t="s">
        <v>831</v>
      </c>
      <c r="I305" s="2" t="s">
        <v>1795</v>
      </c>
      <c r="J305" s="2" t="s">
        <v>34</v>
      </c>
      <c r="K305" s="2" t="s">
        <v>38</v>
      </c>
      <c r="L305" s="2" t="s">
        <v>11</v>
      </c>
      <c r="M305" s="2" t="s">
        <v>14</v>
      </c>
      <c r="N305" s="2" t="s">
        <v>20</v>
      </c>
      <c r="O305" s="2">
        <v>0</v>
      </c>
      <c r="P305" s="2" t="s">
        <v>22</v>
      </c>
      <c r="Q305" s="2" t="s">
        <v>28</v>
      </c>
      <c r="T305" s="2" t="s">
        <v>51</v>
      </c>
      <c r="U305" s="2" t="s">
        <v>371</v>
      </c>
      <c r="W305" s="2" t="s">
        <v>832</v>
      </c>
      <c r="X305" s="2">
        <v>28</v>
      </c>
      <c r="Y305" s="2">
        <v>28</v>
      </c>
      <c r="AB305" s="4"/>
      <c r="AC305" s="4"/>
      <c r="AD305" s="4"/>
      <c r="AE305" s="4"/>
      <c r="AH305" s="2" t="s">
        <v>70</v>
      </c>
      <c r="AK305" s="2">
        <v>7.0000000000000007E-2</v>
      </c>
      <c r="AL305" s="2">
        <v>53</v>
      </c>
      <c r="AM305" s="2">
        <v>56</v>
      </c>
      <c r="AR305" s="2" t="s">
        <v>849</v>
      </c>
      <c r="AS305" s="2" t="s">
        <v>849</v>
      </c>
      <c r="AU305" s="2" t="s">
        <v>1818</v>
      </c>
      <c r="AV305" s="2" t="s">
        <v>1830</v>
      </c>
      <c r="AW305" s="2" t="s">
        <v>1834</v>
      </c>
      <c r="AX305" s="2" t="s">
        <v>1821</v>
      </c>
      <c r="AY305" s="2" t="s">
        <v>79</v>
      </c>
    </row>
    <row r="306" spans="1:51" x14ac:dyDescent="0.2">
      <c r="A306" s="2" t="s">
        <v>828</v>
      </c>
      <c r="B306" s="2" t="s">
        <v>829</v>
      </c>
      <c r="C306" s="2" t="s">
        <v>830</v>
      </c>
      <c r="D306" s="2">
        <v>2018</v>
      </c>
      <c r="E306" s="2" t="s">
        <v>827</v>
      </c>
      <c r="F306" s="2" t="s">
        <v>819</v>
      </c>
      <c r="G306" s="2" t="s">
        <v>1038</v>
      </c>
      <c r="H306" s="2" t="s">
        <v>833</v>
      </c>
      <c r="I306" s="2" t="s">
        <v>1795</v>
      </c>
      <c r="J306" s="2" t="s">
        <v>34</v>
      </c>
      <c r="K306" s="2" t="s">
        <v>38</v>
      </c>
      <c r="L306" s="2" t="s">
        <v>11</v>
      </c>
      <c r="M306" s="2" t="s">
        <v>14</v>
      </c>
      <c r="N306" s="2" t="s">
        <v>20</v>
      </c>
      <c r="O306" s="2">
        <v>0</v>
      </c>
      <c r="P306" s="2" t="s">
        <v>22</v>
      </c>
      <c r="Q306" s="2" t="s">
        <v>28</v>
      </c>
      <c r="T306" s="2" t="s">
        <v>51</v>
      </c>
      <c r="U306" s="2" t="s">
        <v>371</v>
      </c>
      <c r="W306" s="2" t="s">
        <v>832</v>
      </c>
      <c r="X306" s="2">
        <v>28</v>
      </c>
      <c r="Y306" s="2">
        <v>28</v>
      </c>
      <c r="AB306" s="4"/>
      <c r="AC306" s="4"/>
      <c r="AE306" s="4"/>
      <c r="AH306" s="2" t="s">
        <v>70</v>
      </c>
      <c r="AK306" s="2">
        <v>0.64</v>
      </c>
      <c r="AL306" s="2">
        <v>53</v>
      </c>
      <c r="AM306" s="2">
        <v>56</v>
      </c>
      <c r="AR306" s="2" t="s">
        <v>849</v>
      </c>
      <c r="AS306" s="2" t="s">
        <v>849</v>
      </c>
      <c r="AU306" s="2" t="s">
        <v>1818</v>
      </c>
      <c r="AV306" s="2" t="s">
        <v>1830</v>
      </c>
      <c r="AW306" s="2" t="s">
        <v>1834</v>
      </c>
      <c r="AX306" s="2" t="s">
        <v>1821</v>
      </c>
      <c r="AY306" s="2" t="s">
        <v>79</v>
      </c>
    </row>
    <row r="307" spans="1:51" x14ac:dyDescent="0.2">
      <c r="A307" s="2" t="s">
        <v>828</v>
      </c>
      <c r="B307" s="2" t="s">
        <v>829</v>
      </c>
      <c r="C307" s="2" t="s">
        <v>830</v>
      </c>
      <c r="D307" s="2">
        <v>2018</v>
      </c>
      <c r="E307" s="2" t="s">
        <v>827</v>
      </c>
      <c r="F307" s="2" t="s">
        <v>819</v>
      </c>
      <c r="G307" s="2" t="s">
        <v>1038</v>
      </c>
      <c r="H307" s="2" t="s">
        <v>834</v>
      </c>
      <c r="I307" s="2" t="s">
        <v>1795</v>
      </c>
      <c r="J307" s="2" t="s">
        <v>34</v>
      </c>
      <c r="K307" s="2" t="s">
        <v>38</v>
      </c>
      <c r="L307" s="2" t="s">
        <v>11</v>
      </c>
      <c r="M307" s="2" t="s">
        <v>14</v>
      </c>
      <c r="N307" s="2" t="s">
        <v>20</v>
      </c>
      <c r="O307" s="2">
        <v>0</v>
      </c>
      <c r="P307" s="2" t="s">
        <v>22</v>
      </c>
      <c r="Q307" s="2" t="s">
        <v>28</v>
      </c>
      <c r="T307" s="2" t="s">
        <v>51</v>
      </c>
      <c r="U307" s="2" t="s">
        <v>371</v>
      </c>
      <c r="W307" s="2" t="s">
        <v>832</v>
      </c>
      <c r="X307" s="2">
        <v>28</v>
      </c>
      <c r="Y307" s="2">
        <v>28</v>
      </c>
      <c r="AB307" s="4"/>
      <c r="AC307" s="4"/>
      <c r="AE307" s="4"/>
      <c r="AH307" s="2" t="s">
        <v>70</v>
      </c>
      <c r="AK307" s="2">
        <v>-0.1</v>
      </c>
      <c r="AL307" s="2">
        <v>53</v>
      </c>
      <c r="AM307" s="2">
        <v>56</v>
      </c>
      <c r="AR307" s="2" t="s">
        <v>849</v>
      </c>
      <c r="AS307" s="2" t="s">
        <v>849</v>
      </c>
      <c r="AU307" s="2" t="s">
        <v>1818</v>
      </c>
      <c r="AV307" s="2" t="s">
        <v>1830</v>
      </c>
      <c r="AW307" s="2" t="s">
        <v>1834</v>
      </c>
      <c r="AX307" s="2" t="s">
        <v>1821</v>
      </c>
      <c r="AY307" s="2" t="s">
        <v>79</v>
      </c>
    </row>
    <row r="308" spans="1:51" x14ac:dyDescent="0.2">
      <c r="A308" s="2" t="s">
        <v>828</v>
      </c>
      <c r="B308" s="2" t="s">
        <v>829</v>
      </c>
      <c r="C308" s="2" t="s">
        <v>830</v>
      </c>
      <c r="D308" s="2">
        <v>2018</v>
      </c>
      <c r="E308" s="2" t="s">
        <v>827</v>
      </c>
      <c r="F308" s="2" t="s">
        <v>819</v>
      </c>
      <c r="G308" s="2" t="s">
        <v>1038</v>
      </c>
      <c r="H308" s="2" t="s">
        <v>835</v>
      </c>
      <c r="I308" s="2" t="s">
        <v>1795</v>
      </c>
      <c r="J308" s="2" t="s">
        <v>34</v>
      </c>
      <c r="K308" s="2" t="s">
        <v>38</v>
      </c>
      <c r="L308" s="2" t="s">
        <v>11</v>
      </c>
      <c r="M308" s="2" t="s">
        <v>14</v>
      </c>
      <c r="N308" s="2" t="s">
        <v>20</v>
      </c>
      <c r="O308" s="2">
        <v>0</v>
      </c>
      <c r="P308" s="2" t="s">
        <v>22</v>
      </c>
      <c r="Q308" s="2" t="s">
        <v>28</v>
      </c>
      <c r="T308" s="2" t="s">
        <v>51</v>
      </c>
      <c r="U308" s="2" t="s">
        <v>371</v>
      </c>
      <c r="W308" s="2" t="s">
        <v>832</v>
      </c>
      <c r="X308" s="2">
        <v>28</v>
      </c>
      <c r="Y308" s="2">
        <v>28</v>
      </c>
      <c r="AB308" s="4"/>
      <c r="AC308" s="4"/>
      <c r="AE308" s="4"/>
      <c r="AH308" s="2" t="s">
        <v>70</v>
      </c>
      <c r="AK308" s="2">
        <v>0.4</v>
      </c>
      <c r="AL308" s="2">
        <v>53</v>
      </c>
      <c r="AM308" s="2">
        <v>56</v>
      </c>
      <c r="AR308" s="2" t="s">
        <v>849</v>
      </c>
      <c r="AS308" s="2" t="s">
        <v>849</v>
      </c>
      <c r="AU308" s="2" t="s">
        <v>1818</v>
      </c>
      <c r="AV308" s="2" t="s">
        <v>1830</v>
      </c>
      <c r="AW308" s="2" t="s">
        <v>1834</v>
      </c>
      <c r="AX308" s="2" t="s">
        <v>1821</v>
      </c>
      <c r="AY308" s="2" t="s">
        <v>79</v>
      </c>
    </row>
    <row r="309" spans="1:51" x14ac:dyDescent="0.2">
      <c r="A309" s="2" t="s">
        <v>828</v>
      </c>
      <c r="B309" s="2" t="s">
        <v>829</v>
      </c>
      <c r="C309" s="2" t="s">
        <v>830</v>
      </c>
      <c r="D309" s="2">
        <v>2018</v>
      </c>
      <c r="E309" s="2" t="s">
        <v>827</v>
      </c>
      <c r="F309" s="2" t="s">
        <v>820</v>
      </c>
      <c r="G309" s="2" t="s">
        <v>1039</v>
      </c>
      <c r="H309" s="2" t="s">
        <v>836</v>
      </c>
      <c r="I309" s="2" t="s">
        <v>1795</v>
      </c>
      <c r="J309" s="2" t="s">
        <v>34</v>
      </c>
      <c r="K309" s="2" t="s">
        <v>38</v>
      </c>
      <c r="L309" s="2" t="s">
        <v>11</v>
      </c>
      <c r="M309" s="2" t="s">
        <v>14</v>
      </c>
      <c r="N309" s="2" t="s">
        <v>20</v>
      </c>
      <c r="O309" s="2">
        <v>0</v>
      </c>
      <c r="P309" s="2" t="s">
        <v>22</v>
      </c>
      <c r="Q309" s="2" t="s">
        <v>28</v>
      </c>
      <c r="T309" s="2" t="s">
        <v>51</v>
      </c>
      <c r="U309" s="2" t="s">
        <v>371</v>
      </c>
      <c r="W309" s="2" t="s">
        <v>832</v>
      </c>
      <c r="X309" s="2">
        <v>31.5</v>
      </c>
      <c r="Y309" s="2">
        <v>31.5</v>
      </c>
      <c r="AB309" s="4"/>
      <c r="AC309" s="4"/>
      <c r="AE309" s="4"/>
      <c r="AH309" s="2" t="s">
        <v>70</v>
      </c>
      <c r="AK309" s="2">
        <v>1.39</v>
      </c>
      <c r="AL309" s="2">
        <v>60</v>
      </c>
      <c r="AM309" s="2">
        <v>63</v>
      </c>
      <c r="AR309" s="2" t="s">
        <v>849</v>
      </c>
      <c r="AS309" s="2" t="s">
        <v>849</v>
      </c>
      <c r="AU309" s="2" t="s">
        <v>1818</v>
      </c>
      <c r="AV309" s="2" t="s">
        <v>1830</v>
      </c>
      <c r="AW309" s="2" t="s">
        <v>1834</v>
      </c>
      <c r="AX309" s="2" t="s">
        <v>1821</v>
      </c>
      <c r="AY309" s="2" t="s">
        <v>79</v>
      </c>
    </row>
    <row r="310" spans="1:51" x14ac:dyDescent="0.2">
      <c r="A310" s="2" t="s">
        <v>828</v>
      </c>
      <c r="B310" s="2" t="s">
        <v>829</v>
      </c>
      <c r="C310" s="2" t="s">
        <v>830</v>
      </c>
      <c r="D310" s="2">
        <v>2018</v>
      </c>
      <c r="E310" s="2" t="s">
        <v>827</v>
      </c>
      <c r="F310" s="2" t="s">
        <v>820</v>
      </c>
      <c r="G310" s="2" t="s">
        <v>1039</v>
      </c>
      <c r="H310" s="2" t="s">
        <v>837</v>
      </c>
      <c r="I310" s="2" t="s">
        <v>1795</v>
      </c>
      <c r="J310" s="2" t="s">
        <v>34</v>
      </c>
      <c r="K310" s="2" t="s">
        <v>38</v>
      </c>
      <c r="L310" s="2" t="s">
        <v>11</v>
      </c>
      <c r="M310" s="2" t="s">
        <v>14</v>
      </c>
      <c r="N310" s="2" t="s">
        <v>20</v>
      </c>
      <c r="O310" s="2">
        <v>0</v>
      </c>
      <c r="P310" s="2" t="s">
        <v>22</v>
      </c>
      <c r="Q310" s="2" t="s">
        <v>28</v>
      </c>
      <c r="T310" s="2" t="s">
        <v>51</v>
      </c>
      <c r="U310" s="2" t="s">
        <v>371</v>
      </c>
      <c r="W310" s="2" t="s">
        <v>832</v>
      </c>
      <c r="X310" s="2">
        <v>34.5</v>
      </c>
      <c r="Y310" s="2">
        <v>34.5</v>
      </c>
      <c r="AB310" s="4"/>
      <c r="AC310" s="4"/>
      <c r="AE310" s="4"/>
      <c r="AH310" s="2" t="s">
        <v>70</v>
      </c>
      <c r="AK310" s="2">
        <v>0.53</v>
      </c>
      <c r="AL310" s="2">
        <v>66</v>
      </c>
      <c r="AM310" s="2">
        <v>69</v>
      </c>
      <c r="AR310" s="2" t="s">
        <v>849</v>
      </c>
      <c r="AS310" s="2" t="s">
        <v>849</v>
      </c>
      <c r="AU310" s="2" t="s">
        <v>1818</v>
      </c>
      <c r="AV310" s="2" t="s">
        <v>1830</v>
      </c>
      <c r="AW310" s="2" t="s">
        <v>1834</v>
      </c>
      <c r="AX310" s="2" t="s">
        <v>1821</v>
      </c>
      <c r="AY310" s="2" t="s">
        <v>79</v>
      </c>
    </row>
    <row r="311" spans="1:51" x14ac:dyDescent="0.2">
      <c r="A311" s="2" t="s">
        <v>828</v>
      </c>
      <c r="B311" s="2" t="s">
        <v>829</v>
      </c>
      <c r="C311" s="2" t="s">
        <v>830</v>
      </c>
      <c r="D311" s="2">
        <v>2018</v>
      </c>
      <c r="E311" s="2" t="s">
        <v>827</v>
      </c>
      <c r="F311" s="2" t="s">
        <v>820</v>
      </c>
      <c r="G311" s="2" t="s">
        <v>1039</v>
      </c>
      <c r="H311" s="2" t="s">
        <v>838</v>
      </c>
      <c r="I311" s="2" t="s">
        <v>1795</v>
      </c>
      <c r="J311" s="2" t="s">
        <v>34</v>
      </c>
      <c r="K311" s="2" t="s">
        <v>38</v>
      </c>
      <c r="L311" s="2" t="s">
        <v>11</v>
      </c>
      <c r="M311" s="2" t="s">
        <v>14</v>
      </c>
      <c r="N311" s="2" t="s">
        <v>20</v>
      </c>
      <c r="O311" s="2">
        <v>0</v>
      </c>
      <c r="P311" s="2" t="s">
        <v>22</v>
      </c>
      <c r="Q311" s="2" t="s">
        <v>28</v>
      </c>
      <c r="T311" s="2" t="s">
        <v>51</v>
      </c>
      <c r="U311" s="2" t="s">
        <v>371</v>
      </c>
      <c r="W311" s="2" t="s">
        <v>832</v>
      </c>
      <c r="X311" s="2">
        <v>34.5</v>
      </c>
      <c r="Y311" s="2">
        <v>34.5</v>
      </c>
      <c r="AB311" s="4"/>
      <c r="AC311" s="4"/>
      <c r="AD311" s="4"/>
      <c r="AE311" s="4"/>
      <c r="AH311" s="2" t="s">
        <v>70</v>
      </c>
      <c r="AK311" s="2">
        <v>1.51</v>
      </c>
      <c r="AL311" s="2">
        <v>66</v>
      </c>
      <c r="AM311" s="2">
        <v>69</v>
      </c>
      <c r="AR311" s="2" t="s">
        <v>849</v>
      </c>
      <c r="AS311" s="2" t="s">
        <v>849</v>
      </c>
      <c r="AU311" s="2" t="s">
        <v>1818</v>
      </c>
      <c r="AV311" s="2" t="s">
        <v>1830</v>
      </c>
      <c r="AW311" s="2" t="s">
        <v>1834</v>
      </c>
      <c r="AX311" s="2" t="s">
        <v>1821</v>
      </c>
      <c r="AY311" s="2" t="s">
        <v>79</v>
      </c>
    </row>
    <row r="312" spans="1:51" x14ac:dyDescent="0.2">
      <c r="A312" s="2" t="s">
        <v>828</v>
      </c>
      <c r="B312" s="2" t="s">
        <v>829</v>
      </c>
      <c r="C312" s="2" t="s">
        <v>830</v>
      </c>
      <c r="D312" s="2">
        <v>2018</v>
      </c>
      <c r="E312" s="2" t="s">
        <v>827</v>
      </c>
      <c r="F312" s="2" t="s">
        <v>820</v>
      </c>
      <c r="G312" s="2" t="s">
        <v>1039</v>
      </c>
      <c r="H312" s="2" t="s">
        <v>839</v>
      </c>
      <c r="I312" s="2" t="s">
        <v>1795</v>
      </c>
      <c r="J312" s="2" t="s">
        <v>34</v>
      </c>
      <c r="K312" s="2" t="s">
        <v>38</v>
      </c>
      <c r="L312" s="2" t="s">
        <v>11</v>
      </c>
      <c r="M312" s="2" t="s">
        <v>14</v>
      </c>
      <c r="N312" s="2" t="s">
        <v>20</v>
      </c>
      <c r="O312" s="2">
        <v>0</v>
      </c>
      <c r="P312" s="2" t="s">
        <v>22</v>
      </c>
      <c r="Q312" s="2" t="s">
        <v>28</v>
      </c>
      <c r="T312" s="2" t="s">
        <v>51</v>
      </c>
      <c r="U312" s="2" t="s">
        <v>371</v>
      </c>
      <c r="W312" s="2" t="s">
        <v>832</v>
      </c>
      <c r="X312" s="2">
        <v>34.5</v>
      </c>
      <c r="Y312" s="2">
        <v>34.5</v>
      </c>
      <c r="AB312" s="4"/>
      <c r="AC312" s="4"/>
      <c r="AD312" s="4"/>
      <c r="AE312" s="4"/>
      <c r="AH312" s="2" t="s">
        <v>70</v>
      </c>
      <c r="AK312" s="2">
        <v>1</v>
      </c>
      <c r="AL312" s="2">
        <v>66</v>
      </c>
      <c r="AM312" s="2">
        <v>69</v>
      </c>
      <c r="AR312" s="2" t="s">
        <v>849</v>
      </c>
      <c r="AS312" s="2" t="s">
        <v>849</v>
      </c>
      <c r="AU312" s="2" t="s">
        <v>1818</v>
      </c>
      <c r="AV312" s="2" t="s">
        <v>1830</v>
      </c>
      <c r="AW312" s="2" t="s">
        <v>1834</v>
      </c>
      <c r="AX312" s="2" t="s">
        <v>1821</v>
      </c>
      <c r="AY312" s="2" t="s">
        <v>79</v>
      </c>
    </row>
    <row r="313" spans="1:51" x14ac:dyDescent="0.2">
      <c r="A313" s="2" t="s">
        <v>828</v>
      </c>
      <c r="B313" s="2" t="s">
        <v>829</v>
      </c>
      <c r="C313" s="2" t="s">
        <v>830</v>
      </c>
      <c r="D313" s="2">
        <v>2018</v>
      </c>
      <c r="E313" s="2" t="s">
        <v>827</v>
      </c>
      <c r="F313" s="2" t="s">
        <v>820</v>
      </c>
      <c r="G313" s="2" t="s">
        <v>1039</v>
      </c>
      <c r="H313" s="2" t="s">
        <v>840</v>
      </c>
      <c r="I313" s="2" t="s">
        <v>1795</v>
      </c>
      <c r="J313" s="2" t="s">
        <v>34</v>
      </c>
      <c r="K313" s="2" t="s">
        <v>38</v>
      </c>
      <c r="L313" s="2" t="s">
        <v>11</v>
      </c>
      <c r="M313" s="2" t="s">
        <v>14</v>
      </c>
      <c r="N313" s="2" t="s">
        <v>20</v>
      </c>
      <c r="O313" s="2">
        <v>0</v>
      </c>
      <c r="P313" s="2" t="s">
        <v>22</v>
      </c>
      <c r="Q313" s="2" t="s">
        <v>27</v>
      </c>
      <c r="T313" s="2" t="s">
        <v>51</v>
      </c>
      <c r="U313" s="2" t="s">
        <v>371</v>
      </c>
      <c r="W313" s="2" t="s">
        <v>832</v>
      </c>
      <c r="X313" s="2">
        <v>28.5</v>
      </c>
      <c r="Y313" s="2">
        <v>28.5</v>
      </c>
      <c r="AB313" s="4"/>
      <c r="AC313" s="4"/>
      <c r="AD313" s="4"/>
      <c r="AE313" s="4"/>
      <c r="AH313" s="2" t="s">
        <v>70</v>
      </c>
      <c r="AK313" s="2">
        <v>1.54</v>
      </c>
      <c r="AL313" s="2">
        <v>54</v>
      </c>
      <c r="AM313" s="2">
        <v>57</v>
      </c>
      <c r="AR313" s="2" t="s">
        <v>849</v>
      </c>
      <c r="AS313" s="2" t="s">
        <v>849</v>
      </c>
      <c r="AU313" s="2" t="s">
        <v>1818</v>
      </c>
      <c r="AV313" s="2" t="s">
        <v>1830</v>
      </c>
      <c r="AW313" s="2" t="s">
        <v>1834</v>
      </c>
      <c r="AX313" s="2" t="s">
        <v>1821</v>
      </c>
      <c r="AY313" s="2" t="s">
        <v>79</v>
      </c>
    </row>
    <row r="314" spans="1:51" x14ac:dyDescent="0.2">
      <c r="A314" s="2" t="s">
        <v>828</v>
      </c>
      <c r="B314" s="2" t="s">
        <v>829</v>
      </c>
      <c r="C314" s="2" t="s">
        <v>830</v>
      </c>
      <c r="D314" s="2">
        <v>2018</v>
      </c>
      <c r="E314" s="2" t="s">
        <v>827</v>
      </c>
      <c r="F314" s="2" t="s">
        <v>820</v>
      </c>
      <c r="G314" s="2" t="s">
        <v>1039</v>
      </c>
      <c r="H314" s="2" t="s">
        <v>841</v>
      </c>
      <c r="I314" s="2" t="s">
        <v>1795</v>
      </c>
      <c r="J314" s="2" t="s">
        <v>34</v>
      </c>
      <c r="K314" s="2" t="s">
        <v>38</v>
      </c>
      <c r="L314" s="2" t="s">
        <v>11</v>
      </c>
      <c r="M314" s="2" t="s">
        <v>14</v>
      </c>
      <c r="N314" s="2" t="s">
        <v>20</v>
      </c>
      <c r="O314" s="2">
        <v>0</v>
      </c>
      <c r="P314" s="2" t="s">
        <v>22</v>
      </c>
      <c r="Q314" s="2" t="s">
        <v>27</v>
      </c>
      <c r="T314" s="2" t="s">
        <v>51</v>
      </c>
      <c r="U314" s="2" t="s">
        <v>371</v>
      </c>
      <c r="W314" s="2" t="s">
        <v>832</v>
      </c>
      <c r="X314" s="2">
        <v>12</v>
      </c>
      <c r="Y314" s="2">
        <v>12</v>
      </c>
      <c r="AB314" s="4"/>
      <c r="AC314" s="4"/>
      <c r="AD314" s="4"/>
      <c r="AE314" s="4"/>
      <c r="AH314" s="2" t="s">
        <v>70</v>
      </c>
      <c r="AK314" s="2">
        <v>0.7</v>
      </c>
      <c r="AL314" s="2">
        <v>21</v>
      </c>
      <c r="AM314" s="2">
        <v>24</v>
      </c>
      <c r="AR314" s="2" t="s">
        <v>849</v>
      </c>
      <c r="AS314" s="2" t="s">
        <v>849</v>
      </c>
      <c r="AU314" s="2" t="s">
        <v>1818</v>
      </c>
      <c r="AV314" s="2" t="s">
        <v>1830</v>
      </c>
      <c r="AW314" s="2" t="s">
        <v>1834</v>
      </c>
      <c r="AX314" s="2" t="s">
        <v>1821</v>
      </c>
      <c r="AY314" s="2" t="s">
        <v>79</v>
      </c>
    </row>
    <row r="315" spans="1:51" x14ac:dyDescent="0.2">
      <c r="A315" s="2" t="s">
        <v>828</v>
      </c>
      <c r="B315" s="2" t="s">
        <v>829</v>
      </c>
      <c r="C315" s="2" t="s">
        <v>830</v>
      </c>
      <c r="D315" s="2">
        <v>2018</v>
      </c>
      <c r="E315" s="2" t="s">
        <v>827</v>
      </c>
      <c r="F315" s="2" t="s">
        <v>820</v>
      </c>
      <c r="G315" s="2" t="s">
        <v>1039</v>
      </c>
      <c r="H315" s="2" t="s">
        <v>842</v>
      </c>
      <c r="I315" s="2" t="s">
        <v>1795</v>
      </c>
      <c r="J315" s="2" t="s">
        <v>34</v>
      </c>
      <c r="K315" s="2" t="s">
        <v>38</v>
      </c>
      <c r="L315" s="2" t="s">
        <v>11</v>
      </c>
      <c r="M315" s="2" t="s">
        <v>14</v>
      </c>
      <c r="N315" s="2" t="s">
        <v>20</v>
      </c>
      <c r="O315" s="2">
        <v>0</v>
      </c>
      <c r="P315" s="2" t="s">
        <v>22</v>
      </c>
      <c r="Q315" s="2" t="s">
        <v>27</v>
      </c>
      <c r="T315" s="2" t="s">
        <v>51</v>
      </c>
      <c r="U315" s="2" t="s">
        <v>371</v>
      </c>
      <c r="W315" s="2" t="s">
        <v>832</v>
      </c>
      <c r="X315" s="2">
        <v>11.5</v>
      </c>
      <c r="Y315" s="2">
        <v>11.5</v>
      </c>
      <c r="AB315" s="4"/>
      <c r="AC315" s="4"/>
      <c r="AD315" s="4"/>
      <c r="AE315" s="4"/>
      <c r="AH315" s="2" t="s">
        <v>70</v>
      </c>
      <c r="AK315" s="2">
        <v>0.48</v>
      </c>
      <c r="AL315" s="2">
        <v>20</v>
      </c>
      <c r="AM315" s="2">
        <v>23</v>
      </c>
      <c r="AR315" s="2" t="s">
        <v>849</v>
      </c>
      <c r="AS315" s="2" t="s">
        <v>849</v>
      </c>
      <c r="AU315" s="2" t="s">
        <v>1818</v>
      </c>
      <c r="AV315" s="2" t="s">
        <v>1830</v>
      </c>
      <c r="AW315" s="2" t="s">
        <v>1834</v>
      </c>
      <c r="AX315" s="2" t="s">
        <v>1821</v>
      </c>
      <c r="AY315" s="2" t="s">
        <v>79</v>
      </c>
    </row>
    <row r="316" spans="1:51" x14ac:dyDescent="0.2">
      <c r="A316" s="2" t="s">
        <v>824</v>
      </c>
      <c r="B316" s="2" t="s">
        <v>825</v>
      </c>
      <c r="C316" s="2" t="s">
        <v>826</v>
      </c>
      <c r="D316" s="2">
        <v>2015</v>
      </c>
      <c r="E316" s="2" t="s">
        <v>1281</v>
      </c>
      <c r="F316" s="2" t="s">
        <v>843</v>
      </c>
      <c r="G316" s="2" t="s">
        <v>1040</v>
      </c>
      <c r="H316" s="2" t="s">
        <v>844</v>
      </c>
      <c r="I316" s="2" t="s">
        <v>440</v>
      </c>
      <c r="J316" s="2" t="s">
        <v>34</v>
      </c>
      <c r="K316" s="2" t="s">
        <v>38</v>
      </c>
      <c r="L316" s="2" t="s">
        <v>11</v>
      </c>
      <c r="M316" s="2" t="s">
        <v>14</v>
      </c>
      <c r="N316" s="2" t="s">
        <v>18</v>
      </c>
      <c r="O316" s="2">
        <v>0</v>
      </c>
      <c r="P316" s="2" t="s">
        <v>22</v>
      </c>
      <c r="Q316" s="2" t="s">
        <v>81</v>
      </c>
      <c r="T316" s="2" t="s">
        <v>50</v>
      </c>
      <c r="U316" s="2" t="s">
        <v>54</v>
      </c>
      <c r="V316" s="2">
        <v>1874</v>
      </c>
      <c r="X316" s="2">
        <v>84</v>
      </c>
      <c r="Y316" s="2">
        <v>77</v>
      </c>
      <c r="Z316" s="2">
        <v>65</v>
      </c>
      <c r="AA316" s="2">
        <v>61</v>
      </c>
      <c r="AB316" s="4"/>
      <c r="AC316" s="4"/>
      <c r="AD316" s="4"/>
      <c r="AE316" s="4"/>
      <c r="AH316" s="2" t="s">
        <v>1804</v>
      </c>
      <c r="AR316" s="2" t="s">
        <v>849</v>
      </c>
      <c r="AS316" s="2" t="s">
        <v>849</v>
      </c>
      <c r="AU316" s="2" t="s">
        <v>1818</v>
      </c>
      <c r="AV316" s="2" t="s">
        <v>1830</v>
      </c>
      <c r="AW316" s="2" t="s">
        <v>1820</v>
      </c>
      <c r="AX316" s="2" t="s">
        <v>1821</v>
      </c>
      <c r="AY316" s="2" t="s">
        <v>79</v>
      </c>
    </row>
    <row r="317" spans="1:51" x14ac:dyDescent="0.2">
      <c r="A317" s="2" t="s">
        <v>824</v>
      </c>
      <c r="B317" s="2" t="s">
        <v>825</v>
      </c>
      <c r="C317" s="2" t="s">
        <v>826</v>
      </c>
      <c r="D317" s="2">
        <v>2015</v>
      </c>
      <c r="E317" s="2" t="s">
        <v>1281</v>
      </c>
      <c r="F317" s="2" t="s">
        <v>843</v>
      </c>
      <c r="G317" s="2" t="s">
        <v>1040</v>
      </c>
      <c r="H317" s="2" t="s">
        <v>845</v>
      </c>
      <c r="I317" s="2" t="s">
        <v>440</v>
      </c>
      <c r="J317" s="2" t="s">
        <v>34</v>
      </c>
      <c r="K317" s="2" t="s">
        <v>38</v>
      </c>
      <c r="L317" s="2" t="s">
        <v>11</v>
      </c>
      <c r="M317" s="2" t="s">
        <v>14</v>
      </c>
      <c r="N317" s="2" t="s">
        <v>18</v>
      </c>
      <c r="O317" s="2">
        <v>0</v>
      </c>
      <c r="P317" s="2" t="s">
        <v>22</v>
      </c>
      <c r="Q317" s="2" t="s">
        <v>81</v>
      </c>
      <c r="T317" s="2" t="s">
        <v>50</v>
      </c>
      <c r="U317" s="2" t="s">
        <v>54</v>
      </c>
      <c r="V317" s="2">
        <v>1874</v>
      </c>
      <c r="X317" s="2">
        <v>65</v>
      </c>
      <c r="Y317" s="2">
        <v>61</v>
      </c>
      <c r="Z317" s="2">
        <v>53</v>
      </c>
      <c r="AA317" s="2">
        <v>42</v>
      </c>
      <c r="AB317" s="4"/>
      <c r="AC317" s="4"/>
      <c r="AD317" s="4"/>
      <c r="AE317" s="4"/>
      <c r="AH317" s="2" t="s">
        <v>1804</v>
      </c>
      <c r="AR317" s="2" t="s">
        <v>849</v>
      </c>
      <c r="AS317" s="2" t="s">
        <v>849</v>
      </c>
      <c r="AU317" s="2" t="s">
        <v>1818</v>
      </c>
      <c r="AV317" s="2" t="s">
        <v>1830</v>
      </c>
      <c r="AW317" s="2" t="s">
        <v>1820</v>
      </c>
      <c r="AX317" s="2" t="s">
        <v>1821</v>
      </c>
      <c r="AY317" s="2" t="s">
        <v>79</v>
      </c>
    </row>
    <row r="318" spans="1:51" x14ac:dyDescent="0.2">
      <c r="A318" s="2" t="s">
        <v>824</v>
      </c>
      <c r="B318" s="2" t="s">
        <v>825</v>
      </c>
      <c r="C318" s="2" t="s">
        <v>826</v>
      </c>
      <c r="D318" s="2">
        <v>2015</v>
      </c>
      <c r="E318" s="2" t="s">
        <v>1281</v>
      </c>
      <c r="F318" s="2" t="s">
        <v>843</v>
      </c>
      <c r="G318" s="2" t="s">
        <v>1040</v>
      </c>
      <c r="H318" s="2" t="s">
        <v>846</v>
      </c>
      <c r="I318" s="2" t="s">
        <v>440</v>
      </c>
      <c r="J318" s="2" t="s">
        <v>34</v>
      </c>
      <c r="K318" s="2" t="s">
        <v>38</v>
      </c>
      <c r="L318" s="2" t="s">
        <v>11</v>
      </c>
      <c r="M318" s="2" t="s">
        <v>14</v>
      </c>
      <c r="N318" s="2" t="s">
        <v>18</v>
      </c>
      <c r="O318" s="2">
        <v>0</v>
      </c>
      <c r="P318" s="2" t="s">
        <v>23</v>
      </c>
      <c r="Q318" s="2" t="s">
        <v>81</v>
      </c>
      <c r="T318" s="2" t="s">
        <v>50</v>
      </c>
      <c r="U318" s="2" t="s">
        <v>371</v>
      </c>
      <c r="X318" s="2">
        <v>64</v>
      </c>
      <c r="Y318" s="2">
        <v>56</v>
      </c>
      <c r="AB318" s="2">
        <v>0.88353593750000015</v>
      </c>
      <c r="AC318" s="2">
        <v>0.26132668988590868</v>
      </c>
      <c r="AD318" s="4">
        <v>0.93515000000000026</v>
      </c>
      <c r="AE318" s="2">
        <v>0.28631030400915969</v>
      </c>
      <c r="AF318" s="2" t="s">
        <v>74</v>
      </c>
      <c r="AG318" s="2" t="s">
        <v>64</v>
      </c>
      <c r="AH318" s="2" t="str">
        <f>IF(AF318="mean", "mean", "")</f>
        <v>mean</v>
      </c>
      <c r="AR318" s="2" t="s">
        <v>849</v>
      </c>
      <c r="AS318" s="2" t="s">
        <v>849</v>
      </c>
      <c r="AU318" s="2" t="s">
        <v>1818</v>
      </c>
      <c r="AV318" s="2" t="s">
        <v>1830</v>
      </c>
      <c r="AW318" s="2" t="s">
        <v>1820</v>
      </c>
      <c r="AX318" s="2" t="s">
        <v>1821</v>
      </c>
      <c r="AY318" s="2" t="s">
        <v>79</v>
      </c>
    </row>
    <row r="319" spans="1:51" x14ac:dyDescent="0.2">
      <c r="A319" s="2" t="s">
        <v>824</v>
      </c>
      <c r="B319" s="2" t="s">
        <v>825</v>
      </c>
      <c r="C319" s="2" t="s">
        <v>826</v>
      </c>
      <c r="D319" s="2">
        <v>2015</v>
      </c>
      <c r="E319" s="2" t="s">
        <v>1281</v>
      </c>
      <c r="F319" s="2" t="s">
        <v>843</v>
      </c>
      <c r="G319" s="2" t="s">
        <v>1041</v>
      </c>
      <c r="H319" s="2" t="s">
        <v>847</v>
      </c>
      <c r="I319" s="2" t="s">
        <v>440</v>
      </c>
      <c r="J319" s="2" t="s">
        <v>34</v>
      </c>
      <c r="K319" s="2" t="s">
        <v>38</v>
      </c>
      <c r="L319" s="2" t="s">
        <v>11</v>
      </c>
      <c r="M319" s="2" t="s">
        <v>14</v>
      </c>
      <c r="N319" s="2" t="s">
        <v>18</v>
      </c>
      <c r="O319" s="2">
        <v>0</v>
      </c>
      <c r="P319" s="2" t="s">
        <v>23</v>
      </c>
      <c r="Q319" s="2" t="s">
        <v>26</v>
      </c>
      <c r="T319" s="2" t="s">
        <v>50</v>
      </c>
      <c r="U319" s="2" t="s">
        <v>371</v>
      </c>
      <c r="X319" s="2">
        <v>64</v>
      </c>
      <c r="Y319" s="2">
        <v>56</v>
      </c>
      <c r="AB319" s="5">
        <v>8.5030444843749824E-3</v>
      </c>
      <c r="AC319" s="2">
        <v>0.94714871076569529</v>
      </c>
      <c r="AD319" s="4">
        <v>9.3108593089285721E-2</v>
      </c>
      <c r="AE319" s="2">
        <v>1.0223295221663316</v>
      </c>
      <c r="AF319" s="2" t="s">
        <v>74</v>
      </c>
      <c r="AG319" s="2" t="s">
        <v>64</v>
      </c>
      <c r="AH319" s="2" t="str">
        <f>IF(AF319="mean", "mean", "")</f>
        <v>mean</v>
      </c>
      <c r="AR319" s="2" t="s">
        <v>849</v>
      </c>
      <c r="AS319" s="2" t="s">
        <v>849</v>
      </c>
      <c r="AU319" s="2" t="s">
        <v>1818</v>
      </c>
      <c r="AV319" s="2" t="s">
        <v>1830</v>
      </c>
      <c r="AW319" s="2" t="s">
        <v>1820</v>
      </c>
      <c r="AX319" s="2" t="s">
        <v>1821</v>
      </c>
      <c r="AY319" s="2" t="s">
        <v>79</v>
      </c>
    </row>
    <row r="320" spans="1:51" x14ac:dyDescent="0.2">
      <c r="A320" s="2" t="s">
        <v>824</v>
      </c>
      <c r="B320" s="2" t="s">
        <v>825</v>
      </c>
      <c r="C320" s="2" t="s">
        <v>826</v>
      </c>
      <c r="D320" s="2">
        <v>2015</v>
      </c>
      <c r="E320" s="2" t="s">
        <v>1281</v>
      </c>
      <c r="F320" s="2" t="s">
        <v>843</v>
      </c>
      <c r="G320" s="2" t="s">
        <v>1041</v>
      </c>
      <c r="H320" s="2" t="s">
        <v>848</v>
      </c>
      <c r="I320" s="2" t="s">
        <v>440</v>
      </c>
      <c r="J320" s="2" t="s">
        <v>34</v>
      </c>
      <c r="K320" s="2" t="s">
        <v>38</v>
      </c>
      <c r="L320" s="2" t="s">
        <v>11</v>
      </c>
      <c r="M320" s="2" t="s">
        <v>14</v>
      </c>
      <c r="N320" s="2" t="s">
        <v>18</v>
      </c>
      <c r="O320" s="2">
        <v>0</v>
      </c>
      <c r="P320" s="2" t="s">
        <v>23</v>
      </c>
      <c r="Q320" s="2" t="s">
        <v>26</v>
      </c>
      <c r="T320" s="2" t="s">
        <v>50</v>
      </c>
      <c r="U320" s="2" t="s">
        <v>371</v>
      </c>
      <c r="X320" s="2">
        <v>64</v>
      </c>
      <c r="Y320" s="2">
        <v>56</v>
      </c>
      <c r="AB320" s="2">
        <v>9.8283546531250029E-2</v>
      </c>
      <c r="AC320" s="2">
        <v>0.91846233113781794</v>
      </c>
      <c r="AD320" s="2">
        <v>-9.0315449446428636E-2</v>
      </c>
      <c r="AE320" s="2">
        <v>0.88494964731832715</v>
      </c>
      <c r="AF320" s="2" t="s">
        <v>74</v>
      </c>
      <c r="AG320" s="2" t="s">
        <v>64</v>
      </c>
      <c r="AH320" s="2" t="str">
        <f>IF(AF320="mean", "mean", "")</f>
        <v>mean</v>
      </c>
      <c r="AR320" s="2" t="s">
        <v>849</v>
      </c>
      <c r="AS320" s="2" t="s">
        <v>849</v>
      </c>
      <c r="AU320" s="2" t="s">
        <v>1818</v>
      </c>
      <c r="AV320" s="2" t="s">
        <v>1830</v>
      </c>
      <c r="AW320" s="2" t="s">
        <v>1820</v>
      </c>
      <c r="AX320" s="2" t="s">
        <v>1821</v>
      </c>
      <c r="AY320" s="2" t="s">
        <v>79</v>
      </c>
    </row>
    <row r="321" spans="1:51" x14ac:dyDescent="0.2">
      <c r="A321" s="2" t="s">
        <v>1042</v>
      </c>
      <c r="B321" s="2" t="s">
        <v>1043</v>
      </c>
      <c r="C321" s="2" t="s">
        <v>1044</v>
      </c>
      <c r="D321" s="2">
        <v>2005</v>
      </c>
      <c r="E321" s="2" t="s">
        <v>1282</v>
      </c>
      <c r="F321" s="2" t="s">
        <v>1348</v>
      </c>
      <c r="G321" s="2" t="s">
        <v>1421</v>
      </c>
      <c r="H321" s="2" t="s">
        <v>1503</v>
      </c>
      <c r="I321" s="2" t="s">
        <v>1796</v>
      </c>
      <c r="J321" s="2" t="s">
        <v>137</v>
      </c>
      <c r="K321" s="2" t="s">
        <v>37</v>
      </c>
      <c r="P321" s="2" t="s">
        <v>22</v>
      </c>
      <c r="Q321" s="2" t="s">
        <v>30</v>
      </c>
      <c r="R321" s="2" t="s">
        <v>41</v>
      </c>
      <c r="S321" s="2" t="s">
        <v>47</v>
      </c>
      <c r="T321" s="2" t="s">
        <v>50</v>
      </c>
      <c r="U321" s="2" t="s">
        <v>53</v>
      </c>
      <c r="V321" s="2">
        <v>69</v>
      </c>
      <c r="W321" s="2">
        <v>2</v>
      </c>
      <c r="X321" s="2">
        <v>309</v>
      </c>
      <c r="Y321" s="2">
        <v>463</v>
      </c>
      <c r="Z321" s="2">
        <v>20</v>
      </c>
      <c r="AA321" s="2">
        <v>65</v>
      </c>
      <c r="AH321" s="2" t="s">
        <v>1804</v>
      </c>
      <c r="AR321" s="2" t="s">
        <v>222</v>
      </c>
      <c r="AS321" s="2" t="s">
        <v>849</v>
      </c>
      <c r="AU321" s="2" t="s">
        <v>1818</v>
      </c>
      <c r="AV321" s="2" t="s">
        <v>1822</v>
      </c>
      <c r="AW321" s="2" t="s">
        <v>1823</v>
      </c>
      <c r="AX321" s="2" t="s">
        <v>1833</v>
      </c>
      <c r="AY321" s="2" t="s">
        <v>79</v>
      </c>
    </row>
    <row r="322" spans="1:51" x14ac:dyDescent="0.2">
      <c r="A322" s="2" t="s">
        <v>1042</v>
      </c>
      <c r="B322" s="2" t="s">
        <v>1043</v>
      </c>
      <c r="C322" s="2" t="s">
        <v>1044</v>
      </c>
      <c r="D322" s="2">
        <v>2005</v>
      </c>
      <c r="E322" s="2" t="s">
        <v>1282</v>
      </c>
      <c r="F322" s="2" t="s">
        <v>1348</v>
      </c>
      <c r="G322" s="2" t="s">
        <v>1421</v>
      </c>
      <c r="H322" s="2" t="s">
        <v>1504</v>
      </c>
      <c r="I322" s="2" t="s">
        <v>1796</v>
      </c>
      <c r="J322" s="2" t="s">
        <v>137</v>
      </c>
      <c r="K322" s="2" t="s">
        <v>37</v>
      </c>
      <c r="P322" s="2" t="s">
        <v>22</v>
      </c>
      <c r="Q322" s="2" t="s">
        <v>30</v>
      </c>
      <c r="R322" s="2" t="s">
        <v>41</v>
      </c>
      <c r="S322" s="2" t="s">
        <v>48</v>
      </c>
      <c r="T322" s="2" t="s">
        <v>50</v>
      </c>
      <c r="U322" s="2" t="s">
        <v>53</v>
      </c>
      <c r="V322" s="2">
        <v>69</v>
      </c>
      <c r="W322" s="2">
        <v>2</v>
      </c>
      <c r="X322" s="2">
        <v>309</v>
      </c>
      <c r="Y322" s="2">
        <v>463</v>
      </c>
      <c r="AB322" s="2">
        <v>1.45</v>
      </c>
      <c r="AC322" s="2">
        <v>0.21</v>
      </c>
      <c r="AD322" s="2">
        <v>1.34</v>
      </c>
      <c r="AE322" s="2">
        <v>7.0000000000000007E-2</v>
      </c>
      <c r="AF322" s="2" t="s">
        <v>74</v>
      </c>
      <c r="AG322" s="2" t="s">
        <v>65</v>
      </c>
      <c r="AH322" s="2" t="str">
        <f>IF(AF322="mean", "mean", "")</f>
        <v>mean</v>
      </c>
      <c r="AR322" s="2" t="s">
        <v>222</v>
      </c>
      <c r="AS322" s="2" t="s">
        <v>849</v>
      </c>
      <c r="AU322" s="2" t="s">
        <v>1818</v>
      </c>
      <c r="AV322" s="2" t="s">
        <v>1822</v>
      </c>
      <c r="AW322" s="2" t="s">
        <v>1823</v>
      </c>
      <c r="AX322" s="2" t="s">
        <v>1833</v>
      </c>
      <c r="AY322" s="2" t="s">
        <v>79</v>
      </c>
    </row>
    <row r="323" spans="1:51" x14ac:dyDescent="0.2">
      <c r="A323" s="2" t="s">
        <v>1042</v>
      </c>
      <c r="B323" s="2" t="s">
        <v>1043</v>
      </c>
      <c r="C323" s="2" t="s">
        <v>1044</v>
      </c>
      <c r="D323" s="2">
        <v>2005</v>
      </c>
      <c r="E323" s="2" t="s">
        <v>1282</v>
      </c>
      <c r="F323" s="2" t="s">
        <v>1348</v>
      </c>
      <c r="G323" s="2" t="s">
        <v>1421</v>
      </c>
      <c r="H323" s="2" t="s">
        <v>1505</v>
      </c>
      <c r="I323" s="2" t="s">
        <v>1796</v>
      </c>
      <c r="J323" s="2" t="s">
        <v>137</v>
      </c>
      <c r="K323" s="2" t="s">
        <v>37</v>
      </c>
      <c r="P323" s="2" t="s">
        <v>22</v>
      </c>
      <c r="Q323" s="2" t="s">
        <v>30</v>
      </c>
      <c r="R323" s="2" t="s">
        <v>41</v>
      </c>
      <c r="S323" s="2" t="s">
        <v>47</v>
      </c>
      <c r="T323" s="2" t="s">
        <v>50</v>
      </c>
      <c r="U323" s="2" t="s">
        <v>53</v>
      </c>
      <c r="V323" s="2">
        <v>69</v>
      </c>
      <c r="W323" s="2">
        <v>2</v>
      </c>
      <c r="X323" s="2">
        <v>309</v>
      </c>
      <c r="Y323" s="2">
        <v>463</v>
      </c>
      <c r="Z323" s="2">
        <v>10</v>
      </c>
      <c r="AA323" s="2">
        <v>23</v>
      </c>
      <c r="AH323" s="2" t="s">
        <v>1804</v>
      </c>
      <c r="AR323" s="2" t="s">
        <v>222</v>
      </c>
      <c r="AS323" s="2" t="s">
        <v>849</v>
      </c>
      <c r="AU323" s="2" t="s">
        <v>1818</v>
      </c>
      <c r="AV323" s="2" t="s">
        <v>1822</v>
      </c>
      <c r="AW323" s="2" t="s">
        <v>1823</v>
      </c>
      <c r="AX323" s="2" t="s">
        <v>1833</v>
      </c>
      <c r="AY323" s="2" t="s">
        <v>79</v>
      </c>
    </row>
    <row r="324" spans="1:51" x14ac:dyDescent="0.2">
      <c r="A324" s="2" t="s">
        <v>1042</v>
      </c>
      <c r="B324" s="2" t="s">
        <v>1043</v>
      </c>
      <c r="C324" s="2" t="s">
        <v>1044</v>
      </c>
      <c r="D324" s="2">
        <v>2005</v>
      </c>
      <c r="E324" s="2" t="s">
        <v>1282</v>
      </c>
      <c r="F324" s="2" t="s">
        <v>1348</v>
      </c>
      <c r="G324" s="2" t="s">
        <v>1421</v>
      </c>
      <c r="H324" s="2" t="s">
        <v>1506</v>
      </c>
      <c r="I324" s="2" t="s">
        <v>1796</v>
      </c>
      <c r="J324" s="2" t="s">
        <v>137</v>
      </c>
      <c r="K324" s="2" t="s">
        <v>37</v>
      </c>
      <c r="P324" s="2" t="s">
        <v>22</v>
      </c>
      <c r="Q324" s="2" t="s">
        <v>30</v>
      </c>
      <c r="R324" s="2" t="s">
        <v>41</v>
      </c>
      <c r="S324" s="2" t="s">
        <v>48</v>
      </c>
      <c r="T324" s="2" t="s">
        <v>50</v>
      </c>
      <c r="U324" s="2" t="s">
        <v>53</v>
      </c>
      <c r="V324" s="2">
        <v>69</v>
      </c>
      <c r="W324" s="2">
        <v>2</v>
      </c>
      <c r="X324" s="2">
        <v>309</v>
      </c>
      <c r="Y324" s="2">
        <v>463</v>
      </c>
      <c r="AB324" s="2">
        <v>1.2</v>
      </c>
      <c r="AC324" s="2">
        <v>0.13</v>
      </c>
      <c r="AD324" s="2">
        <v>1.35</v>
      </c>
      <c r="AE324" s="2">
        <v>0.16</v>
      </c>
      <c r="AF324" s="2" t="s">
        <v>74</v>
      </c>
      <c r="AG324" s="2" t="s">
        <v>65</v>
      </c>
      <c r="AH324" s="2" t="str">
        <f>IF(AF324="mean", "mean", "")</f>
        <v>mean</v>
      </c>
      <c r="AR324" s="2" t="s">
        <v>222</v>
      </c>
      <c r="AS324" s="2" t="s">
        <v>849</v>
      </c>
      <c r="AU324" s="2" t="s">
        <v>1818</v>
      </c>
      <c r="AV324" s="2" t="s">
        <v>1822</v>
      </c>
      <c r="AW324" s="2" t="s">
        <v>1823</v>
      </c>
      <c r="AX324" s="2" t="s">
        <v>1833</v>
      </c>
      <c r="AY324" s="2" t="s">
        <v>79</v>
      </c>
    </row>
    <row r="325" spans="1:51" x14ac:dyDescent="0.2">
      <c r="A325" s="2" t="s">
        <v>1042</v>
      </c>
      <c r="B325" s="2" t="s">
        <v>1043</v>
      </c>
      <c r="C325" s="2" t="s">
        <v>1044</v>
      </c>
      <c r="D325" s="2">
        <v>2005</v>
      </c>
      <c r="E325" s="2" t="s">
        <v>1282</v>
      </c>
      <c r="F325" s="2" t="s">
        <v>1348</v>
      </c>
      <c r="G325" s="2" t="s">
        <v>1421</v>
      </c>
      <c r="H325" s="2" t="s">
        <v>1507</v>
      </c>
      <c r="I325" s="2" t="s">
        <v>1796</v>
      </c>
      <c r="J325" s="2" t="s">
        <v>137</v>
      </c>
      <c r="K325" s="2" t="s">
        <v>37</v>
      </c>
      <c r="P325" s="2" t="s">
        <v>22</v>
      </c>
      <c r="Q325" s="2" t="s">
        <v>30</v>
      </c>
      <c r="R325" s="2" t="s">
        <v>41</v>
      </c>
      <c r="S325" s="2" t="s">
        <v>47</v>
      </c>
      <c r="T325" s="2" t="s">
        <v>50</v>
      </c>
      <c r="U325" s="2" t="s">
        <v>53</v>
      </c>
      <c r="V325" s="2">
        <v>69</v>
      </c>
      <c r="W325" s="2">
        <v>2</v>
      </c>
      <c r="X325" s="2">
        <v>309</v>
      </c>
      <c r="Y325" s="2">
        <v>463</v>
      </c>
      <c r="Z325" s="2">
        <v>27</v>
      </c>
      <c r="AA325" s="2">
        <v>23</v>
      </c>
      <c r="AH325" s="2" t="s">
        <v>1804</v>
      </c>
      <c r="AR325" s="2" t="s">
        <v>222</v>
      </c>
      <c r="AS325" s="2" t="s">
        <v>849</v>
      </c>
      <c r="AU325" s="2" t="s">
        <v>1818</v>
      </c>
      <c r="AV325" s="2" t="s">
        <v>1822</v>
      </c>
      <c r="AW325" s="2" t="s">
        <v>1823</v>
      </c>
      <c r="AX325" s="2" t="s">
        <v>1833</v>
      </c>
      <c r="AY325" s="2" t="s">
        <v>79</v>
      </c>
    </row>
    <row r="326" spans="1:51" x14ac:dyDescent="0.2">
      <c r="A326" s="2" t="s">
        <v>1042</v>
      </c>
      <c r="B326" s="2" t="s">
        <v>1043</v>
      </c>
      <c r="C326" s="2" t="s">
        <v>1044</v>
      </c>
      <c r="D326" s="2">
        <v>2005</v>
      </c>
      <c r="E326" s="2" t="s">
        <v>1282</v>
      </c>
      <c r="F326" s="2" t="s">
        <v>1348</v>
      </c>
      <c r="G326" s="2" t="s">
        <v>1421</v>
      </c>
      <c r="H326" s="2" t="s">
        <v>1508</v>
      </c>
      <c r="I326" s="2" t="s">
        <v>1796</v>
      </c>
      <c r="J326" s="2" t="s">
        <v>137</v>
      </c>
      <c r="K326" s="2" t="s">
        <v>37</v>
      </c>
      <c r="P326" s="2" t="s">
        <v>22</v>
      </c>
      <c r="Q326" s="2" t="s">
        <v>30</v>
      </c>
      <c r="R326" s="2" t="s">
        <v>41</v>
      </c>
      <c r="S326" s="2" t="s">
        <v>48</v>
      </c>
      <c r="T326" s="2" t="s">
        <v>50</v>
      </c>
      <c r="U326" s="2" t="s">
        <v>53</v>
      </c>
      <c r="V326" s="2">
        <v>69</v>
      </c>
      <c r="W326" s="2">
        <v>2</v>
      </c>
      <c r="X326" s="2">
        <v>309</v>
      </c>
      <c r="Y326" s="2">
        <v>463</v>
      </c>
      <c r="AB326" s="2">
        <v>1.1499999999999999</v>
      </c>
      <c r="AC326" s="2">
        <v>7.0000000000000007E-2</v>
      </c>
      <c r="AD326" s="2">
        <v>1.07</v>
      </c>
      <c r="AE326" s="2">
        <v>0.05</v>
      </c>
      <c r="AF326" s="2" t="s">
        <v>74</v>
      </c>
      <c r="AG326" s="2" t="s">
        <v>65</v>
      </c>
      <c r="AH326" s="2" t="str">
        <f t="shared" ref="AH326:AH331" si="11">IF(AF326="mean", "mean", "")</f>
        <v>mean</v>
      </c>
      <c r="AR326" s="2" t="s">
        <v>222</v>
      </c>
      <c r="AS326" s="2" t="s">
        <v>849</v>
      </c>
      <c r="AU326" s="2" t="s">
        <v>1818</v>
      </c>
      <c r="AV326" s="2" t="s">
        <v>1822</v>
      </c>
      <c r="AW326" s="2" t="s">
        <v>1823</v>
      </c>
      <c r="AX326" s="2" t="s">
        <v>1833</v>
      </c>
      <c r="AY326" s="2" t="s">
        <v>79</v>
      </c>
    </row>
    <row r="327" spans="1:51" x14ac:dyDescent="0.2">
      <c r="A327" s="2" t="s">
        <v>1045</v>
      </c>
      <c r="B327" s="2" t="s">
        <v>625</v>
      </c>
      <c r="C327" s="2" t="s">
        <v>1046</v>
      </c>
      <c r="D327" s="2">
        <v>2001</v>
      </c>
      <c r="E327" s="2" t="s">
        <v>1283</v>
      </c>
      <c r="F327" s="2" t="s">
        <v>1349</v>
      </c>
      <c r="G327" s="2" t="s">
        <v>1422</v>
      </c>
      <c r="H327" s="2" t="s">
        <v>1509</v>
      </c>
      <c r="I327" s="2" t="s">
        <v>512</v>
      </c>
      <c r="J327" s="2" t="s">
        <v>86</v>
      </c>
      <c r="K327" s="2" t="s">
        <v>38</v>
      </c>
      <c r="L327" s="2" t="s">
        <v>12</v>
      </c>
      <c r="P327" s="2" t="s">
        <v>22</v>
      </c>
      <c r="Q327" s="2" t="s">
        <v>30</v>
      </c>
      <c r="R327" s="2" t="s">
        <v>41</v>
      </c>
      <c r="S327" s="2" t="s">
        <v>48</v>
      </c>
      <c r="T327" s="2" t="s">
        <v>50</v>
      </c>
      <c r="U327" s="2" t="s">
        <v>52</v>
      </c>
      <c r="V327" s="2">
        <v>7907</v>
      </c>
      <c r="W327" s="2">
        <v>2</v>
      </c>
      <c r="X327" s="2">
        <v>42</v>
      </c>
      <c r="Y327" s="2">
        <v>40</v>
      </c>
      <c r="AB327" s="2">
        <v>4.0131578947368496</v>
      </c>
      <c r="AC327" s="2">
        <v>3.3935135236024001</v>
      </c>
      <c r="AD327" s="2">
        <v>5</v>
      </c>
      <c r="AE327" s="2">
        <v>3.9486012673960702</v>
      </c>
      <c r="AF327" s="2" t="s">
        <v>74</v>
      </c>
      <c r="AG327" s="2" t="s">
        <v>64</v>
      </c>
      <c r="AH327" s="2" t="str">
        <f t="shared" si="11"/>
        <v>mean</v>
      </c>
      <c r="AR327" s="2" t="s">
        <v>222</v>
      </c>
      <c r="AS327" s="2" t="s">
        <v>849</v>
      </c>
      <c r="AU327" s="2" t="s">
        <v>1818</v>
      </c>
      <c r="AV327" s="2" t="s">
        <v>1830</v>
      </c>
      <c r="AW327" s="2" t="s">
        <v>1831</v>
      </c>
      <c r="AX327" s="2" t="s">
        <v>1829</v>
      </c>
      <c r="AY327" s="2" t="s">
        <v>79</v>
      </c>
    </row>
    <row r="328" spans="1:51" x14ac:dyDescent="0.2">
      <c r="A328" s="2" t="s">
        <v>1045</v>
      </c>
      <c r="B328" s="2" t="s">
        <v>625</v>
      </c>
      <c r="C328" s="2" t="s">
        <v>1046</v>
      </c>
      <c r="D328" s="2">
        <v>2001</v>
      </c>
      <c r="E328" s="2" t="s">
        <v>1283</v>
      </c>
      <c r="F328" s="2" t="s">
        <v>1349</v>
      </c>
      <c r="G328" s="2" t="s">
        <v>1422</v>
      </c>
      <c r="H328" s="2" t="s">
        <v>1510</v>
      </c>
      <c r="I328" s="2" t="s">
        <v>512</v>
      </c>
      <c r="J328" s="2" t="s">
        <v>86</v>
      </c>
      <c r="K328" s="2" t="s">
        <v>38</v>
      </c>
      <c r="L328" s="2" t="s">
        <v>12</v>
      </c>
      <c r="P328" s="2" t="s">
        <v>22</v>
      </c>
      <c r="Q328" s="2" t="s">
        <v>30</v>
      </c>
      <c r="R328" s="2" t="s">
        <v>41</v>
      </c>
      <c r="S328" s="2" t="s">
        <v>48</v>
      </c>
      <c r="T328" s="2" t="s">
        <v>50</v>
      </c>
      <c r="U328" s="2" t="s">
        <v>52</v>
      </c>
      <c r="V328" s="2">
        <v>7907</v>
      </c>
      <c r="W328" s="2">
        <v>2</v>
      </c>
      <c r="X328" s="2">
        <v>42</v>
      </c>
      <c r="Y328" s="2">
        <v>41</v>
      </c>
      <c r="AB328" s="2">
        <v>4</v>
      </c>
      <c r="AC328" s="2">
        <v>3.4701884927825501</v>
      </c>
      <c r="AD328" s="2">
        <v>6.3960396039603999</v>
      </c>
      <c r="AE328" s="2">
        <v>4.8518318630780302</v>
      </c>
      <c r="AF328" s="2" t="s">
        <v>74</v>
      </c>
      <c r="AG328" s="2" t="s">
        <v>64</v>
      </c>
      <c r="AH328" s="2" t="str">
        <f t="shared" si="11"/>
        <v>mean</v>
      </c>
      <c r="AR328" s="2" t="s">
        <v>222</v>
      </c>
      <c r="AS328" s="2" t="s">
        <v>849</v>
      </c>
      <c r="AU328" s="2" t="s">
        <v>1818</v>
      </c>
      <c r="AV328" s="2" t="s">
        <v>1830</v>
      </c>
      <c r="AW328" s="2" t="s">
        <v>1831</v>
      </c>
      <c r="AX328" s="2" t="s">
        <v>1829</v>
      </c>
      <c r="AY328" s="2" t="s">
        <v>79</v>
      </c>
    </row>
    <row r="329" spans="1:51" x14ac:dyDescent="0.2">
      <c r="A329" s="2" t="s">
        <v>1045</v>
      </c>
      <c r="B329" s="2" t="s">
        <v>625</v>
      </c>
      <c r="C329" s="2" t="s">
        <v>1046</v>
      </c>
      <c r="D329" s="2">
        <v>2001</v>
      </c>
      <c r="E329" s="2" t="s">
        <v>1283</v>
      </c>
      <c r="F329" s="2" t="s">
        <v>1349</v>
      </c>
      <c r="G329" s="2" t="s">
        <v>1423</v>
      </c>
      <c r="H329" s="2" t="s">
        <v>1511</v>
      </c>
      <c r="I329" s="2" t="s">
        <v>512</v>
      </c>
      <c r="J329" s="2" t="s">
        <v>86</v>
      </c>
      <c r="K329" s="2" t="s">
        <v>38</v>
      </c>
      <c r="L329" s="2" t="s">
        <v>12</v>
      </c>
      <c r="P329" s="2" t="s">
        <v>22</v>
      </c>
      <c r="Q329" s="2" t="s">
        <v>30</v>
      </c>
      <c r="R329" s="2" t="s">
        <v>41</v>
      </c>
      <c r="S329" s="2" t="s">
        <v>48</v>
      </c>
      <c r="T329" s="2" t="s">
        <v>50</v>
      </c>
      <c r="U329" s="2" t="s">
        <v>52</v>
      </c>
      <c r="V329" s="2">
        <v>7907</v>
      </c>
      <c r="W329" s="2">
        <v>3</v>
      </c>
      <c r="X329" s="2">
        <v>33.67</v>
      </c>
      <c r="Y329" s="2">
        <v>33.67</v>
      </c>
      <c r="AB329" s="2">
        <v>2.5249999999999999</v>
      </c>
      <c r="AC329" s="2">
        <v>2.0081084331737702</v>
      </c>
      <c r="AD329" s="2">
        <v>3.6375000000000002</v>
      </c>
      <c r="AE329" s="2">
        <v>2.3056059788291399</v>
      </c>
      <c r="AF329" s="2" t="s">
        <v>74</v>
      </c>
      <c r="AG329" s="2" t="s">
        <v>64</v>
      </c>
      <c r="AH329" s="2" t="str">
        <f t="shared" si="11"/>
        <v>mean</v>
      </c>
      <c r="AR329" s="2" t="s">
        <v>222</v>
      </c>
      <c r="AS329" s="2" t="s">
        <v>849</v>
      </c>
      <c r="AU329" s="2" t="s">
        <v>1818</v>
      </c>
      <c r="AV329" s="2" t="s">
        <v>1830</v>
      </c>
      <c r="AW329" s="2" t="s">
        <v>1831</v>
      </c>
      <c r="AX329" s="2" t="s">
        <v>1829</v>
      </c>
      <c r="AY329" s="2" t="s">
        <v>79</v>
      </c>
    </row>
    <row r="330" spans="1:51" x14ac:dyDescent="0.2">
      <c r="A330" s="2" t="s">
        <v>1045</v>
      </c>
      <c r="B330" s="2" t="s">
        <v>625</v>
      </c>
      <c r="C330" s="2" t="s">
        <v>1046</v>
      </c>
      <c r="D330" s="2">
        <v>2001</v>
      </c>
      <c r="E330" s="2" t="s">
        <v>1283</v>
      </c>
      <c r="F330" s="2" t="s">
        <v>1349</v>
      </c>
      <c r="G330" s="2" t="s">
        <v>1423</v>
      </c>
      <c r="H330" s="2" t="s">
        <v>1512</v>
      </c>
      <c r="I330" s="2" t="s">
        <v>512</v>
      </c>
      <c r="J330" s="2" t="s">
        <v>86</v>
      </c>
      <c r="K330" s="2" t="s">
        <v>38</v>
      </c>
      <c r="L330" s="2" t="s">
        <v>12</v>
      </c>
      <c r="P330" s="2" t="s">
        <v>22</v>
      </c>
      <c r="Q330" s="2" t="s">
        <v>30</v>
      </c>
      <c r="R330" s="2" t="s">
        <v>41</v>
      </c>
      <c r="S330" s="2" t="s">
        <v>48</v>
      </c>
      <c r="T330" s="2" t="s">
        <v>50</v>
      </c>
      <c r="U330" s="2" t="s">
        <v>52</v>
      </c>
      <c r="V330" s="2">
        <v>7907</v>
      </c>
      <c r="W330" s="2">
        <v>3</v>
      </c>
      <c r="X330" s="2">
        <v>33.67</v>
      </c>
      <c r="Y330" s="2">
        <v>33.67</v>
      </c>
      <c r="AB330" s="2">
        <v>2.5249999999999999</v>
      </c>
      <c r="AC330" s="2">
        <v>1.9709212399668401</v>
      </c>
      <c r="AD330" s="2">
        <v>3.4</v>
      </c>
      <c r="AE330" s="2">
        <v>2.5287291380706698</v>
      </c>
      <c r="AF330" s="2" t="s">
        <v>74</v>
      </c>
      <c r="AG330" s="2" t="s">
        <v>64</v>
      </c>
      <c r="AH330" s="2" t="str">
        <f t="shared" si="11"/>
        <v>mean</v>
      </c>
      <c r="AR330" s="2" t="s">
        <v>222</v>
      </c>
      <c r="AS330" s="2" t="s">
        <v>849</v>
      </c>
      <c r="AU330" s="2" t="s">
        <v>1818</v>
      </c>
      <c r="AV330" s="2" t="s">
        <v>1830</v>
      </c>
      <c r="AW330" s="2" t="s">
        <v>1831</v>
      </c>
      <c r="AX330" s="2" t="s">
        <v>1829</v>
      </c>
      <c r="AY330" s="2" t="s">
        <v>79</v>
      </c>
    </row>
    <row r="331" spans="1:51" x14ac:dyDescent="0.2">
      <c r="A331" s="2" t="s">
        <v>1047</v>
      </c>
      <c r="B331" s="2" t="s">
        <v>625</v>
      </c>
      <c r="C331" s="2" t="s">
        <v>1048</v>
      </c>
      <c r="D331" s="2">
        <v>2005</v>
      </c>
      <c r="E331" s="2" t="s">
        <v>1284</v>
      </c>
      <c r="F331" s="2" t="s">
        <v>1350</v>
      </c>
      <c r="G331" s="2" t="s">
        <v>1424</v>
      </c>
      <c r="H331" s="2" t="s">
        <v>1513</v>
      </c>
      <c r="I331" s="2" t="s">
        <v>512</v>
      </c>
      <c r="J331" s="2" t="s">
        <v>86</v>
      </c>
      <c r="K331" s="2" t="s">
        <v>38</v>
      </c>
      <c r="L331" s="2" t="s">
        <v>12</v>
      </c>
      <c r="P331" s="2" t="s">
        <v>22</v>
      </c>
      <c r="Q331" s="2" t="s">
        <v>30</v>
      </c>
      <c r="R331" s="2" t="s">
        <v>41</v>
      </c>
      <c r="S331" s="2" t="s">
        <v>48</v>
      </c>
      <c r="T331" s="2" t="s">
        <v>50</v>
      </c>
      <c r="U331" s="2" t="s">
        <v>52</v>
      </c>
      <c r="V331" s="2">
        <v>1513</v>
      </c>
      <c r="W331" s="2" t="s">
        <v>560</v>
      </c>
      <c r="X331" s="2">
        <v>40</v>
      </c>
      <c r="Y331" s="2">
        <v>40</v>
      </c>
      <c r="AB331" s="2">
        <v>1.96813725490196</v>
      </c>
      <c r="AC331" s="2">
        <v>1.1626020809442601</v>
      </c>
      <c r="AD331" s="2">
        <v>2.7769607843137201</v>
      </c>
      <c r="AE331" s="2">
        <v>1.9376701349070999</v>
      </c>
      <c r="AF331" s="2" t="s">
        <v>74</v>
      </c>
      <c r="AG331" s="2" t="s">
        <v>64</v>
      </c>
      <c r="AH331" s="2" t="str">
        <f t="shared" si="11"/>
        <v>mean</v>
      </c>
      <c r="AR331" s="2" t="s">
        <v>222</v>
      </c>
      <c r="AS331" s="2" t="s">
        <v>849</v>
      </c>
      <c r="AU331" s="2" t="s">
        <v>1818</v>
      </c>
      <c r="AV331" s="2" t="s">
        <v>1830</v>
      </c>
      <c r="AW331" s="2" t="s">
        <v>1831</v>
      </c>
      <c r="AX331" s="2" t="s">
        <v>1829</v>
      </c>
      <c r="AY331" s="2" t="s">
        <v>79</v>
      </c>
    </row>
    <row r="332" spans="1:51" x14ac:dyDescent="0.2">
      <c r="A332" s="2" t="s">
        <v>1049</v>
      </c>
      <c r="B332" s="2" t="s">
        <v>1050</v>
      </c>
      <c r="C332" s="2" t="s">
        <v>1051</v>
      </c>
      <c r="D332" s="2">
        <v>2004</v>
      </c>
      <c r="E332" s="2" t="s">
        <v>1285</v>
      </c>
      <c r="F332" s="2" t="s">
        <v>1351</v>
      </c>
      <c r="G332" s="2" t="s">
        <v>1425</v>
      </c>
      <c r="H332" s="2" t="s">
        <v>1514</v>
      </c>
      <c r="I332" s="2" t="s">
        <v>1797</v>
      </c>
      <c r="J332" s="2" t="s">
        <v>85</v>
      </c>
      <c r="K332" s="2" t="s">
        <v>37</v>
      </c>
      <c r="P332" s="2" t="s">
        <v>22</v>
      </c>
      <c r="Q332" s="2" t="s">
        <v>30</v>
      </c>
      <c r="R332" s="2" t="s">
        <v>41</v>
      </c>
      <c r="S332" s="2" t="s">
        <v>47</v>
      </c>
      <c r="T332" s="2" t="s">
        <v>50</v>
      </c>
      <c r="U332" s="2" t="s">
        <v>53</v>
      </c>
      <c r="V332" s="2">
        <v>363</v>
      </c>
      <c r="W332" s="2">
        <v>3</v>
      </c>
      <c r="X332" s="2">
        <v>12</v>
      </c>
      <c r="Y332" s="2">
        <v>11</v>
      </c>
      <c r="Z332" s="2">
        <v>9</v>
      </c>
      <c r="AA332" s="2">
        <v>7</v>
      </c>
      <c r="AH332" s="2" t="s">
        <v>1804</v>
      </c>
      <c r="AM332" s="2" t="s">
        <v>1052</v>
      </c>
      <c r="AR332" s="2" t="s">
        <v>849</v>
      </c>
      <c r="AS332" s="2" t="s">
        <v>849</v>
      </c>
      <c r="AU332" s="2" t="s">
        <v>1818</v>
      </c>
      <c r="AV332" s="2" t="s">
        <v>1822</v>
      </c>
      <c r="AW332" s="2" t="s">
        <v>1823</v>
      </c>
      <c r="AX332" s="2" t="s">
        <v>1826</v>
      </c>
      <c r="AY332" s="2" t="s">
        <v>79</v>
      </c>
    </row>
    <row r="333" spans="1:51" x14ac:dyDescent="0.2">
      <c r="A333" s="2" t="s">
        <v>1053</v>
      </c>
      <c r="B333" s="2" t="s">
        <v>1054</v>
      </c>
      <c r="C333" s="2" t="s">
        <v>1055</v>
      </c>
      <c r="D333" s="2">
        <v>2003</v>
      </c>
      <c r="E333" s="2" t="s">
        <v>1286</v>
      </c>
      <c r="F333" s="2" t="s">
        <v>1352</v>
      </c>
      <c r="G333" s="2" t="s">
        <v>1426</v>
      </c>
      <c r="H333" s="2" t="s">
        <v>1515</v>
      </c>
      <c r="I333" s="2" t="s">
        <v>514</v>
      </c>
      <c r="J333" s="2" t="s">
        <v>85</v>
      </c>
      <c r="K333" s="2" t="s">
        <v>38</v>
      </c>
      <c r="L333" s="2" t="s">
        <v>11</v>
      </c>
      <c r="M333" s="2" t="s">
        <v>14</v>
      </c>
      <c r="N333" s="2" t="s">
        <v>15</v>
      </c>
      <c r="O333" s="2">
        <v>1</v>
      </c>
      <c r="P333" s="2" t="s">
        <v>79</v>
      </c>
      <c r="Q333" s="2" t="s">
        <v>1840</v>
      </c>
      <c r="T333" s="2" t="s">
        <v>50</v>
      </c>
      <c r="U333" s="2" t="s">
        <v>52</v>
      </c>
      <c r="V333" s="2">
        <v>518</v>
      </c>
      <c r="W333" s="2" t="s">
        <v>671</v>
      </c>
      <c r="X333" s="2">
        <v>17</v>
      </c>
      <c r="Y333" s="2">
        <v>25</v>
      </c>
      <c r="AB333" s="2">
        <v>134.07494145199101</v>
      </c>
      <c r="AC333" s="2">
        <v>28.688524590164</v>
      </c>
      <c r="AD333" s="2">
        <v>123.536299765808</v>
      </c>
      <c r="AE333" s="2">
        <v>53.864168618267001</v>
      </c>
      <c r="AF333" s="2" t="s">
        <v>74</v>
      </c>
      <c r="AG333" s="2" t="s">
        <v>64</v>
      </c>
      <c r="AH333" s="2" t="str">
        <f t="shared" ref="AH333:AH339" si="12">IF(AF333="mean", "mean", "")</f>
        <v>mean</v>
      </c>
      <c r="AR333" s="2" t="s">
        <v>849</v>
      </c>
      <c r="AS333" s="2" t="s">
        <v>849</v>
      </c>
      <c r="AU333" s="2" t="s">
        <v>1818</v>
      </c>
      <c r="AV333" s="2" t="s">
        <v>1822</v>
      </c>
      <c r="AW333" s="2" t="s">
        <v>1823</v>
      </c>
      <c r="AX333" s="2" t="s">
        <v>1826</v>
      </c>
      <c r="AY333" s="2" t="s">
        <v>79</v>
      </c>
    </row>
    <row r="334" spans="1:51" x14ac:dyDescent="0.2">
      <c r="A334" s="2" t="s">
        <v>1053</v>
      </c>
      <c r="B334" s="2" t="s">
        <v>1054</v>
      </c>
      <c r="C334" s="2" t="s">
        <v>1055</v>
      </c>
      <c r="D334" s="2">
        <v>2003</v>
      </c>
      <c r="E334" s="2" t="s">
        <v>1286</v>
      </c>
      <c r="F334" s="2" t="s">
        <v>1352</v>
      </c>
      <c r="G334" s="2" t="s">
        <v>1426</v>
      </c>
      <c r="H334" s="2" t="s">
        <v>1516</v>
      </c>
      <c r="I334" s="2" t="s">
        <v>514</v>
      </c>
      <c r="J334" s="2" t="s">
        <v>85</v>
      </c>
      <c r="K334" s="2" t="s">
        <v>38</v>
      </c>
      <c r="L334" s="2" t="s">
        <v>11</v>
      </c>
      <c r="M334" s="2" t="s">
        <v>14</v>
      </c>
      <c r="N334" s="2" t="s">
        <v>15</v>
      </c>
      <c r="O334" s="2">
        <v>1</v>
      </c>
      <c r="P334" s="2" t="s">
        <v>79</v>
      </c>
      <c r="Q334" s="2" t="s">
        <v>1840</v>
      </c>
      <c r="T334" s="2" t="s">
        <v>50</v>
      </c>
      <c r="U334" s="2" t="s">
        <v>52</v>
      </c>
      <c r="V334" s="2">
        <v>518</v>
      </c>
      <c r="W334" s="2" t="s">
        <v>671</v>
      </c>
      <c r="X334" s="2">
        <v>17</v>
      </c>
      <c r="Y334" s="2">
        <v>25</v>
      </c>
      <c r="AB334" s="2">
        <v>128.504672897196</v>
      </c>
      <c r="AC334" s="2">
        <v>40.303738317757002</v>
      </c>
      <c r="AD334" s="2">
        <v>92.873831775701007</v>
      </c>
      <c r="AE334" s="2">
        <v>37.967289719626201</v>
      </c>
      <c r="AF334" s="2" t="s">
        <v>74</v>
      </c>
      <c r="AG334" s="2" t="s">
        <v>64</v>
      </c>
      <c r="AH334" s="2" t="str">
        <f t="shared" si="12"/>
        <v>mean</v>
      </c>
      <c r="AR334" s="2" t="s">
        <v>849</v>
      </c>
      <c r="AS334" s="2" t="s">
        <v>849</v>
      </c>
      <c r="AU334" s="2" t="s">
        <v>1818</v>
      </c>
      <c r="AV334" s="2" t="s">
        <v>1822</v>
      </c>
      <c r="AW334" s="2" t="s">
        <v>1823</v>
      </c>
      <c r="AX334" s="2" t="s">
        <v>1826</v>
      </c>
      <c r="AY334" s="2" t="s">
        <v>79</v>
      </c>
    </row>
    <row r="335" spans="1:51" x14ac:dyDescent="0.2">
      <c r="A335" s="2" t="s">
        <v>1053</v>
      </c>
      <c r="B335" s="2" t="s">
        <v>1054</v>
      </c>
      <c r="C335" s="2" t="s">
        <v>1055</v>
      </c>
      <c r="D335" s="2">
        <v>2003</v>
      </c>
      <c r="E335" s="2" t="s">
        <v>1286</v>
      </c>
      <c r="F335" s="2" t="s">
        <v>1352</v>
      </c>
      <c r="G335" s="2" t="s">
        <v>1426</v>
      </c>
      <c r="H335" s="2" t="s">
        <v>1517</v>
      </c>
      <c r="I335" s="2" t="s">
        <v>514</v>
      </c>
      <c r="J335" s="2" t="s">
        <v>85</v>
      </c>
      <c r="K335" s="2" t="s">
        <v>38</v>
      </c>
      <c r="L335" s="2" t="s">
        <v>11</v>
      </c>
      <c r="M335" s="2" t="s">
        <v>14</v>
      </c>
      <c r="N335" s="2" t="s">
        <v>15</v>
      </c>
      <c r="O335" s="2">
        <v>1</v>
      </c>
      <c r="P335" s="2" t="s">
        <v>79</v>
      </c>
      <c r="Q335" s="2" t="s">
        <v>1840</v>
      </c>
      <c r="T335" s="2" t="s">
        <v>50</v>
      </c>
      <c r="U335" s="2" t="s">
        <v>52</v>
      </c>
      <c r="V335" s="2">
        <v>518</v>
      </c>
      <c r="W335" s="2" t="s">
        <v>671</v>
      </c>
      <c r="X335" s="2">
        <v>17</v>
      </c>
      <c r="Y335" s="2">
        <v>25</v>
      </c>
      <c r="AB335" s="2">
        <v>150.821596244131</v>
      </c>
      <c r="AC335" s="2">
        <v>39.319248826291101</v>
      </c>
      <c r="AD335" s="2">
        <v>116.784037558685</v>
      </c>
      <c r="AE335" s="2">
        <v>46.948356807511701</v>
      </c>
      <c r="AF335" s="2" t="s">
        <v>74</v>
      </c>
      <c r="AG335" s="2" t="s">
        <v>64</v>
      </c>
      <c r="AH335" s="2" t="str">
        <f t="shared" si="12"/>
        <v>mean</v>
      </c>
      <c r="AR335" s="2" t="s">
        <v>849</v>
      </c>
      <c r="AS335" s="2" t="s">
        <v>849</v>
      </c>
      <c r="AU335" s="2" t="s">
        <v>1818</v>
      </c>
      <c r="AV335" s="2" t="s">
        <v>1822</v>
      </c>
      <c r="AW335" s="2" t="s">
        <v>1823</v>
      </c>
      <c r="AX335" s="2" t="s">
        <v>1826</v>
      </c>
      <c r="AY335" s="2" t="s">
        <v>79</v>
      </c>
    </row>
    <row r="336" spans="1:51" x14ac:dyDescent="0.2">
      <c r="A336" s="2" t="s">
        <v>1053</v>
      </c>
      <c r="B336" s="2" t="s">
        <v>1054</v>
      </c>
      <c r="C336" s="2" t="s">
        <v>1055</v>
      </c>
      <c r="D336" s="2">
        <v>2003</v>
      </c>
      <c r="E336" s="2" t="s">
        <v>1286</v>
      </c>
      <c r="F336" s="2" t="s">
        <v>1352</v>
      </c>
      <c r="G336" s="2" t="s">
        <v>1426</v>
      </c>
      <c r="H336" s="2" t="s">
        <v>1518</v>
      </c>
      <c r="I336" s="2" t="s">
        <v>514</v>
      </c>
      <c r="J336" s="2" t="s">
        <v>85</v>
      </c>
      <c r="K336" s="2" t="s">
        <v>38</v>
      </c>
      <c r="L336" s="2" t="s">
        <v>11</v>
      </c>
      <c r="M336" s="2" t="s">
        <v>14</v>
      </c>
      <c r="N336" s="2" t="s">
        <v>15</v>
      </c>
      <c r="O336" s="2">
        <v>1</v>
      </c>
      <c r="P336" s="2" t="s">
        <v>79</v>
      </c>
      <c r="Q336" s="2" t="s">
        <v>1840</v>
      </c>
      <c r="T336" s="2" t="s">
        <v>50</v>
      </c>
      <c r="U336" s="2" t="s">
        <v>52</v>
      </c>
      <c r="V336" s="2">
        <v>518</v>
      </c>
      <c r="W336" s="2" t="s">
        <v>671</v>
      </c>
      <c r="X336" s="2">
        <v>17</v>
      </c>
      <c r="Y336" s="2">
        <v>25</v>
      </c>
      <c r="AB336" s="2">
        <v>147.78037383177599</v>
      </c>
      <c r="AC336" s="2">
        <v>42.640186915887902</v>
      </c>
      <c r="AD336" s="2">
        <v>144.27570093457899</v>
      </c>
      <c r="AE336" s="2">
        <v>63.6682242990655</v>
      </c>
      <c r="AF336" s="2" t="s">
        <v>74</v>
      </c>
      <c r="AG336" s="2" t="s">
        <v>64</v>
      </c>
      <c r="AH336" s="2" t="str">
        <f t="shared" si="12"/>
        <v>mean</v>
      </c>
      <c r="AR336" s="2" t="s">
        <v>849</v>
      </c>
      <c r="AS336" s="2" t="s">
        <v>849</v>
      </c>
      <c r="AU336" s="2" t="s">
        <v>1818</v>
      </c>
      <c r="AV336" s="2" t="s">
        <v>1822</v>
      </c>
      <c r="AW336" s="2" t="s">
        <v>1823</v>
      </c>
      <c r="AX336" s="2" t="s">
        <v>1826</v>
      </c>
      <c r="AY336" s="2" t="s">
        <v>79</v>
      </c>
    </row>
    <row r="337" spans="1:51" x14ac:dyDescent="0.2">
      <c r="A337" s="2" t="s">
        <v>1053</v>
      </c>
      <c r="B337" s="2" t="s">
        <v>1054</v>
      </c>
      <c r="C337" s="2" t="s">
        <v>1055</v>
      </c>
      <c r="D337" s="2">
        <v>2003</v>
      </c>
      <c r="E337" s="2" t="s">
        <v>1286</v>
      </c>
      <c r="F337" s="2" t="s">
        <v>1352</v>
      </c>
      <c r="G337" s="2" t="s">
        <v>1426</v>
      </c>
      <c r="H337" s="2" t="s">
        <v>1519</v>
      </c>
      <c r="I337" s="2" t="s">
        <v>514</v>
      </c>
      <c r="J337" s="2" t="s">
        <v>85</v>
      </c>
      <c r="K337" s="2" t="s">
        <v>38</v>
      </c>
      <c r="L337" s="2" t="s">
        <v>11</v>
      </c>
      <c r="M337" s="2" t="s">
        <v>14</v>
      </c>
      <c r="N337" s="2" t="s">
        <v>15</v>
      </c>
      <c r="O337" s="2">
        <v>1</v>
      </c>
      <c r="P337" s="2" t="s">
        <v>79</v>
      </c>
      <c r="Q337" s="2" t="s">
        <v>1840</v>
      </c>
      <c r="T337" s="2" t="s">
        <v>50</v>
      </c>
      <c r="U337" s="2" t="s">
        <v>52</v>
      </c>
      <c r="V337" s="2">
        <v>518</v>
      </c>
      <c r="W337" s="2" t="s">
        <v>671</v>
      </c>
      <c r="X337" s="2">
        <v>17</v>
      </c>
      <c r="Y337" s="2">
        <v>25</v>
      </c>
      <c r="AB337" s="2">
        <v>173.30210772833701</v>
      </c>
      <c r="AC337" s="2">
        <v>30.444964871194401</v>
      </c>
      <c r="AD337" s="2">
        <v>153.981264637002</v>
      </c>
      <c r="AE337" s="2">
        <v>53.864168618267001</v>
      </c>
      <c r="AF337" s="2" t="s">
        <v>74</v>
      </c>
      <c r="AG337" s="2" t="s">
        <v>64</v>
      </c>
      <c r="AH337" s="2" t="str">
        <f t="shared" si="12"/>
        <v>mean</v>
      </c>
      <c r="AR337" s="2" t="s">
        <v>849</v>
      </c>
      <c r="AS337" s="2" t="s">
        <v>849</v>
      </c>
      <c r="AU337" s="2" t="s">
        <v>1818</v>
      </c>
      <c r="AV337" s="2" t="s">
        <v>1822</v>
      </c>
      <c r="AW337" s="2" t="s">
        <v>1823</v>
      </c>
      <c r="AX337" s="2" t="s">
        <v>1826</v>
      </c>
      <c r="AY337" s="2" t="s">
        <v>79</v>
      </c>
    </row>
    <row r="338" spans="1:51" x14ac:dyDescent="0.2">
      <c r="A338" s="2" t="s">
        <v>1053</v>
      </c>
      <c r="B338" s="2" t="s">
        <v>1054</v>
      </c>
      <c r="C338" s="2" t="s">
        <v>1055</v>
      </c>
      <c r="D338" s="2">
        <v>2003</v>
      </c>
      <c r="E338" s="2" t="s">
        <v>1286</v>
      </c>
      <c r="F338" s="2" t="s">
        <v>1352</v>
      </c>
      <c r="G338" s="2" t="s">
        <v>1427</v>
      </c>
      <c r="H338" s="2" t="s">
        <v>1520</v>
      </c>
      <c r="I338" s="2" t="s">
        <v>514</v>
      </c>
      <c r="J338" s="2" t="s">
        <v>85</v>
      </c>
      <c r="K338" s="2" t="s">
        <v>38</v>
      </c>
      <c r="L338" s="2" t="s">
        <v>11</v>
      </c>
      <c r="M338" s="2" t="s">
        <v>14</v>
      </c>
      <c r="N338" s="2" t="s">
        <v>15</v>
      </c>
      <c r="O338" s="2">
        <v>1</v>
      </c>
      <c r="P338" s="2" t="s">
        <v>79</v>
      </c>
      <c r="Q338" s="2" t="s">
        <v>1840</v>
      </c>
      <c r="T338" s="2" t="s">
        <v>50</v>
      </c>
      <c r="U338" s="2" t="s">
        <v>54</v>
      </c>
      <c r="V338" s="2">
        <v>518</v>
      </c>
      <c r="X338" s="2">
        <v>12</v>
      </c>
      <c r="Y338" s="2">
        <v>18</v>
      </c>
      <c r="AB338" s="2">
        <v>74.900000000000006</v>
      </c>
      <c r="AC338" s="2">
        <v>23.6</v>
      </c>
      <c r="AD338" s="2">
        <v>58.5</v>
      </c>
      <c r="AE338" s="2">
        <v>18.7</v>
      </c>
      <c r="AF338" s="2" t="s">
        <v>74</v>
      </c>
      <c r="AG338" s="2" t="s">
        <v>64</v>
      </c>
      <c r="AH338" s="2" t="str">
        <f t="shared" si="12"/>
        <v>mean</v>
      </c>
      <c r="AR338" s="2" t="s">
        <v>849</v>
      </c>
      <c r="AS338" s="2" t="s">
        <v>849</v>
      </c>
      <c r="AU338" s="2" t="s">
        <v>1818</v>
      </c>
      <c r="AV338" s="2" t="s">
        <v>1822</v>
      </c>
      <c r="AW338" s="2" t="s">
        <v>1823</v>
      </c>
      <c r="AX338" s="2" t="s">
        <v>1826</v>
      </c>
      <c r="AY338" s="2" t="s">
        <v>79</v>
      </c>
    </row>
    <row r="339" spans="1:51" x14ac:dyDescent="0.2">
      <c r="A339" s="2" t="s">
        <v>1053</v>
      </c>
      <c r="B339" s="2" t="s">
        <v>1054</v>
      </c>
      <c r="C339" s="2" t="s">
        <v>1055</v>
      </c>
      <c r="D339" s="2">
        <v>2003</v>
      </c>
      <c r="E339" s="2" t="s">
        <v>1286</v>
      </c>
      <c r="F339" s="2" t="s">
        <v>1352</v>
      </c>
      <c r="G339" s="2" t="s">
        <v>1427</v>
      </c>
      <c r="H339" s="2" t="s">
        <v>1521</v>
      </c>
      <c r="I339" s="2" t="s">
        <v>514</v>
      </c>
      <c r="J339" s="2" t="s">
        <v>85</v>
      </c>
      <c r="K339" s="2" t="s">
        <v>38</v>
      </c>
      <c r="L339" s="2" t="s">
        <v>11</v>
      </c>
      <c r="M339" s="2" t="s">
        <v>14</v>
      </c>
      <c r="N339" s="2" t="s">
        <v>15</v>
      </c>
      <c r="O339" s="2">
        <v>1</v>
      </c>
      <c r="P339" s="2" t="s">
        <v>79</v>
      </c>
      <c r="Q339" s="2" t="s">
        <v>1056</v>
      </c>
      <c r="T339" s="2" t="s">
        <v>50</v>
      </c>
      <c r="U339" s="2" t="s">
        <v>54</v>
      </c>
      <c r="V339" s="2">
        <v>518</v>
      </c>
      <c r="X339" s="2">
        <v>12</v>
      </c>
      <c r="Y339" s="2">
        <v>18</v>
      </c>
      <c r="AB339" s="2">
        <v>0.44</v>
      </c>
      <c r="AC339" s="2">
        <v>0.15</v>
      </c>
      <c r="AD339" s="2">
        <v>0.18</v>
      </c>
      <c r="AE339" s="2">
        <v>0.1</v>
      </c>
      <c r="AF339" s="2" t="s">
        <v>74</v>
      </c>
      <c r="AG339" s="2" t="s">
        <v>64</v>
      </c>
      <c r="AH339" s="2" t="str">
        <f t="shared" si="12"/>
        <v>mean</v>
      </c>
      <c r="AR339" s="2" t="s">
        <v>849</v>
      </c>
      <c r="AS339" s="2" t="s">
        <v>849</v>
      </c>
      <c r="AU339" s="2" t="s">
        <v>1818</v>
      </c>
      <c r="AV339" s="2" t="s">
        <v>1822</v>
      </c>
      <c r="AW339" s="2" t="s">
        <v>1823</v>
      </c>
      <c r="AX339" s="2" t="s">
        <v>1826</v>
      </c>
      <c r="AY339" s="2" t="s">
        <v>79</v>
      </c>
    </row>
    <row r="340" spans="1:51" x14ac:dyDescent="0.2">
      <c r="A340" s="2" t="s">
        <v>1053</v>
      </c>
      <c r="B340" s="2" t="s">
        <v>1054</v>
      </c>
      <c r="C340" s="2" t="s">
        <v>1055</v>
      </c>
      <c r="D340" s="2">
        <v>2003</v>
      </c>
      <c r="E340" s="2" t="s">
        <v>1286</v>
      </c>
      <c r="F340" s="2" t="s">
        <v>1352</v>
      </c>
      <c r="G340" s="2" t="s">
        <v>1427</v>
      </c>
      <c r="H340" s="2" t="s">
        <v>1522</v>
      </c>
      <c r="I340" s="2" t="s">
        <v>514</v>
      </c>
      <c r="J340" s="2" t="s">
        <v>85</v>
      </c>
      <c r="K340" s="2" t="s">
        <v>37</v>
      </c>
      <c r="P340" s="2" t="s">
        <v>79</v>
      </c>
      <c r="Q340" s="2" t="s">
        <v>1840</v>
      </c>
      <c r="R340" s="2" t="s">
        <v>41</v>
      </c>
      <c r="S340" s="2" t="s">
        <v>48</v>
      </c>
      <c r="T340" s="2" t="s">
        <v>50</v>
      </c>
      <c r="U340" s="2" t="s">
        <v>54</v>
      </c>
      <c r="V340" s="2">
        <v>518</v>
      </c>
      <c r="AH340" s="2" t="s">
        <v>4</v>
      </c>
      <c r="AN340" s="2">
        <v>18</v>
      </c>
      <c r="AO340" s="2">
        <v>-0.3</v>
      </c>
      <c r="AP340" s="2">
        <v>0.09</v>
      </c>
      <c r="AR340" s="2" t="s">
        <v>222</v>
      </c>
      <c r="AS340" s="2" t="s">
        <v>849</v>
      </c>
      <c r="AU340" s="2" t="s">
        <v>1818</v>
      </c>
      <c r="AV340" s="2" t="s">
        <v>1822</v>
      </c>
      <c r="AW340" s="2" t="s">
        <v>1823</v>
      </c>
      <c r="AX340" s="2" t="s">
        <v>1826</v>
      </c>
      <c r="AY340" s="2" t="s">
        <v>79</v>
      </c>
    </row>
    <row r="341" spans="1:51" x14ac:dyDescent="0.2">
      <c r="A341" s="2" t="s">
        <v>1053</v>
      </c>
      <c r="B341" s="2" t="s">
        <v>1054</v>
      </c>
      <c r="C341" s="2" t="s">
        <v>1055</v>
      </c>
      <c r="D341" s="2">
        <v>2003</v>
      </c>
      <c r="E341" s="2" t="s">
        <v>1286</v>
      </c>
      <c r="F341" s="2" t="s">
        <v>1352</v>
      </c>
      <c r="G341" s="2" t="s">
        <v>1428</v>
      </c>
      <c r="H341" s="2" t="s">
        <v>1523</v>
      </c>
      <c r="I341" s="2" t="s">
        <v>514</v>
      </c>
      <c r="J341" s="2" t="s">
        <v>85</v>
      </c>
      <c r="K341" s="2" t="s">
        <v>38</v>
      </c>
      <c r="L341" s="2" t="s">
        <v>11</v>
      </c>
      <c r="M341" s="2" t="s">
        <v>14</v>
      </c>
      <c r="N341" s="2" t="s">
        <v>15</v>
      </c>
      <c r="O341" s="2">
        <v>1</v>
      </c>
      <c r="P341" s="2" t="s">
        <v>22</v>
      </c>
      <c r="Q341" s="2" t="s">
        <v>1056</v>
      </c>
      <c r="T341" s="2" t="s">
        <v>50</v>
      </c>
      <c r="U341" s="2" t="s">
        <v>53</v>
      </c>
      <c r="V341" s="2">
        <v>519</v>
      </c>
      <c r="W341" s="2">
        <v>1</v>
      </c>
      <c r="X341" s="2">
        <v>11</v>
      </c>
      <c r="Y341" s="2">
        <v>12</v>
      </c>
      <c r="AB341" s="2">
        <v>65.400000000000006</v>
      </c>
      <c r="AC341" s="2">
        <v>31.78</v>
      </c>
      <c r="AD341" s="2">
        <v>54.6</v>
      </c>
      <c r="AE341" s="2">
        <v>32.42</v>
      </c>
      <c r="AF341" s="2" t="s">
        <v>74</v>
      </c>
      <c r="AG341" s="2" t="s">
        <v>64</v>
      </c>
      <c r="AH341" s="2" t="str">
        <f>IF(AF341="mean", "mean", "")</f>
        <v>mean</v>
      </c>
      <c r="AR341" s="2" t="s">
        <v>849</v>
      </c>
      <c r="AS341" s="2" t="s">
        <v>849</v>
      </c>
      <c r="AU341" s="2" t="s">
        <v>1818</v>
      </c>
      <c r="AV341" s="2" t="s">
        <v>1822</v>
      </c>
      <c r="AW341" s="2" t="s">
        <v>1823</v>
      </c>
      <c r="AX341" s="2" t="s">
        <v>1826</v>
      </c>
      <c r="AY341" s="2" t="s">
        <v>79</v>
      </c>
    </row>
    <row r="342" spans="1:51" x14ac:dyDescent="0.2">
      <c r="A342" s="2" t="s">
        <v>1053</v>
      </c>
      <c r="B342" s="2" t="s">
        <v>1054</v>
      </c>
      <c r="C342" s="2" t="s">
        <v>1055</v>
      </c>
      <c r="D342" s="2">
        <v>2003</v>
      </c>
      <c r="E342" s="2" t="s">
        <v>1286</v>
      </c>
      <c r="F342" s="2" t="s">
        <v>1352</v>
      </c>
      <c r="G342" s="2" t="s">
        <v>1428</v>
      </c>
      <c r="H342" s="2" t="s">
        <v>1524</v>
      </c>
      <c r="I342" s="2" t="s">
        <v>514</v>
      </c>
      <c r="J342" s="2" t="s">
        <v>85</v>
      </c>
      <c r="K342" s="2" t="s">
        <v>38</v>
      </c>
      <c r="L342" s="2" t="s">
        <v>11</v>
      </c>
      <c r="M342" s="2" t="s">
        <v>14</v>
      </c>
      <c r="N342" s="2" t="s">
        <v>15</v>
      </c>
      <c r="O342" s="2">
        <v>1</v>
      </c>
      <c r="P342" s="2" t="s">
        <v>22</v>
      </c>
      <c r="Q342" s="2" t="s">
        <v>1056</v>
      </c>
      <c r="T342" s="2" t="s">
        <v>50</v>
      </c>
      <c r="U342" s="2" t="s">
        <v>53</v>
      </c>
      <c r="V342" s="2">
        <v>519</v>
      </c>
      <c r="W342" s="2">
        <v>1</v>
      </c>
      <c r="X342" s="2">
        <v>11</v>
      </c>
      <c r="Y342" s="2">
        <v>12</v>
      </c>
      <c r="AB342" s="2">
        <v>61.4</v>
      </c>
      <c r="AC342" s="2">
        <v>50.32</v>
      </c>
      <c r="AD342" s="2">
        <v>41.3</v>
      </c>
      <c r="AE342" s="2">
        <v>32.630000000000003</v>
      </c>
      <c r="AF342" s="2" t="s">
        <v>74</v>
      </c>
      <c r="AG342" s="2" t="s">
        <v>64</v>
      </c>
      <c r="AH342" s="2" t="str">
        <f>IF(AF342="mean", "mean", "")</f>
        <v>mean</v>
      </c>
      <c r="AR342" s="2" t="s">
        <v>849</v>
      </c>
      <c r="AS342" s="2" t="s">
        <v>849</v>
      </c>
      <c r="AU342" s="2" t="s">
        <v>1818</v>
      </c>
      <c r="AV342" s="2" t="s">
        <v>1822</v>
      </c>
      <c r="AW342" s="2" t="s">
        <v>1823</v>
      </c>
      <c r="AX342" s="2" t="s">
        <v>1826</v>
      </c>
      <c r="AY342" s="2" t="s">
        <v>79</v>
      </c>
    </row>
    <row r="343" spans="1:51" x14ac:dyDescent="0.2">
      <c r="A343" s="2" t="s">
        <v>1057</v>
      </c>
      <c r="B343" s="2" t="s">
        <v>1058</v>
      </c>
      <c r="C343" s="2" t="s">
        <v>1059</v>
      </c>
      <c r="D343" s="2">
        <v>1995</v>
      </c>
      <c r="E343" s="2" t="s">
        <v>1287</v>
      </c>
      <c r="F343" s="2" t="s">
        <v>1353</v>
      </c>
      <c r="G343" s="2" t="s">
        <v>1429</v>
      </c>
      <c r="H343" s="2" t="s">
        <v>1525</v>
      </c>
      <c r="I343" s="2" t="s">
        <v>1060</v>
      </c>
      <c r="J343" s="2" t="s">
        <v>86</v>
      </c>
      <c r="K343" s="2" t="s">
        <v>37</v>
      </c>
      <c r="P343" s="2" t="s">
        <v>22</v>
      </c>
      <c r="Q343" s="2" t="s">
        <v>30</v>
      </c>
      <c r="R343" s="2" t="s">
        <v>41</v>
      </c>
      <c r="S343" s="2" t="s">
        <v>47</v>
      </c>
      <c r="T343" s="2" t="s">
        <v>50</v>
      </c>
      <c r="U343" s="2" t="s">
        <v>53</v>
      </c>
      <c r="V343" s="2">
        <v>664</v>
      </c>
      <c r="W343" s="2">
        <v>2</v>
      </c>
      <c r="X343" s="2">
        <v>624</v>
      </c>
      <c r="Y343" s="2">
        <v>227</v>
      </c>
      <c r="Z343" s="2">
        <v>185</v>
      </c>
      <c r="AA343" s="2">
        <v>27</v>
      </c>
      <c r="AH343" s="2" t="s">
        <v>1804</v>
      </c>
      <c r="AR343" s="2" t="s">
        <v>222</v>
      </c>
      <c r="AS343" s="2" t="s">
        <v>849</v>
      </c>
      <c r="AU343" s="2" t="s">
        <v>1818</v>
      </c>
      <c r="AV343" s="2" t="s">
        <v>1830</v>
      </c>
      <c r="AW343" s="2" t="s">
        <v>1831</v>
      </c>
      <c r="AX343" s="2" t="s">
        <v>1821</v>
      </c>
      <c r="AY343" s="2" t="s">
        <v>79</v>
      </c>
    </row>
    <row r="344" spans="1:51" x14ac:dyDescent="0.2">
      <c r="A344" s="2" t="s">
        <v>1057</v>
      </c>
      <c r="B344" s="2" t="s">
        <v>1058</v>
      </c>
      <c r="C344" s="2" t="s">
        <v>1059</v>
      </c>
      <c r="D344" s="2">
        <v>1995</v>
      </c>
      <c r="E344" s="2" t="s">
        <v>1287</v>
      </c>
      <c r="F344" s="2" t="s">
        <v>1354</v>
      </c>
      <c r="G344" s="2" t="s">
        <v>1430</v>
      </c>
      <c r="H344" s="2" t="s">
        <v>1526</v>
      </c>
      <c r="I344" s="2" t="s">
        <v>1060</v>
      </c>
      <c r="J344" s="2" t="s">
        <v>86</v>
      </c>
      <c r="K344" s="2" t="s">
        <v>38</v>
      </c>
      <c r="L344" s="2" t="s">
        <v>11</v>
      </c>
      <c r="M344" s="2" t="s">
        <v>14</v>
      </c>
      <c r="N344" s="2" t="s">
        <v>19</v>
      </c>
      <c r="O344" s="2">
        <v>1</v>
      </c>
      <c r="P344" s="2" t="s">
        <v>22</v>
      </c>
      <c r="Q344" s="2" t="s">
        <v>30</v>
      </c>
      <c r="T344" s="2" t="s">
        <v>50</v>
      </c>
      <c r="U344" s="2" t="s">
        <v>53</v>
      </c>
      <c r="V344" s="2">
        <v>666</v>
      </c>
      <c r="W344" s="2">
        <v>4</v>
      </c>
      <c r="X344" s="2">
        <v>32</v>
      </c>
      <c r="Y344" s="2">
        <v>32</v>
      </c>
      <c r="Z344" s="2">
        <v>14</v>
      </c>
      <c r="AA344" s="2">
        <v>18</v>
      </c>
      <c r="AH344" s="2" t="s">
        <v>1804</v>
      </c>
      <c r="AR344" s="2" t="s">
        <v>849</v>
      </c>
      <c r="AS344" s="2" t="s">
        <v>849</v>
      </c>
      <c r="AU344" s="2" t="s">
        <v>1818</v>
      </c>
      <c r="AV344" s="2" t="s">
        <v>1830</v>
      </c>
      <c r="AW344" s="2" t="s">
        <v>1831</v>
      </c>
      <c r="AX344" s="2" t="s">
        <v>1821</v>
      </c>
      <c r="AY344" s="2" t="s">
        <v>79</v>
      </c>
    </row>
    <row r="345" spans="1:51" x14ac:dyDescent="0.2">
      <c r="A345" s="2" t="s">
        <v>1057</v>
      </c>
      <c r="B345" s="2" t="s">
        <v>1058</v>
      </c>
      <c r="C345" s="2" t="s">
        <v>1059</v>
      </c>
      <c r="D345" s="2">
        <v>1995</v>
      </c>
      <c r="E345" s="2" t="s">
        <v>1287</v>
      </c>
      <c r="F345" s="2" t="s">
        <v>1354</v>
      </c>
      <c r="G345" s="2" t="s">
        <v>1431</v>
      </c>
      <c r="H345" s="2" t="s">
        <v>1527</v>
      </c>
      <c r="I345" s="2" t="s">
        <v>1060</v>
      </c>
      <c r="J345" s="2" t="s">
        <v>86</v>
      </c>
      <c r="K345" s="2" t="s">
        <v>38</v>
      </c>
      <c r="L345" s="2" t="s">
        <v>11</v>
      </c>
      <c r="M345" s="2" t="s">
        <v>14</v>
      </c>
      <c r="N345" s="2" t="s">
        <v>19</v>
      </c>
      <c r="O345" s="2">
        <v>1</v>
      </c>
      <c r="P345" s="2" t="s">
        <v>22</v>
      </c>
      <c r="Q345" s="2" t="s">
        <v>30</v>
      </c>
      <c r="T345" s="2" t="s">
        <v>50</v>
      </c>
      <c r="U345" s="2" t="s">
        <v>53</v>
      </c>
      <c r="V345" s="2">
        <v>666</v>
      </c>
      <c r="W345" s="2">
        <v>4</v>
      </c>
      <c r="X345" s="2">
        <v>38</v>
      </c>
      <c r="Y345" s="2">
        <v>38</v>
      </c>
      <c r="Z345" s="2">
        <v>26</v>
      </c>
      <c r="AA345" s="2">
        <v>12</v>
      </c>
      <c r="AH345" s="2" t="s">
        <v>1804</v>
      </c>
      <c r="AR345" s="2" t="s">
        <v>849</v>
      </c>
      <c r="AS345" s="2" t="s">
        <v>849</v>
      </c>
      <c r="AU345" s="2" t="s">
        <v>1818</v>
      </c>
      <c r="AV345" s="2" t="s">
        <v>1830</v>
      </c>
      <c r="AW345" s="2" t="s">
        <v>1831</v>
      </c>
      <c r="AX345" s="2" t="s">
        <v>1821</v>
      </c>
      <c r="AY345" s="2" t="s">
        <v>79</v>
      </c>
    </row>
    <row r="346" spans="1:51" x14ac:dyDescent="0.2">
      <c r="A346" s="2" t="s">
        <v>1061</v>
      </c>
      <c r="B346" s="2" t="s">
        <v>1062</v>
      </c>
      <c r="C346" s="2" t="s">
        <v>1063</v>
      </c>
      <c r="D346" s="2">
        <v>1998</v>
      </c>
      <c r="E346" s="2" t="s">
        <v>1288</v>
      </c>
      <c r="F346" s="2" t="s">
        <v>1355</v>
      </c>
      <c r="G346" s="2" t="s">
        <v>1431</v>
      </c>
      <c r="H346" s="2" t="s">
        <v>1528</v>
      </c>
      <c r="I346" s="2" t="s">
        <v>1060</v>
      </c>
      <c r="J346" s="2" t="s">
        <v>86</v>
      </c>
      <c r="K346" s="2" t="s">
        <v>38</v>
      </c>
      <c r="L346" s="2" t="s">
        <v>11</v>
      </c>
      <c r="M346" s="2" t="s">
        <v>14</v>
      </c>
      <c r="N346" s="2" t="s">
        <v>19</v>
      </c>
      <c r="O346" s="2">
        <v>1</v>
      </c>
      <c r="P346" s="2" t="s">
        <v>22</v>
      </c>
      <c r="Q346" s="2" t="s">
        <v>1056</v>
      </c>
      <c r="T346" s="2" t="s">
        <v>50</v>
      </c>
      <c r="U346" s="2" t="s">
        <v>52</v>
      </c>
      <c r="V346" s="2">
        <v>2199</v>
      </c>
      <c r="W346" s="2" t="s">
        <v>1064</v>
      </c>
      <c r="X346" s="2">
        <v>95</v>
      </c>
      <c r="Y346" s="2">
        <v>38</v>
      </c>
      <c r="AB346" s="2">
        <v>19.265822784810101</v>
      </c>
      <c r="AC346" s="2">
        <v>28.129988741980299</v>
      </c>
      <c r="AD346" s="2">
        <v>34.911392405063303</v>
      </c>
      <c r="AE346" s="2">
        <v>27.154633835863301</v>
      </c>
      <c r="AF346" s="2" t="s">
        <v>74</v>
      </c>
      <c r="AG346" s="2" t="s">
        <v>64</v>
      </c>
      <c r="AH346" s="2" t="str">
        <f t="shared" ref="AH346:AH359" si="13">IF(AF346="mean", "mean", "")</f>
        <v>mean</v>
      </c>
      <c r="AR346" s="2" t="s">
        <v>849</v>
      </c>
      <c r="AS346" s="2" t="s">
        <v>849</v>
      </c>
      <c r="AU346" s="2" t="s">
        <v>1818</v>
      </c>
      <c r="AV346" s="2" t="s">
        <v>1830</v>
      </c>
      <c r="AW346" s="2" t="s">
        <v>1831</v>
      </c>
      <c r="AX346" s="2" t="s">
        <v>1821</v>
      </c>
      <c r="AY346" s="2" t="s">
        <v>79</v>
      </c>
    </row>
    <row r="347" spans="1:51" x14ac:dyDescent="0.2">
      <c r="A347" s="2" t="s">
        <v>1061</v>
      </c>
      <c r="B347" s="2" t="s">
        <v>1062</v>
      </c>
      <c r="C347" s="2" t="s">
        <v>1063</v>
      </c>
      <c r="D347" s="2">
        <v>1998</v>
      </c>
      <c r="E347" s="2" t="s">
        <v>1288</v>
      </c>
      <c r="F347" s="2" t="s">
        <v>1355</v>
      </c>
      <c r="G347" s="2" t="s">
        <v>1431</v>
      </c>
      <c r="H347" s="2" t="s">
        <v>1529</v>
      </c>
      <c r="I347" s="2" t="s">
        <v>1060</v>
      </c>
      <c r="J347" s="2" t="s">
        <v>86</v>
      </c>
      <c r="K347" s="2" t="s">
        <v>38</v>
      </c>
      <c r="L347" s="2" t="s">
        <v>11</v>
      </c>
      <c r="M347" s="2" t="s">
        <v>14</v>
      </c>
      <c r="N347" s="2" t="s">
        <v>19</v>
      </c>
      <c r="O347" s="2">
        <v>1</v>
      </c>
      <c r="P347" s="2" t="s">
        <v>22</v>
      </c>
      <c r="Q347" s="2" t="s">
        <v>1056</v>
      </c>
      <c r="T347" s="2" t="s">
        <v>50</v>
      </c>
      <c r="U347" s="2" t="s">
        <v>52</v>
      </c>
      <c r="V347" s="2">
        <v>2199</v>
      </c>
      <c r="W347" s="2" t="s">
        <v>1064</v>
      </c>
      <c r="X347" s="2">
        <v>95</v>
      </c>
      <c r="Y347" s="2">
        <v>21</v>
      </c>
      <c r="AB347" s="2">
        <v>19.4177215189873</v>
      </c>
      <c r="AC347" s="2">
        <v>26.649463018718201</v>
      </c>
      <c r="AD347" s="2">
        <v>35.518987341772203</v>
      </c>
      <c r="AE347" s="2">
        <v>26.4513229987325</v>
      </c>
      <c r="AF347" s="2" t="s">
        <v>74</v>
      </c>
      <c r="AG347" s="2" t="s">
        <v>64</v>
      </c>
      <c r="AH347" s="2" t="str">
        <f t="shared" si="13"/>
        <v>mean</v>
      </c>
      <c r="AR347" s="2" t="s">
        <v>849</v>
      </c>
      <c r="AS347" s="2" t="s">
        <v>849</v>
      </c>
      <c r="AU347" s="2" t="s">
        <v>1818</v>
      </c>
      <c r="AV347" s="2" t="s">
        <v>1830</v>
      </c>
      <c r="AW347" s="2" t="s">
        <v>1831</v>
      </c>
      <c r="AX347" s="2" t="s">
        <v>1821</v>
      </c>
      <c r="AY347" s="2" t="s">
        <v>79</v>
      </c>
    </row>
    <row r="348" spans="1:51" x14ac:dyDescent="0.2">
      <c r="A348" s="2" t="s">
        <v>1061</v>
      </c>
      <c r="B348" s="2" t="s">
        <v>1062</v>
      </c>
      <c r="C348" s="2" t="s">
        <v>1063</v>
      </c>
      <c r="D348" s="2">
        <v>1998</v>
      </c>
      <c r="E348" s="2" t="s">
        <v>1288</v>
      </c>
      <c r="F348" s="2" t="s">
        <v>1355</v>
      </c>
      <c r="G348" s="2" t="s">
        <v>1431</v>
      </c>
      <c r="H348" s="2" t="s">
        <v>1530</v>
      </c>
      <c r="I348" s="2" t="s">
        <v>1060</v>
      </c>
      <c r="J348" s="2" t="s">
        <v>86</v>
      </c>
      <c r="K348" s="2" t="s">
        <v>38</v>
      </c>
      <c r="L348" s="2" t="s">
        <v>11</v>
      </c>
      <c r="M348" s="2" t="s">
        <v>14</v>
      </c>
      <c r="N348" s="2" t="s">
        <v>19</v>
      </c>
      <c r="O348" s="2">
        <v>1</v>
      </c>
      <c r="P348" s="2" t="s">
        <v>22</v>
      </c>
      <c r="Q348" s="2" t="s">
        <v>1056</v>
      </c>
      <c r="T348" s="2" t="s">
        <v>50</v>
      </c>
      <c r="U348" s="2" t="s">
        <v>52</v>
      </c>
      <c r="V348" s="2">
        <v>2199</v>
      </c>
      <c r="W348" s="2" t="s">
        <v>1064</v>
      </c>
      <c r="X348" s="2">
        <v>95</v>
      </c>
      <c r="Y348" s="2">
        <v>17</v>
      </c>
      <c r="AB348" s="2">
        <v>19.4177215189873</v>
      </c>
      <c r="AC348" s="2">
        <v>26.649463018718201</v>
      </c>
      <c r="AD348" s="2">
        <v>35.2151898734177</v>
      </c>
      <c r="AE348" s="2">
        <v>26.9306645926419</v>
      </c>
      <c r="AF348" s="2" t="s">
        <v>74</v>
      </c>
      <c r="AG348" s="2" t="s">
        <v>64</v>
      </c>
      <c r="AH348" s="2" t="str">
        <f t="shared" si="13"/>
        <v>mean</v>
      </c>
      <c r="AR348" s="2" t="s">
        <v>849</v>
      </c>
      <c r="AS348" s="2" t="s">
        <v>849</v>
      </c>
      <c r="AU348" s="2" t="s">
        <v>1818</v>
      </c>
      <c r="AV348" s="2" t="s">
        <v>1830</v>
      </c>
      <c r="AW348" s="2" t="s">
        <v>1831</v>
      </c>
      <c r="AX348" s="2" t="s">
        <v>1821</v>
      </c>
      <c r="AY348" s="2" t="s">
        <v>79</v>
      </c>
    </row>
    <row r="349" spans="1:51" x14ac:dyDescent="0.2">
      <c r="A349" s="2" t="s">
        <v>1061</v>
      </c>
      <c r="B349" s="2" t="s">
        <v>1062</v>
      </c>
      <c r="C349" s="2" t="s">
        <v>1063</v>
      </c>
      <c r="D349" s="2">
        <v>1998</v>
      </c>
      <c r="E349" s="2" t="s">
        <v>1288</v>
      </c>
      <c r="F349" s="2" t="s">
        <v>1355</v>
      </c>
      <c r="G349" s="2" t="s">
        <v>1431</v>
      </c>
      <c r="H349" s="2" t="s">
        <v>1531</v>
      </c>
      <c r="I349" s="2" t="s">
        <v>1060</v>
      </c>
      <c r="J349" s="2" t="s">
        <v>86</v>
      </c>
      <c r="K349" s="2" t="s">
        <v>38</v>
      </c>
      <c r="L349" s="2" t="s">
        <v>11</v>
      </c>
      <c r="M349" s="2" t="s">
        <v>14</v>
      </c>
      <c r="N349" s="2" t="s">
        <v>19</v>
      </c>
      <c r="O349" s="2">
        <v>1</v>
      </c>
      <c r="P349" s="2" t="s">
        <v>22</v>
      </c>
      <c r="Q349" s="2" t="s">
        <v>1056</v>
      </c>
      <c r="T349" s="2" t="s">
        <v>50</v>
      </c>
      <c r="U349" s="2" t="s">
        <v>52</v>
      </c>
      <c r="V349" s="2">
        <v>2199</v>
      </c>
      <c r="W349" s="2" t="s">
        <v>1064</v>
      </c>
      <c r="X349" s="2">
        <v>95</v>
      </c>
      <c r="Y349" s="2">
        <v>12</v>
      </c>
      <c r="AB349" s="2">
        <v>19.137055837563501</v>
      </c>
      <c r="AC349" s="2">
        <v>28.201384652492901</v>
      </c>
      <c r="AD349" s="2">
        <v>40.761421319797002</v>
      </c>
      <c r="AE349" s="2">
        <v>26.3764082370895</v>
      </c>
      <c r="AF349" s="2" t="s">
        <v>74</v>
      </c>
      <c r="AG349" s="2" t="s">
        <v>64</v>
      </c>
      <c r="AH349" s="2" t="str">
        <f t="shared" si="13"/>
        <v>mean</v>
      </c>
      <c r="AR349" s="2" t="s">
        <v>849</v>
      </c>
      <c r="AS349" s="2" t="s">
        <v>849</v>
      </c>
      <c r="AU349" s="2" t="s">
        <v>1818</v>
      </c>
      <c r="AV349" s="2" t="s">
        <v>1830</v>
      </c>
      <c r="AW349" s="2" t="s">
        <v>1831</v>
      </c>
      <c r="AX349" s="2" t="s">
        <v>1821</v>
      </c>
      <c r="AY349" s="2" t="s">
        <v>79</v>
      </c>
    </row>
    <row r="350" spans="1:51" x14ac:dyDescent="0.2">
      <c r="A350" s="2" t="s">
        <v>1061</v>
      </c>
      <c r="B350" s="2" t="s">
        <v>1062</v>
      </c>
      <c r="C350" s="2" t="s">
        <v>1063</v>
      </c>
      <c r="D350" s="2">
        <v>1998</v>
      </c>
      <c r="E350" s="2" t="s">
        <v>1288</v>
      </c>
      <c r="F350" s="2" t="s">
        <v>1355</v>
      </c>
      <c r="G350" s="2" t="s">
        <v>1431</v>
      </c>
      <c r="H350" s="2" t="s">
        <v>1532</v>
      </c>
      <c r="I350" s="2" t="s">
        <v>1060</v>
      </c>
      <c r="J350" s="2" t="s">
        <v>86</v>
      </c>
      <c r="K350" s="2" t="s">
        <v>38</v>
      </c>
      <c r="L350" s="2" t="s">
        <v>11</v>
      </c>
      <c r="M350" s="2" t="s">
        <v>14</v>
      </c>
      <c r="N350" s="2" t="s">
        <v>19</v>
      </c>
      <c r="O350" s="2">
        <v>1</v>
      </c>
      <c r="P350" s="2" t="s">
        <v>22</v>
      </c>
      <c r="Q350" s="2" t="s">
        <v>1056</v>
      </c>
      <c r="T350" s="2" t="s">
        <v>50</v>
      </c>
      <c r="U350" s="2" t="s">
        <v>52</v>
      </c>
      <c r="V350" s="2">
        <v>2199</v>
      </c>
      <c r="W350" s="2" t="s">
        <v>1064</v>
      </c>
      <c r="X350" s="2">
        <v>95</v>
      </c>
      <c r="Y350" s="2">
        <v>3</v>
      </c>
      <c r="AB350" s="2">
        <v>19.265822784810101</v>
      </c>
      <c r="AC350" s="2">
        <v>28.129988741980299</v>
      </c>
      <c r="AD350" s="2">
        <v>52.531645569620302</v>
      </c>
      <c r="AE350" s="2">
        <v>26.5727288452339</v>
      </c>
      <c r="AF350" s="2" t="s">
        <v>74</v>
      </c>
      <c r="AG350" s="2" t="s">
        <v>64</v>
      </c>
      <c r="AH350" s="2" t="str">
        <f t="shared" si="13"/>
        <v>mean</v>
      </c>
      <c r="AR350" s="2" t="s">
        <v>849</v>
      </c>
      <c r="AS350" s="2" t="s">
        <v>849</v>
      </c>
      <c r="AU350" s="2" t="s">
        <v>1818</v>
      </c>
      <c r="AV350" s="2" t="s">
        <v>1830</v>
      </c>
      <c r="AW350" s="2" t="s">
        <v>1831</v>
      </c>
      <c r="AX350" s="2" t="s">
        <v>1821</v>
      </c>
      <c r="AY350" s="2" t="s">
        <v>79</v>
      </c>
    </row>
    <row r="351" spans="1:51" x14ac:dyDescent="0.2">
      <c r="A351" s="2" t="s">
        <v>1061</v>
      </c>
      <c r="B351" s="2" t="s">
        <v>1062</v>
      </c>
      <c r="C351" s="2" t="s">
        <v>1063</v>
      </c>
      <c r="D351" s="2">
        <v>1998</v>
      </c>
      <c r="E351" s="2" t="s">
        <v>1288</v>
      </c>
      <c r="F351" s="2" t="s">
        <v>1355</v>
      </c>
      <c r="G351" s="2" t="s">
        <v>1431</v>
      </c>
      <c r="H351" s="2" t="s">
        <v>1533</v>
      </c>
      <c r="I351" s="2" t="s">
        <v>1060</v>
      </c>
      <c r="J351" s="2" t="s">
        <v>86</v>
      </c>
      <c r="K351" s="2" t="s">
        <v>38</v>
      </c>
      <c r="L351" s="2" t="s">
        <v>11</v>
      </c>
      <c r="M351" s="2" t="s">
        <v>14</v>
      </c>
      <c r="N351" s="2" t="s">
        <v>19</v>
      </c>
      <c r="O351" s="2">
        <v>1</v>
      </c>
      <c r="P351" s="2" t="s">
        <v>22</v>
      </c>
      <c r="Q351" s="2" t="s">
        <v>1056</v>
      </c>
      <c r="T351" s="2" t="s">
        <v>50</v>
      </c>
      <c r="U351" s="2" t="s">
        <v>52</v>
      </c>
      <c r="V351" s="2">
        <v>2199</v>
      </c>
      <c r="W351" s="2" t="s">
        <v>1064</v>
      </c>
      <c r="X351" s="2">
        <v>95</v>
      </c>
      <c r="Y351" s="2">
        <v>4</v>
      </c>
      <c r="AB351" s="2">
        <v>19.265822784810101</v>
      </c>
      <c r="AC351" s="2">
        <v>28.129988741980299</v>
      </c>
      <c r="AD351" s="2">
        <v>62.860759493670898</v>
      </c>
      <c r="AE351" s="2">
        <v>26.430379746835399</v>
      </c>
      <c r="AF351" s="2" t="s">
        <v>74</v>
      </c>
      <c r="AG351" s="2" t="s">
        <v>64</v>
      </c>
      <c r="AH351" s="2" t="str">
        <f t="shared" si="13"/>
        <v>mean</v>
      </c>
      <c r="AR351" s="2" t="s">
        <v>849</v>
      </c>
      <c r="AS351" s="2" t="s">
        <v>849</v>
      </c>
      <c r="AU351" s="2" t="s">
        <v>1818</v>
      </c>
      <c r="AV351" s="2" t="s">
        <v>1830</v>
      </c>
      <c r="AW351" s="2" t="s">
        <v>1831</v>
      </c>
      <c r="AX351" s="2" t="s">
        <v>1821</v>
      </c>
      <c r="AY351" s="2" t="s">
        <v>79</v>
      </c>
    </row>
    <row r="352" spans="1:51" x14ac:dyDescent="0.2">
      <c r="A352" s="2" t="s">
        <v>1061</v>
      </c>
      <c r="B352" s="2" t="s">
        <v>1062</v>
      </c>
      <c r="C352" s="2" t="s">
        <v>1063</v>
      </c>
      <c r="D352" s="2">
        <v>1998</v>
      </c>
      <c r="E352" s="2" t="s">
        <v>1288</v>
      </c>
      <c r="F352" s="2" t="s">
        <v>1355</v>
      </c>
      <c r="G352" s="2" t="s">
        <v>1431</v>
      </c>
      <c r="H352" s="2" t="s">
        <v>1534</v>
      </c>
      <c r="I352" s="2" t="s">
        <v>1060</v>
      </c>
      <c r="J352" s="2" t="s">
        <v>86</v>
      </c>
      <c r="K352" s="2" t="s">
        <v>38</v>
      </c>
      <c r="L352" s="2" t="s">
        <v>11</v>
      </c>
      <c r="M352" s="2" t="s">
        <v>14</v>
      </c>
      <c r="N352" s="2" t="s">
        <v>19</v>
      </c>
      <c r="O352" s="2">
        <v>1</v>
      </c>
      <c r="P352" s="2" t="s">
        <v>22</v>
      </c>
      <c r="Q352" s="2" t="s">
        <v>1056</v>
      </c>
      <c r="T352" s="2" t="s">
        <v>50</v>
      </c>
      <c r="U352" s="2" t="s">
        <v>52</v>
      </c>
      <c r="V352" s="2">
        <v>2199</v>
      </c>
      <c r="W352" s="2" t="s">
        <v>528</v>
      </c>
      <c r="X352" s="2">
        <v>53</v>
      </c>
      <c r="Y352" s="2">
        <v>15</v>
      </c>
      <c r="AB352" s="2">
        <v>27.5510204081633</v>
      </c>
      <c r="AC352" s="2">
        <v>28.2289975298632</v>
      </c>
      <c r="AD352" s="2">
        <v>56.530612244898002</v>
      </c>
      <c r="AE352" s="2">
        <v>26.0833572295602</v>
      </c>
      <c r="AF352" s="2" t="s">
        <v>74</v>
      </c>
      <c r="AG352" s="2" t="s">
        <v>64</v>
      </c>
      <c r="AH352" s="2" t="str">
        <f t="shared" si="13"/>
        <v>mean</v>
      </c>
      <c r="AR352" s="2" t="s">
        <v>849</v>
      </c>
      <c r="AS352" s="2" t="s">
        <v>849</v>
      </c>
      <c r="AU352" s="2" t="s">
        <v>1818</v>
      </c>
      <c r="AV352" s="2" t="s">
        <v>1830</v>
      </c>
      <c r="AW352" s="2" t="s">
        <v>1831</v>
      </c>
      <c r="AX352" s="2" t="s">
        <v>1821</v>
      </c>
      <c r="AY352" s="2" t="s">
        <v>79</v>
      </c>
    </row>
    <row r="353" spans="1:51" x14ac:dyDescent="0.2">
      <c r="A353" s="2" t="s">
        <v>1061</v>
      </c>
      <c r="B353" s="2" t="s">
        <v>1062</v>
      </c>
      <c r="C353" s="2" t="s">
        <v>1063</v>
      </c>
      <c r="D353" s="2">
        <v>1998</v>
      </c>
      <c r="E353" s="2" t="s">
        <v>1288</v>
      </c>
      <c r="F353" s="2" t="s">
        <v>1355</v>
      </c>
      <c r="G353" s="2" t="s">
        <v>1431</v>
      </c>
      <c r="H353" s="2" t="s">
        <v>1535</v>
      </c>
      <c r="I353" s="2" t="s">
        <v>1060</v>
      </c>
      <c r="J353" s="2" t="s">
        <v>86</v>
      </c>
      <c r="K353" s="2" t="s">
        <v>38</v>
      </c>
      <c r="L353" s="2" t="s">
        <v>11</v>
      </c>
      <c r="M353" s="2" t="s">
        <v>14</v>
      </c>
      <c r="N353" s="2" t="s">
        <v>19</v>
      </c>
      <c r="O353" s="2">
        <v>1</v>
      </c>
      <c r="P353" s="2" t="s">
        <v>22</v>
      </c>
      <c r="Q353" s="2" t="s">
        <v>1056</v>
      </c>
      <c r="T353" s="2" t="s">
        <v>50</v>
      </c>
      <c r="U353" s="2" t="s">
        <v>52</v>
      </c>
      <c r="V353" s="2">
        <v>2199</v>
      </c>
      <c r="W353" s="2" t="s">
        <v>528</v>
      </c>
      <c r="X353" s="2">
        <v>53</v>
      </c>
      <c r="Y353" s="2">
        <v>20</v>
      </c>
      <c r="AB353" s="2">
        <v>27.5510204081633</v>
      </c>
      <c r="AC353" s="2">
        <v>28.2289975298632</v>
      </c>
      <c r="AD353" s="2">
        <v>47.551020408163303</v>
      </c>
      <c r="AE353" s="2">
        <v>27.380424214283099</v>
      </c>
      <c r="AF353" s="2" t="s">
        <v>74</v>
      </c>
      <c r="AG353" s="2" t="s">
        <v>64</v>
      </c>
      <c r="AH353" s="2" t="str">
        <f t="shared" si="13"/>
        <v>mean</v>
      </c>
      <c r="AR353" s="2" t="s">
        <v>849</v>
      </c>
      <c r="AS353" s="2" t="s">
        <v>849</v>
      </c>
      <c r="AU353" s="2" t="s">
        <v>1818</v>
      </c>
      <c r="AV353" s="2" t="s">
        <v>1830</v>
      </c>
      <c r="AW353" s="2" t="s">
        <v>1831</v>
      </c>
      <c r="AX353" s="2" t="s">
        <v>1821</v>
      </c>
      <c r="AY353" s="2" t="s">
        <v>79</v>
      </c>
    </row>
    <row r="354" spans="1:51" x14ac:dyDescent="0.2">
      <c r="A354" s="2" t="s">
        <v>1061</v>
      </c>
      <c r="B354" s="2" t="s">
        <v>1062</v>
      </c>
      <c r="C354" s="2" t="s">
        <v>1063</v>
      </c>
      <c r="D354" s="2">
        <v>1998</v>
      </c>
      <c r="E354" s="2" t="s">
        <v>1288</v>
      </c>
      <c r="F354" s="2" t="s">
        <v>1355</v>
      </c>
      <c r="G354" s="2" t="s">
        <v>1431</v>
      </c>
      <c r="H354" s="2" t="s">
        <v>1536</v>
      </c>
      <c r="I354" s="2" t="s">
        <v>1060</v>
      </c>
      <c r="J354" s="2" t="s">
        <v>86</v>
      </c>
      <c r="K354" s="2" t="s">
        <v>38</v>
      </c>
      <c r="L354" s="2" t="s">
        <v>11</v>
      </c>
      <c r="M354" s="2" t="s">
        <v>14</v>
      </c>
      <c r="N354" s="2" t="s">
        <v>19</v>
      </c>
      <c r="O354" s="2">
        <v>1</v>
      </c>
      <c r="P354" s="2" t="s">
        <v>22</v>
      </c>
      <c r="Q354" s="2" t="s">
        <v>1056</v>
      </c>
      <c r="T354" s="2" t="s">
        <v>50</v>
      </c>
      <c r="U354" s="2" t="s">
        <v>52</v>
      </c>
      <c r="V354" s="2">
        <v>2199</v>
      </c>
      <c r="W354" s="2" t="s">
        <v>528</v>
      </c>
      <c r="X354" s="2">
        <v>53</v>
      </c>
      <c r="Y354" s="2">
        <v>8</v>
      </c>
      <c r="AB354" s="2">
        <v>27.440273037542699</v>
      </c>
      <c r="AC354" s="2">
        <v>28.3253422313303</v>
      </c>
      <c r="AD354" s="2">
        <v>36.860068259385699</v>
      </c>
      <c r="AE354" s="2">
        <v>30.1184048778433</v>
      </c>
      <c r="AF354" s="2" t="s">
        <v>74</v>
      </c>
      <c r="AG354" s="2" t="s">
        <v>64</v>
      </c>
      <c r="AH354" s="2" t="str">
        <f t="shared" si="13"/>
        <v>mean</v>
      </c>
      <c r="AR354" s="2" t="s">
        <v>849</v>
      </c>
      <c r="AS354" s="2" t="s">
        <v>849</v>
      </c>
      <c r="AU354" s="2" t="s">
        <v>1818</v>
      </c>
      <c r="AV354" s="2" t="s">
        <v>1830</v>
      </c>
      <c r="AW354" s="2" t="s">
        <v>1831</v>
      </c>
      <c r="AX354" s="2" t="s">
        <v>1821</v>
      </c>
      <c r="AY354" s="2" t="s">
        <v>79</v>
      </c>
    </row>
    <row r="355" spans="1:51" x14ac:dyDescent="0.2">
      <c r="A355" s="2" t="s">
        <v>1061</v>
      </c>
      <c r="B355" s="2" t="s">
        <v>1062</v>
      </c>
      <c r="C355" s="2" t="s">
        <v>1063</v>
      </c>
      <c r="D355" s="2">
        <v>1998</v>
      </c>
      <c r="E355" s="2" t="s">
        <v>1288</v>
      </c>
      <c r="F355" s="2" t="s">
        <v>1355</v>
      </c>
      <c r="G355" s="2" t="s">
        <v>1431</v>
      </c>
      <c r="H355" s="2" t="s">
        <v>1537</v>
      </c>
      <c r="I355" s="2" t="s">
        <v>1060</v>
      </c>
      <c r="J355" s="2" t="s">
        <v>86</v>
      </c>
      <c r="K355" s="2" t="s">
        <v>38</v>
      </c>
      <c r="L355" s="2" t="s">
        <v>11</v>
      </c>
      <c r="M355" s="2" t="s">
        <v>14</v>
      </c>
      <c r="N355" s="2" t="s">
        <v>19</v>
      </c>
      <c r="O355" s="2">
        <v>1</v>
      </c>
      <c r="P355" s="2" t="s">
        <v>22</v>
      </c>
      <c r="Q355" s="2" t="s">
        <v>1056</v>
      </c>
      <c r="T355" s="2" t="s">
        <v>50</v>
      </c>
      <c r="U355" s="2" t="s">
        <v>52</v>
      </c>
      <c r="V355" s="2">
        <v>2199</v>
      </c>
      <c r="W355" s="2" t="s">
        <v>528</v>
      </c>
      <c r="X355" s="2">
        <v>53</v>
      </c>
      <c r="Y355" s="2">
        <v>3</v>
      </c>
      <c r="AB355" s="2">
        <v>27.645051194539299</v>
      </c>
      <c r="AC355" s="2">
        <v>26.834534745470801</v>
      </c>
      <c r="AD355" s="2">
        <v>1.0238907849829499</v>
      </c>
      <c r="AE355" s="2">
        <v>26.956149087078799</v>
      </c>
      <c r="AF355" s="2" t="s">
        <v>74</v>
      </c>
      <c r="AG355" s="2" t="s">
        <v>64</v>
      </c>
      <c r="AH355" s="2" t="str">
        <f t="shared" si="13"/>
        <v>mean</v>
      </c>
      <c r="AR355" s="2" t="s">
        <v>849</v>
      </c>
      <c r="AS355" s="2" t="s">
        <v>849</v>
      </c>
      <c r="AU355" s="2" t="s">
        <v>1818</v>
      </c>
      <c r="AV355" s="2" t="s">
        <v>1830</v>
      </c>
      <c r="AW355" s="2" t="s">
        <v>1831</v>
      </c>
      <c r="AX355" s="2" t="s">
        <v>1821</v>
      </c>
      <c r="AY355" s="2" t="s">
        <v>79</v>
      </c>
    </row>
    <row r="356" spans="1:51" x14ac:dyDescent="0.2">
      <c r="A356" s="2" t="s">
        <v>1061</v>
      </c>
      <c r="B356" s="2" t="s">
        <v>1062</v>
      </c>
      <c r="C356" s="2" t="s">
        <v>1063</v>
      </c>
      <c r="D356" s="2">
        <v>1998</v>
      </c>
      <c r="E356" s="2" t="s">
        <v>1288</v>
      </c>
      <c r="F356" s="2" t="s">
        <v>1355</v>
      </c>
      <c r="G356" s="2" t="s">
        <v>1431</v>
      </c>
      <c r="H356" s="2" t="s">
        <v>1538</v>
      </c>
      <c r="I356" s="2" t="s">
        <v>1060</v>
      </c>
      <c r="J356" s="2" t="s">
        <v>86</v>
      </c>
      <c r="K356" s="2" t="s">
        <v>38</v>
      </c>
      <c r="L356" s="2" t="s">
        <v>11</v>
      </c>
      <c r="M356" s="2" t="s">
        <v>14</v>
      </c>
      <c r="N356" s="2" t="s">
        <v>19</v>
      </c>
      <c r="O356" s="2">
        <v>1</v>
      </c>
      <c r="P356" s="2" t="s">
        <v>22</v>
      </c>
      <c r="Q356" s="2" t="s">
        <v>1056</v>
      </c>
      <c r="T356" s="2" t="s">
        <v>50</v>
      </c>
      <c r="U356" s="2" t="s">
        <v>52</v>
      </c>
      <c r="V356" s="2">
        <v>2199</v>
      </c>
      <c r="W356" s="2" t="s">
        <v>528</v>
      </c>
      <c r="X356" s="2">
        <v>53</v>
      </c>
      <c r="Y356" s="2">
        <v>7</v>
      </c>
      <c r="AB356" s="2">
        <v>27.589743589743598</v>
      </c>
      <c r="AC356" s="2">
        <v>26.880405745035699</v>
      </c>
      <c r="AD356" s="2">
        <v>-0.92307692307689804</v>
      </c>
      <c r="AE356" s="2">
        <v>27.135910882713699</v>
      </c>
      <c r="AF356" s="2" t="s">
        <v>74</v>
      </c>
      <c r="AG356" s="2" t="s">
        <v>64</v>
      </c>
      <c r="AH356" s="2" t="str">
        <f t="shared" si="13"/>
        <v>mean</v>
      </c>
      <c r="AR356" s="2" t="s">
        <v>849</v>
      </c>
      <c r="AS356" s="2" t="s">
        <v>849</v>
      </c>
      <c r="AU356" s="2" t="s">
        <v>1818</v>
      </c>
      <c r="AV356" s="2" t="s">
        <v>1830</v>
      </c>
      <c r="AW356" s="2" t="s">
        <v>1831</v>
      </c>
      <c r="AX356" s="2" t="s">
        <v>1821</v>
      </c>
      <c r="AY356" s="2" t="s">
        <v>79</v>
      </c>
    </row>
    <row r="357" spans="1:51" x14ac:dyDescent="0.2">
      <c r="A357" s="2" t="s">
        <v>1061</v>
      </c>
      <c r="B357" s="2" t="s">
        <v>1062</v>
      </c>
      <c r="C357" s="2" t="s">
        <v>1063</v>
      </c>
      <c r="D357" s="2">
        <v>1998</v>
      </c>
      <c r="E357" s="2" t="s">
        <v>1288</v>
      </c>
      <c r="F357" s="2" t="s">
        <v>1355</v>
      </c>
      <c r="G357" s="2" t="s">
        <v>1432</v>
      </c>
      <c r="H357" s="2" t="s">
        <v>1539</v>
      </c>
      <c r="I357" s="2" t="s">
        <v>1060</v>
      </c>
      <c r="J357" s="2" t="s">
        <v>86</v>
      </c>
      <c r="K357" s="2" t="s">
        <v>38</v>
      </c>
      <c r="L357" s="2" t="s">
        <v>11</v>
      </c>
      <c r="M357" s="2" t="s">
        <v>14</v>
      </c>
      <c r="N357" s="2" t="s">
        <v>19</v>
      </c>
      <c r="O357" s="2">
        <v>1</v>
      </c>
      <c r="P357" s="2" t="s">
        <v>22</v>
      </c>
      <c r="Q357" s="2" t="s">
        <v>1056</v>
      </c>
      <c r="T357" s="2" t="s">
        <v>50</v>
      </c>
      <c r="U357" s="2" t="s">
        <v>52</v>
      </c>
      <c r="V357" s="2">
        <v>2199</v>
      </c>
      <c r="W357" s="2">
        <v>3</v>
      </c>
      <c r="X357" s="2">
        <v>58</v>
      </c>
      <c r="Y357" s="2">
        <v>39</v>
      </c>
      <c r="AB357" s="2">
        <v>1.9567839195979899</v>
      </c>
      <c r="AC357" s="2">
        <v>0.31381577622152801</v>
      </c>
      <c r="AD357" s="2">
        <v>1.74874371859297</v>
      </c>
      <c r="AE357" s="2">
        <v>0.32637175469016799</v>
      </c>
      <c r="AF357" s="2" t="s">
        <v>74</v>
      </c>
      <c r="AG357" s="2" t="s">
        <v>64</v>
      </c>
      <c r="AH357" s="2" t="str">
        <f t="shared" si="13"/>
        <v>mean</v>
      </c>
      <c r="AR357" s="2" t="s">
        <v>849</v>
      </c>
      <c r="AS357" s="2" t="s">
        <v>222</v>
      </c>
      <c r="AU357" s="2" t="s">
        <v>1818</v>
      </c>
      <c r="AV357" s="2" t="s">
        <v>1830</v>
      </c>
      <c r="AW357" s="2" t="s">
        <v>1831</v>
      </c>
      <c r="AX357" s="2" t="s">
        <v>1821</v>
      </c>
      <c r="AY357" s="2" t="s">
        <v>79</v>
      </c>
    </row>
    <row r="358" spans="1:51" x14ac:dyDescent="0.2">
      <c r="A358" s="2" t="s">
        <v>1061</v>
      </c>
      <c r="B358" s="2" t="s">
        <v>1062</v>
      </c>
      <c r="C358" s="2" t="s">
        <v>1063</v>
      </c>
      <c r="D358" s="2">
        <v>1998</v>
      </c>
      <c r="E358" s="2" t="s">
        <v>1288</v>
      </c>
      <c r="F358" s="2" t="s">
        <v>1355</v>
      </c>
      <c r="G358" s="2" t="s">
        <v>1432</v>
      </c>
      <c r="H358" s="2" t="s">
        <v>1540</v>
      </c>
      <c r="I358" s="2" t="s">
        <v>1060</v>
      </c>
      <c r="J358" s="2" t="s">
        <v>86</v>
      </c>
      <c r="K358" s="2" t="s">
        <v>38</v>
      </c>
      <c r="L358" s="2" t="s">
        <v>11</v>
      </c>
      <c r="M358" s="2" t="s">
        <v>14</v>
      </c>
      <c r="N358" s="2" t="s">
        <v>19</v>
      </c>
      <c r="O358" s="2">
        <v>1</v>
      </c>
      <c r="P358" s="2" t="s">
        <v>22</v>
      </c>
      <c r="Q358" s="2" t="s">
        <v>1056</v>
      </c>
      <c r="T358" s="2" t="s">
        <v>50</v>
      </c>
      <c r="U358" s="2" t="s">
        <v>52</v>
      </c>
      <c r="V358" s="2">
        <v>2199</v>
      </c>
      <c r="W358" s="2">
        <v>3</v>
      </c>
      <c r="X358" s="2">
        <v>58</v>
      </c>
      <c r="Y358" s="2">
        <v>23</v>
      </c>
      <c r="AB358" s="2">
        <v>1.95488721804511</v>
      </c>
      <c r="AC358" s="2">
        <v>0.32829899102972199</v>
      </c>
      <c r="AD358" s="2">
        <v>1.7563909774436099</v>
      </c>
      <c r="AE358" s="2">
        <v>0.37020453864168301</v>
      </c>
      <c r="AF358" s="2" t="s">
        <v>74</v>
      </c>
      <c r="AG358" s="2" t="s">
        <v>64</v>
      </c>
      <c r="AH358" s="2" t="str">
        <f t="shared" si="13"/>
        <v>mean</v>
      </c>
      <c r="AR358" s="2" t="s">
        <v>849</v>
      </c>
      <c r="AS358" s="2" t="s">
        <v>222</v>
      </c>
      <c r="AU358" s="2" t="s">
        <v>1818</v>
      </c>
      <c r="AV358" s="2" t="s">
        <v>1830</v>
      </c>
      <c r="AW358" s="2" t="s">
        <v>1831</v>
      </c>
      <c r="AX358" s="2" t="s">
        <v>1821</v>
      </c>
      <c r="AY358" s="2" t="s">
        <v>79</v>
      </c>
    </row>
    <row r="359" spans="1:51" x14ac:dyDescent="0.2">
      <c r="A359" s="2" t="s">
        <v>1061</v>
      </c>
      <c r="B359" s="2" t="s">
        <v>1062</v>
      </c>
      <c r="C359" s="2" t="s">
        <v>1063</v>
      </c>
      <c r="D359" s="2">
        <v>1998</v>
      </c>
      <c r="E359" s="2" t="s">
        <v>1288</v>
      </c>
      <c r="F359" s="2" t="s">
        <v>1355</v>
      </c>
      <c r="G359" s="2" t="s">
        <v>1432</v>
      </c>
      <c r="H359" s="2" t="s">
        <v>1541</v>
      </c>
      <c r="I359" s="2" t="s">
        <v>1060</v>
      </c>
      <c r="J359" s="2" t="s">
        <v>86</v>
      </c>
      <c r="K359" s="2" t="s">
        <v>38</v>
      </c>
      <c r="L359" s="2" t="s">
        <v>11</v>
      </c>
      <c r="M359" s="2" t="s">
        <v>14</v>
      </c>
      <c r="N359" s="2" t="s">
        <v>19</v>
      </c>
      <c r="O359" s="2">
        <v>1</v>
      </c>
      <c r="P359" s="2" t="s">
        <v>22</v>
      </c>
      <c r="Q359" s="2" t="s">
        <v>1056</v>
      </c>
      <c r="T359" s="2" t="s">
        <v>50</v>
      </c>
      <c r="U359" s="2" t="s">
        <v>52</v>
      </c>
      <c r="V359" s="2">
        <v>2199</v>
      </c>
      <c r="W359" s="2">
        <v>3</v>
      </c>
      <c r="X359" s="2">
        <v>58</v>
      </c>
      <c r="Y359" s="2">
        <v>12</v>
      </c>
      <c r="AB359" s="2">
        <v>1.95577889447236</v>
      </c>
      <c r="AC359" s="2">
        <v>0.321469819544004</v>
      </c>
      <c r="AD359" s="2">
        <v>1.7829145728643201</v>
      </c>
      <c r="AE359" s="2">
        <v>0.53885563448224405</v>
      </c>
      <c r="AF359" s="2" t="s">
        <v>74</v>
      </c>
      <c r="AG359" s="2" t="s">
        <v>64</v>
      </c>
      <c r="AH359" s="2" t="str">
        <f t="shared" si="13"/>
        <v>mean</v>
      </c>
      <c r="AR359" s="2" t="s">
        <v>849</v>
      </c>
      <c r="AS359" s="2" t="s">
        <v>222</v>
      </c>
      <c r="AU359" s="2" t="s">
        <v>1818</v>
      </c>
      <c r="AV359" s="2" t="s">
        <v>1830</v>
      </c>
      <c r="AW359" s="2" t="s">
        <v>1831</v>
      </c>
      <c r="AX359" s="2" t="s">
        <v>1821</v>
      </c>
      <c r="AY359" s="2" t="s">
        <v>79</v>
      </c>
    </row>
    <row r="360" spans="1:51" x14ac:dyDescent="0.2">
      <c r="A360" s="2" t="s">
        <v>1065</v>
      </c>
      <c r="B360" s="2" t="s">
        <v>1066</v>
      </c>
      <c r="C360" s="2" t="s">
        <v>1067</v>
      </c>
      <c r="D360" s="2">
        <v>2010</v>
      </c>
      <c r="E360" s="2" t="s">
        <v>1289</v>
      </c>
      <c r="F360" s="2" t="s">
        <v>1356</v>
      </c>
      <c r="G360" s="2" t="s">
        <v>1433</v>
      </c>
      <c r="H360" s="2" t="s">
        <v>1542</v>
      </c>
      <c r="I360" s="2" t="s">
        <v>1068</v>
      </c>
      <c r="J360" s="2" t="s">
        <v>32</v>
      </c>
      <c r="K360" s="2" t="s">
        <v>38</v>
      </c>
      <c r="L360" s="2" t="s">
        <v>11</v>
      </c>
      <c r="M360" s="2" t="s">
        <v>14</v>
      </c>
      <c r="N360" s="2" t="s">
        <v>21</v>
      </c>
      <c r="O360" s="2">
        <v>0</v>
      </c>
      <c r="P360" s="2" t="s">
        <v>22</v>
      </c>
      <c r="Q360" s="2" t="s">
        <v>29</v>
      </c>
      <c r="T360" s="2" t="s">
        <v>50</v>
      </c>
      <c r="U360" s="2" t="s">
        <v>54</v>
      </c>
      <c r="V360" s="2">
        <v>828</v>
      </c>
      <c r="X360" s="2">
        <v>176</v>
      </c>
      <c r="Y360" s="2">
        <v>190</v>
      </c>
      <c r="Z360" s="2">
        <v>53</v>
      </c>
      <c r="AA360" s="2">
        <v>42</v>
      </c>
      <c r="AH360" s="2" t="s">
        <v>1804</v>
      </c>
      <c r="AR360" s="2" t="s">
        <v>849</v>
      </c>
      <c r="AS360" s="2" t="s">
        <v>849</v>
      </c>
      <c r="AU360" s="2" t="s">
        <v>1818</v>
      </c>
      <c r="AV360" s="2" t="s">
        <v>1819</v>
      </c>
      <c r="AW360" s="2" t="s">
        <v>1823</v>
      </c>
      <c r="AX360" s="2" t="s">
        <v>1829</v>
      </c>
      <c r="AY360" s="2" t="s">
        <v>79</v>
      </c>
    </row>
    <row r="361" spans="1:51" x14ac:dyDescent="0.2">
      <c r="A361" s="2" t="s">
        <v>1069</v>
      </c>
      <c r="B361" s="2" t="s">
        <v>1070</v>
      </c>
      <c r="C361" s="2" t="s">
        <v>1071</v>
      </c>
      <c r="D361" s="2">
        <v>2000</v>
      </c>
      <c r="E361" s="2" t="s">
        <v>1290</v>
      </c>
      <c r="F361" s="2" t="s">
        <v>1357</v>
      </c>
      <c r="G361" s="2" t="s">
        <v>1434</v>
      </c>
      <c r="H361" s="2" t="s">
        <v>1543</v>
      </c>
      <c r="I361" s="2" t="s">
        <v>1072</v>
      </c>
      <c r="J361" s="2" t="s">
        <v>32</v>
      </c>
      <c r="K361" s="2" t="s">
        <v>37</v>
      </c>
      <c r="P361" s="2" t="s">
        <v>22</v>
      </c>
      <c r="Q361" s="2" t="s">
        <v>30</v>
      </c>
      <c r="R361" s="2" t="s">
        <v>41</v>
      </c>
      <c r="S361" s="2" t="s">
        <v>48</v>
      </c>
      <c r="T361" s="2" t="s">
        <v>50</v>
      </c>
      <c r="U361" s="2" t="s">
        <v>52</v>
      </c>
      <c r="V361" s="2">
        <v>567</v>
      </c>
      <c r="W361" s="2">
        <v>1</v>
      </c>
      <c r="X361" s="2">
        <v>145</v>
      </c>
      <c r="Y361" s="2">
        <v>25</v>
      </c>
      <c r="AB361" s="2">
        <v>17.521613832852999</v>
      </c>
      <c r="AC361" s="2">
        <v>15.1008645533141</v>
      </c>
      <c r="AD361" s="2">
        <v>20.518731988472599</v>
      </c>
      <c r="AE361" s="2">
        <v>17.060518731988498</v>
      </c>
      <c r="AF361" s="2" t="s">
        <v>74</v>
      </c>
      <c r="AG361" s="2" t="s">
        <v>64</v>
      </c>
      <c r="AH361" s="2" t="str">
        <f>IF(AF361="mean", "mean", "")</f>
        <v>mean</v>
      </c>
      <c r="AR361" s="2" t="s">
        <v>222</v>
      </c>
      <c r="AS361" s="2" t="s">
        <v>849</v>
      </c>
      <c r="AU361" s="2" t="s">
        <v>1818</v>
      </c>
      <c r="AV361" s="2" t="s">
        <v>1819</v>
      </c>
      <c r="AW361" s="2" t="s">
        <v>1823</v>
      </c>
      <c r="AX361" s="2" t="s">
        <v>1829</v>
      </c>
      <c r="AY361" s="2" t="s">
        <v>79</v>
      </c>
    </row>
    <row r="362" spans="1:51" x14ac:dyDescent="0.2">
      <c r="A362" s="2" t="s">
        <v>1073</v>
      </c>
      <c r="B362" s="2" t="s">
        <v>1074</v>
      </c>
      <c r="C362" s="2" t="s">
        <v>1075</v>
      </c>
      <c r="D362" s="2">
        <v>2015</v>
      </c>
      <c r="E362" s="2" t="s">
        <v>1291</v>
      </c>
      <c r="F362" s="2" t="s">
        <v>1358</v>
      </c>
      <c r="G362" s="2" t="s">
        <v>1435</v>
      </c>
      <c r="H362" s="2" t="s">
        <v>1544</v>
      </c>
      <c r="I362" s="2" t="s">
        <v>512</v>
      </c>
      <c r="J362" s="2" t="s">
        <v>86</v>
      </c>
      <c r="K362" s="2" t="s">
        <v>38</v>
      </c>
      <c r="L362" s="2" t="s">
        <v>11</v>
      </c>
      <c r="M362" s="2" t="s">
        <v>14</v>
      </c>
      <c r="N362" s="2" t="s">
        <v>17</v>
      </c>
      <c r="O362" s="2">
        <v>1</v>
      </c>
      <c r="P362" s="2" t="s">
        <v>79</v>
      </c>
      <c r="Q362" s="2" t="s">
        <v>1840</v>
      </c>
      <c r="T362" s="2" t="s">
        <v>50</v>
      </c>
      <c r="U362" s="2" t="s">
        <v>56</v>
      </c>
      <c r="X362" s="2">
        <v>144</v>
      </c>
      <c r="Y362" s="2">
        <v>150</v>
      </c>
      <c r="AB362" s="2">
        <v>33.006944444444443</v>
      </c>
      <c r="AC362" s="2">
        <v>47.24308459813502</v>
      </c>
      <c r="AD362" s="2">
        <v>10.733333333333333</v>
      </c>
      <c r="AE362" s="2">
        <v>29.324307132723831</v>
      </c>
      <c r="AF362" s="2" t="s">
        <v>74</v>
      </c>
      <c r="AG362" s="2" t="s">
        <v>64</v>
      </c>
      <c r="AH362" s="2" t="str">
        <f>IF(AF362="mean", "mean", "")</f>
        <v>mean</v>
      </c>
      <c r="AR362" s="2" t="s">
        <v>849</v>
      </c>
      <c r="AS362" s="2" t="s">
        <v>849</v>
      </c>
      <c r="AU362" s="2" t="s">
        <v>1818</v>
      </c>
      <c r="AV362" s="2" t="s">
        <v>1830</v>
      </c>
      <c r="AW362" s="2" t="s">
        <v>1831</v>
      </c>
      <c r="AX362" s="2" t="s">
        <v>1829</v>
      </c>
      <c r="AY362" s="2" t="s">
        <v>79</v>
      </c>
    </row>
    <row r="363" spans="1:51" x14ac:dyDescent="0.2">
      <c r="A363" s="2" t="s">
        <v>1073</v>
      </c>
      <c r="B363" s="2" t="s">
        <v>1074</v>
      </c>
      <c r="C363" s="2" t="s">
        <v>1075</v>
      </c>
      <c r="D363" s="2">
        <v>2015</v>
      </c>
      <c r="E363" s="2" t="s">
        <v>1291</v>
      </c>
      <c r="F363" s="2" t="s">
        <v>1358</v>
      </c>
      <c r="G363" s="2" t="s">
        <v>1435</v>
      </c>
      <c r="H363" s="2" t="s">
        <v>1545</v>
      </c>
      <c r="I363" s="2" t="s">
        <v>512</v>
      </c>
      <c r="J363" s="2" t="s">
        <v>86</v>
      </c>
      <c r="K363" s="2" t="s">
        <v>38</v>
      </c>
      <c r="L363" s="2" t="s">
        <v>11</v>
      </c>
      <c r="M363" s="2" t="s">
        <v>14</v>
      </c>
      <c r="N363" s="2" t="s">
        <v>17</v>
      </c>
      <c r="O363" s="2">
        <v>1</v>
      </c>
      <c r="P363" s="2" t="s">
        <v>79</v>
      </c>
      <c r="Q363" s="2" t="s">
        <v>1840</v>
      </c>
      <c r="T363" s="2" t="s">
        <v>50</v>
      </c>
      <c r="U363" s="2" t="s">
        <v>56</v>
      </c>
      <c r="X363" s="2">
        <v>144</v>
      </c>
      <c r="Y363" s="2">
        <v>147</v>
      </c>
      <c r="AB363" s="2">
        <v>33.006944444444443</v>
      </c>
      <c r="AC363" s="2">
        <v>47.24308459813502</v>
      </c>
      <c r="AD363" s="2">
        <v>14.993197278911564</v>
      </c>
      <c r="AE363" s="2">
        <v>32.304098005153584</v>
      </c>
      <c r="AF363" s="2" t="s">
        <v>74</v>
      </c>
      <c r="AG363" s="2" t="s">
        <v>64</v>
      </c>
      <c r="AH363" s="2" t="str">
        <f>IF(AF363="mean", "mean", "")</f>
        <v>mean</v>
      </c>
      <c r="AR363" s="2" t="s">
        <v>849</v>
      </c>
      <c r="AS363" s="2" t="s">
        <v>849</v>
      </c>
      <c r="AU363" s="2" t="s">
        <v>1818</v>
      </c>
      <c r="AV363" s="2" t="s">
        <v>1830</v>
      </c>
      <c r="AW363" s="2" t="s">
        <v>1831</v>
      </c>
      <c r="AX363" s="2" t="s">
        <v>1829</v>
      </c>
      <c r="AY363" s="2" t="s">
        <v>79</v>
      </c>
    </row>
    <row r="364" spans="1:51" x14ac:dyDescent="0.2">
      <c r="A364" s="2" t="s">
        <v>1076</v>
      </c>
      <c r="B364" s="2" t="s">
        <v>1077</v>
      </c>
      <c r="C364" s="2" t="s">
        <v>1078</v>
      </c>
      <c r="D364" s="2">
        <v>1992</v>
      </c>
      <c r="E364" s="2" t="s">
        <v>1292</v>
      </c>
      <c r="F364" s="2" t="s">
        <v>1359</v>
      </c>
      <c r="G364" s="2" t="s">
        <v>1436</v>
      </c>
      <c r="H364" s="2" t="s">
        <v>1546</v>
      </c>
      <c r="I364" s="2" t="s">
        <v>230</v>
      </c>
      <c r="J364" s="2" t="s">
        <v>34</v>
      </c>
      <c r="K364" s="2" t="s">
        <v>37</v>
      </c>
      <c r="P364" s="2" t="s">
        <v>22</v>
      </c>
      <c r="Q364" s="2" t="s">
        <v>27</v>
      </c>
      <c r="R364" s="2" t="s">
        <v>41</v>
      </c>
      <c r="S364" s="2" t="s">
        <v>48</v>
      </c>
      <c r="T364" s="2" t="s">
        <v>50</v>
      </c>
      <c r="U364" s="2" t="s">
        <v>53</v>
      </c>
      <c r="V364" s="2">
        <v>1148</v>
      </c>
      <c r="W364" s="2">
        <v>2</v>
      </c>
      <c r="AH364" s="2" t="s">
        <v>4</v>
      </c>
      <c r="AN364" s="2">
        <v>51</v>
      </c>
      <c r="AO364" s="2">
        <v>-9.5000000000000001E-2</v>
      </c>
      <c r="AR364" s="2" t="s">
        <v>222</v>
      </c>
      <c r="AS364" s="2" t="s">
        <v>222</v>
      </c>
      <c r="AU364" s="2" t="s">
        <v>1818</v>
      </c>
      <c r="AV364" s="2" t="s">
        <v>1830</v>
      </c>
      <c r="AW364" s="2" t="s">
        <v>1820</v>
      </c>
      <c r="AX364" s="2" t="s">
        <v>1821</v>
      </c>
      <c r="AY364" s="2" t="s">
        <v>79</v>
      </c>
    </row>
    <row r="365" spans="1:51" x14ac:dyDescent="0.2">
      <c r="A365" s="2" t="s">
        <v>1076</v>
      </c>
      <c r="B365" s="2" t="s">
        <v>1077</v>
      </c>
      <c r="C365" s="2" t="s">
        <v>1078</v>
      </c>
      <c r="D365" s="2">
        <v>1992</v>
      </c>
      <c r="E365" s="2" t="s">
        <v>1292</v>
      </c>
      <c r="F365" s="2" t="s">
        <v>1359</v>
      </c>
      <c r="G365" s="2" t="s">
        <v>1436</v>
      </c>
      <c r="H365" s="2" t="s">
        <v>1547</v>
      </c>
      <c r="I365" s="2" t="s">
        <v>230</v>
      </c>
      <c r="J365" s="2" t="s">
        <v>34</v>
      </c>
      <c r="K365" s="2" t="s">
        <v>37</v>
      </c>
      <c r="P365" s="2" t="s">
        <v>22</v>
      </c>
      <c r="Q365" s="2" t="s">
        <v>27</v>
      </c>
      <c r="R365" s="2" t="s">
        <v>41</v>
      </c>
      <c r="S365" s="2" t="s">
        <v>48</v>
      </c>
      <c r="T365" s="2" t="s">
        <v>50</v>
      </c>
      <c r="U365" s="2" t="s">
        <v>53</v>
      </c>
      <c r="V365" s="2">
        <v>1148</v>
      </c>
      <c r="W365" s="2">
        <v>2</v>
      </c>
      <c r="AH365" s="2" t="s">
        <v>4</v>
      </c>
      <c r="AN365" s="2">
        <v>51</v>
      </c>
      <c r="AO365" s="2">
        <v>7.3999999999999996E-2</v>
      </c>
      <c r="AR365" s="2" t="s">
        <v>222</v>
      </c>
      <c r="AS365" s="2" t="s">
        <v>849</v>
      </c>
      <c r="AU365" s="2" t="s">
        <v>1818</v>
      </c>
      <c r="AV365" s="2" t="s">
        <v>1830</v>
      </c>
      <c r="AW365" s="2" t="s">
        <v>1820</v>
      </c>
      <c r="AX365" s="2" t="s">
        <v>1821</v>
      </c>
      <c r="AY365" s="2" t="s">
        <v>79</v>
      </c>
    </row>
    <row r="366" spans="1:51" x14ac:dyDescent="0.2">
      <c r="A366" s="2" t="s">
        <v>1076</v>
      </c>
      <c r="B366" s="2" t="s">
        <v>1077</v>
      </c>
      <c r="C366" s="2" t="s">
        <v>1078</v>
      </c>
      <c r="D366" s="2">
        <v>1992</v>
      </c>
      <c r="E366" s="2" t="s">
        <v>1292</v>
      </c>
      <c r="F366" s="2" t="s">
        <v>1359</v>
      </c>
      <c r="G366" s="2" t="s">
        <v>1436</v>
      </c>
      <c r="H366" s="2" t="s">
        <v>1548</v>
      </c>
      <c r="I366" s="2" t="s">
        <v>230</v>
      </c>
      <c r="J366" s="2" t="s">
        <v>34</v>
      </c>
      <c r="K366" s="2" t="s">
        <v>37</v>
      </c>
      <c r="P366" s="2" t="s">
        <v>22</v>
      </c>
      <c r="Q366" s="2" t="s">
        <v>27</v>
      </c>
      <c r="R366" s="2" t="s">
        <v>41</v>
      </c>
      <c r="S366" s="2" t="s">
        <v>48</v>
      </c>
      <c r="T366" s="2" t="s">
        <v>50</v>
      </c>
      <c r="U366" s="2" t="s">
        <v>53</v>
      </c>
      <c r="V366" s="2">
        <v>1148</v>
      </c>
      <c r="W366" s="2">
        <v>2</v>
      </c>
      <c r="AH366" s="2" t="s">
        <v>4</v>
      </c>
      <c r="AN366" s="2">
        <v>51</v>
      </c>
      <c r="AO366" s="2">
        <v>8.4000000000000005E-2</v>
      </c>
      <c r="AR366" s="2" t="s">
        <v>222</v>
      </c>
      <c r="AS366" s="2" t="s">
        <v>222</v>
      </c>
      <c r="AU366" s="2" t="s">
        <v>1818</v>
      </c>
      <c r="AV366" s="2" t="s">
        <v>1830</v>
      </c>
      <c r="AW366" s="2" t="s">
        <v>1820</v>
      </c>
      <c r="AX366" s="2" t="s">
        <v>1821</v>
      </c>
      <c r="AY366" s="2" t="s">
        <v>79</v>
      </c>
    </row>
    <row r="367" spans="1:51" x14ac:dyDescent="0.2">
      <c r="A367" s="2" t="s">
        <v>1076</v>
      </c>
      <c r="B367" s="2" t="s">
        <v>1077</v>
      </c>
      <c r="C367" s="2" t="s">
        <v>1078</v>
      </c>
      <c r="D367" s="2">
        <v>1992</v>
      </c>
      <c r="E367" s="2" t="s">
        <v>1292</v>
      </c>
      <c r="F367" s="2" t="s">
        <v>1359</v>
      </c>
      <c r="G367" s="2" t="s">
        <v>1436</v>
      </c>
      <c r="H367" s="2" t="s">
        <v>1549</v>
      </c>
      <c r="I367" s="2" t="s">
        <v>230</v>
      </c>
      <c r="J367" s="2" t="s">
        <v>34</v>
      </c>
      <c r="K367" s="2" t="s">
        <v>37</v>
      </c>
      <c r="P367" s="2" t="s">
        <v>22</v>
      </c>
      <c r="Q367" s="2" t="s">
        <v>27</v>
      </c>
      <c r="R367" s="2" t="s">
        <v>41</v>
      </c>
      <c r="S367" s="2" t="s">
        <v>48</v>
      </c>
      <c r="T367" s="2" t="s">
        <v>50</v>
      </c>
      <c r="U367" s="2" t="s">
        <v>53</v>
      </c>
      <c r="V367" s="2">
        <v>1148</v>
      </c>
      <c r="W367" s="2">
        <v>2</v>
      </c>
      <c r="AH367" s="2" t="s">
        <v>4</v>
      </c>
      <c r="AN367" s="2">
        <v>51</v>
      </c>
      <c r="AO367" s="2">
        <v>-8.6999999999999994E-2</v>
      </c>
      <c r="AR367" s="2" t="s">
        <v>222</v>
      </c>
      <c r="AS367" s="2" t="s">
        <v>849</v>
      </c>
      <c r="AU367" s="2" t="s">
        <v>1818</v>
      </c>
      <c r="AV367" s="2" t="s">
        <v>1830</v>
      </c>
      <c r="AW367" s="2" t="s">
        <v>1820</v>
      </c>
      <c r="AX367" s="2" t="s">
        <v>1821</v>
      </c>
      <c r="AY367" s="2" t="s">
        <v>79</v>
      </c>
    </row>
    <row r="368" spans="1:51" x14ac:dyDescent="0.2">
      <c r="A368" s="2" t="s">
        <v>1076</v>
      </c>
      <c r="B368" s="2" t="s">
        <v>1077</v>
      </c>
      <c r="C368" s="2" t="s">
        <v>1078</v>
      </c>
      <c r="D368" s="2">
        <v>1992</v>
      </c>
      <c r="E368" s="2" t="s">
        <v>1292</v>
      </c>
      <c r="F368" s="2" t="s">
        <v>1359</v>
      </c>
      <c r="G368" s="2" t="s">
        <v>1436</v>
      </c>
      <c r="H368" s="2" t="s">
        <v>1550</v>
      </c>
      <c r="I368" s="2" t="s">
        <v>230</v>
      </c>
      <c r="J368" s="2" t="s">
        <v>34</v>
      </c>
      <c r="K368" s="2" t="s">
        <v>37</v>
      </c>
      <c r="P368" s="2" t="s">
        <v>22</v>
      </c>
      <c r="Q368" s="2" t="s">
        <v>27</v>
      </c>
      <c r="R368" s="2" t="s">
        <v>41</v>
      </c>
      <c r="S368" s="2" t="s">
        <v>48</v>
      </c>
      <c r="T368" s="2" t="s">
        <v>50</v>
      </c>
      <c r="U368" s="2" t="s">
        <v>53</v>
      </c>
      <c r="V368" s="2">
        <v>1148</v>
      </c>
      <c r="W368" s="2">
        <v>2</v>
      </c>
      <c r="AH368" s="2" t="s">
        <v>4</v>
      </c>
      <c r="AN368" s="2">
        <v>51</v>
      </c>
      <c r="AO368" s="2">
        <v>1.7000000000000001E-2</v>
      </c>
      <c r="AR368" s="2" t="s">
        <v>222</v>
      </c>
      <c r="AS368" s="2" t="s">
        <v>849</v>
      </c>
      <c r="AU368" s="2" t="s">
        <v>1818</v>
      </c>
      <c r="AV368" s="2" t="s">
        <v>1830</v>
      </c>
      <c r="AW368" s="2" t="s">
        <v>1820</v>
      </c>
      <c r="AX368" s="2" t="s">
        <v>1821</v>
      </c>
      <c r="AY368" s="2" t="s">
        <v>79</v>
      </c>
    </row>
    <row r="369" spans="1:51" x14ac:dyDescent="0.2">
      <c r="A369" s="2" t="s">
        <v>1076</v>
      </c>
      <c r="B369" s="2" t="s">
        <v>1077</v>
      </c>
      <c r="C369" s="2" t="s">
        <v>1078</v>
      </c>
      <c r="D369" s="2">
        <v>1992</v>
      </c>
      <c r="E369" s="2" t="s">
        <v>1292</v>
      </c>
      <c r="F369" s="2" t="s">
        <v>1359</v>
      </c>
      <c r="G369" s="2" t="s">
        <v>1436</v>
      </c>
      <c r="H369" s="2" t="s">
        <v>1551</v>
      </c>
      <c r="I369" s="2" t="s">
        <v>230</v>
      </c>
      <c r="J369" s="2" t="s">
        <v>34</v>
      </c>
      <c r="K369" s="2" t="s">
        <v>37</v>
      </c>
      <c r="P369" s="2" t="s">
        <v>22</v>
      </c>
      <c r="Q369" s="2" t="s">
        <v>27</v>
      </c>
      <c r="R369" s="2" t="s">
        <v>41</v>
      </c>
      <c r="S369" s="2" t="s">
        <v>48</v>
      </c>
      <c r="T369" s="2" t="s">
        <v>50</v>
      </c>
      <c r="U369" s="2" t="s">
        <v>53</v>
      </c>
      <c r="V369" s="2">
        <v>1148</v>
      </c>
      <c r="W369" s="2">
        <v>2</v>
      </c>
      <c r="AH369" s="2" t="s">
        <v>4</v>
      </c>
      <c r="AN369" s="2">
        <v>51</v>
      </c>
      <c r="AO369" s="2">
        <v>0.13700000000000001</v>
      </c>
      <c r="AR369" s="2" t="s">
        <v>222</v>
      </c>
      <c r="AS369" s="2" t="s">
        <v>849</v>
      </c>
      <c r="AU369" s="2" t="s">
        <v>1818</v>
      </c>
      <c r="AV369" s="2" t="s">
        <v>1830</v>
      </c>
      <c r="AW369" s="2" t="s">
        <v>1820</v>
      </c>
      <c r="AX369" s="2" t="s">
        <v>1821</v>
      </c>
      <c r="AY369" s="2" t="s">
        <v>79</v>
      </c>
    </row>
    <row r="370" spans="1:51" x14ac:dyDescent="0.2">
      <c r="A370" s="2" t="s">
        <v>1076</v>
      </c>
      <c r="B370" s="2" t="s">
        <v>1077</v>
      </c>
      <c r="C370" s="2" t="s">
        <v>1078</v>
      </c>
      <c r="D370" s="2">
        <v>1992</v>
      </c>
      <c r="E370" s="2" t="s">
        <v>1292</v>
      </c>
      <c r="F370" s="2" t="s">
        <v>1359</v>
      </c>
      <c r="G370" s="2" t="s">
        <v>1436</v>
      </c>
      <c r="H370" s="2" t="s">
        <v>1552</v>
      </c>
      <c r="I370" s="2" t="s">
        <v>230</v>
      </c>
      <c r="J370" s="2" t="s">
        <v>34</v>
      </c>
      <c r="K370" s="2" t="s">
        <v>37</v>
      </c>
      <c r="P370" s="2" t="s">
        <v>22</v>
      </c>
      <c r="Q370" s="2" t="s">
        <v>27</v>
      </c>
      <c r="R370" s="2" t="s">
        <v>41</v>
      </c>
      <c r="S370" s="2" t="s">
        <v>48</v>
      </c>
      <c r="T370" s="2" t="s">
        <v>50</v>
      </c>
      <c r="U370" s="2" t="s">
        <v>53</v>
      </c>
      <c r="V370" s="2">
        <v>1148</v>
      </c>
      <c r="W370" s="2">
        <v>2</v>
      </c>
      <c r="AC370" s="6"/>
      <c r="AH370" s="2" t="s">
        <v>4</v>
      </c>
      <c r="AN370" s="2">
        <v>51</v>
      </c>
      <c r="AO370" s="2">
        <v>-0.10199999999999999</v>
      </c>
      <c r="AR370" s="2" t="s">
        <v>222</v>
      </c>
      <c r="AS370" s="2" t="s">
        <v>222</v>
      </c>
      <c r="AU370" s="2" t="s">
        <v>1818</v>
      </c>
      <c r="AV370" s="2" t="s">
        <v>1830</v>
      </c>
      <c r="AW370" s="2" t="s">
        <v>1820</v>
      </c>
      <c r="AX370" s="2" t="s">
        <v>1821</v>
      </c>
      <c r="AY370" s="2" t="s">
        <v>79</v>
      </c>
    </row>
    <row r="371" spans="1:51" x14ac:dyDescent="0.2">
      <c r="A371" s="2" t="s">
        <v>1076</v>
      </c>
      <c r="B371" s="2" t="s">
        <v>1077</v>
      </c>
      <c r="C371" s="2" t="s">
        <v>1078</v>
      </c>
      <c r="D371" s="2">
        <v>1992</v>
      </c>
      <c r="E371" s="2" t="s">
        <v>1292</v>
      </c>
      <c r="F371" s="2" t="s">
        <v>1359</v>
      </c>
      <c r="G371" s="2" t="s">
        <v>1436</v>
      </c>
      <c r="H371" s="2" t="s">
        <v>1553</v>
      </c>
      <c r="I371" s="2" t="s">
        <v>230</v>
      </c>
      <c r="J371" s="2" t="s">
        <v>34</v>
      </c>
      <c r="K371" s="2" t="s">
        <v>37</v>
      </c>
      <c r="P371" s="2" t="s">
        <v>22</v>
      </c>
      <c r="Q371" s="2" t="s">
        <v>27</v>
      </c>
      <c r="R371" s="2" t="s">
        <v>41</v>
      </c>
      <c r="S371" s="2" t="s">
        <v>48</v>
      </c>
      <c r="T371" s="2" t="s">
        <v>50</v>
      </c>
      <c r="U371" s="2" t="s">
        <v>53</v>
      </c>
      <c r="V371" s="2">
        <v>1148</v>
      </c>
      <c r="W371" s="2">
        <v>2</v>
      </c>
      <c r="AC371" s="6"/>
      <c r="AH371" s="2" t="s">
        <v>4</v>
      </c>
      <c r="AN371" s="2">
        <v>51</v>
      </c>
      <c r="AO371" s="2">
        <v>-0.15</v>
      </c>
      <c r="AR371" s="2" t="s">
        <v>222</v>
      </c>
      <c r="AS371" s="2" t="s">
        <v>849</v>
      </c>
      <c r="AU371" s="2" t="s">
        <v>1818</v>
      </c>
      <c r="AV371" s="2" t="s">
        <v>1830</v>
      </c>
      <c r="AW371" s="2" t="s">
        <v>1820</v>
      </c>
      <c r="AX371" s="2" t="s">
        <v>1821</v>
      </c>
      <c r="AY371" s="2" t="s">
        <v>79</v>
      </c>
    </row>
    <row r="372" spans="1:51" x14ac:dyDescent="0.2">
      <c r="A372" s="2" t="s">
        <v>1079</v>
      </c>
      <c r="B372" s="2" t="s">
        <v>1080</v>
      </c>
      <c r="C372" s="2" t="s">
        <v>1081</v>
      </c>
      <c r="D372" s="2">
        <v>2002</v>
      </c>
      <c r="E372" s="2" t="s">
        <v>1293</v>
      </c>
      <c r="F372" s="2" t="s">
        <v>1360</v>
      </c>
      <c r="G372" s="2" t="s">
        <v>1437</v>
      </c>
      <c r="H372" s="2" t="s">
        <v>1554</v>
      </c>
      <c r="I372" s="2" t="s">
        <v>1082</v>
      </c>
      <c r="J372" s="2" t="s">
        <v>85</v>
      </c>
      <c r="K372" s="2" t="s">
        <v>37</v>
      </c>
      <c r="P372" s="2" t="s">
        <v>22</v>
      </c>
      <c r="Q372" s="2" t="s">
        <v>30</v>
      </c>
      <c r="R372" s="2" t="s">
        <v>41</v>
      </c>
      <c r="S372" s="2" t="s">
        <v>47</v>
      </c>
      <c r="T372" s="2" t="s">
        <v>50</v>
      </c>
      <c r="U372" s="2" t="s">
        <v>53</v>
      </c>
      <c r="V372" s="2">
        <v>134</v>
      </c>
      <c r="W372" s="2">
        <v>1</v>
      </c>
      <c r="X372" s="2">
        <v>16</v>
      </c>
      <c r="Y372" s="2">
        <v>45</v>
      </c>
      <c r="Z372" s="2">
        <v>6</v>
      </c>
      <c r="AA372" s="2">
        <v>18</v>
      </c>
      <c r="AC372" s="6"/>
      <c r="AH372" s="2" t="s">
        <v>1804</v>
      </c>
      <c r="AR372" s="2" t="s">
        <v>222</v>
      </c>
      <c r="AS372" s="2" t="s">
        <v>849</v>
      </c>
      <c r="AU372" s="2" t="s">
        <v>1825</v>
      </c>
      <c r="AV372" s="2" t="s">
        <v>1822</v>
      </c>
      <c r="AW372" s="2" t="s">
        <v>1823</v>
      </c>
      <c r="AX372" s="2" t="s">
        <v>1821</v>
      </c>
      <c r="AY372" s="2" t="s">
        <v>1824</v>
      </c>
    </row>
    <row r="373" spans="1:51" x14ac:dyDescent="0.2">
      <c r="A373" s="2" t="s">
        <v>1079</v>
      </c>
      <c r="B373" s="2" t="s">
        <v>1080</v>
      </c>
      <c r="C373" s="2" t="s">
        <v>1081</v>
      </c>
      <c r="D373" s="2">
        <v>2002</v>
      </c>
      <c r="E373" s="2" t="s">
        <v>1293</v>
      </c>
      <c r="F373" s="2" t="s">
        <v>1361</v>
      </c>
      <c r="G373" s="2" t="s">
        <v>1438</v>
      </c>
      <c r="H373" s="2" t="s">
        <v>1555</v>
      </c>
      <c r="I373" s="2" t="s">
        <v>1082</v>
      </c>
      <c r="J373" s="2" t="s">
        <v>85</v>
      </c>
      <c r="K373" s="2" t="s">
        <v>37</v>
      </c>
      <c r="P373" s="2" t="s">
        <v>22</v>
      </c>
      <c r="Q373" s="2" t="s">
        <v>30</v>
      </c>
      <c r="R373" s="2" t="s">
        <v>41</v>
      </c>
      <c r="S373" s="2" t="s">
        <v>47</v>
      </c>
      <c r="T373" s="2" t="s">
        <v>50</v>
      </c>
      <c r="U373" s="2" t="s">
        <v>53</v>
      </c>
      <c r="V373" s="2">
        <v>134</v>
      </c>
      <c r="W373" s="2">
        <v>1</v>
      </c>
      <c r="X373" s="2">
        <v>221</v>
      </c>
      <c r="Y373" s="2">
        <v>72</v>
      </c>
      <c r="Z373" s="2">
        <v>25</v>
      </c>
      <c r="AA373" s="2">
        <v>9</v>
      </c>
      <c r="AH373" s="2" t="s">
        <v>1804</v>
      </c>
      <c r="AR373" s="2" t="s">
        <v>222</v>
      </c>
      <c r="AS373" s="2" t="s">
        <v>849</v>
      </c>
      <c r="AU373" s="2" t="s">
        <v>1825</v>
      </c>
      <c r="AV373" s="2" t="s">
        <v>1822</v>
      </c>
      <c r="AW373" s="2" t="s">
        <v>1823</v>
      </c>
      <c r="AX373" s="2" t="s">
        <v>1821</v>
      </c>
      <c r="AY373" s="2" t="s">
        <v>1824</v>
      </c>
    </row>
    <row r="374" spans="1:51" x14ac:dyDescent="0.2">
      <c r="A374" s="2" t="s">
        <v>1079</v>
      </c>
      <c r="B374" s="2" t="s">
        <v>1080</v>
      </c>
      <c r="C374" s="2" t="s">
        <v>1083</v>
      </c>
      <c r="D374" s="2">
        <v>2002</v>
      </c>
      <c r="E374" s="2" t="s">
        <v>1293</v>
      </c>
      <c r="F374" s="2" t="s">
        <v>1362</v>
      </c>
      <c r="G374" s="2" t="s">
        <v>1439</v>
      </c>
      <c r="H374" s="2" t="s">
        <v>1556</v>
      </c>
      <c r="I374" s="2" t="s">
        <v>1082</v>
      </c>
      <c r="J374" s="2" t="s">
        <v>85</v>
      </c>
      <c r="K374" s="2" t="s">
        <v>38</v>
      </c>
      <c r="L374" s="2" t="s">
        <v>11</v>
      </c>
      <c r="M374" s="2" t="s">
        <v>14</v>
      </c>
      <c r="N374" s="2" t="s">
        <v>19</v>
      </c>
      <c r="O374" s="2">
        <v>1</v>
      </c>
      <c r="P374" s="2" t="s">
        <v>22</v>
      </c>
      <c r="Q374" s="2" t="s">
        <v>30</v>
      </c>
      <c r="T374" s="2" t="s">
        <v>50</v>
      </c>
      <c r="U374" s="2" t="s">
        <v>53</v>
      </c>
      <c r="V374" s="2">
        <v>136</v>
      </c>
      <c r="W374" s="2">
        <v>2</v>
      </c>
      <c r="X374" s="2">
        <v>18</v>
      </c>
      <c r="Y374" s="2">
        <v>18</v>
      </c>
      <c r="Z374" s="2">
        <v>4</v>
      </c>
      <c r="AA374" s="2">
        <v>2</v>
      </c>
      <c r="AH374" s="2" t="s">
        <v>1804</v>
      </c>
      <c r="AR374" s="2" t="s">
        <v>849</v>
      </c>
      <c r="AS374" s="2" t="s">
        <v>849</v>
      </c>
      <c r="AU374" s="2" t="s">
        <v>1825</v>
      </c>
      <c r="AV374" s="2" t="s">
        <v>1822</v>
      </c>
      <c r="AW374" s="2" t="s">
        <v>1823</v>
      </c>
      <c r="AX374" s="2" t="s">
        <v>1821</v>
      </c>
      <c r="AY374" s="2" t="s">
        <v>1824</v>
      </c>
    </row>
    <row r="375" spans="1:51" x14ac:dyDescent="0.2">
      <c r="A375" s="2" t="s">
        <v>1079</v>
      </c>
      <c r="B375" s="2" t="s">
        <v>1080</v>
      </c>
      <c r="C375" s="2" t="s">
        <v>1084</v>
      </c>
      <c r="D375" s="2">
        <v>2002</v>
      </c>
      <c r="E375" s="2" t="s">
        <v>1293</v>
      </c>
      <c r="F375" s="2" t="s">
        <v>1362</v>
      </c>
      <c r="G375" s="2" t="s">
        <v>1439</v>
      </c>
      <c r="H375" s="2" t="s">
        <v>1557</v>
      </c>
      <c r="I375" s="2" t="s">
        <v>1082</v>
      </c>
      <c r="J375" s="2" t="s">
        <v>85</v>
      </c>
      <c r="K375" s="2" t="s">
        <v>38</v>
      </c>
      <c r="L375" s="2" t="s">
        <v>11</v>
      </c>
      <c r="M375" s="2" t="s">
        <v>14</v>
      </c>
      <c r="N375" s="2" t="s">
        <v>19</v>
      </c>
      <c r="O375" s="2">
        <v>1</v>
      </c>
      <c r="P375" s="2" t="s">
        <v>22</v>
      </c>
      <c r="Q375" s="2" t="s">
        <v>30</v>
      </c>
      <c r="T375" s="2" t="s">
        <v>50</v>
      </c>
      <c r="U375" s="2" t="s">
        <v>53</v>
      </c>
      <c r="V375" s="2">
        <v>136</v>
      </c>
      <c r="W375" s="2">
        <v>2</v>
      </c>
      <c r="X375" s="2">
        <v>15</v>
      </c>
      <c r="Y375" s="2">
        <v>15</v>
      </c>
      <c r="Z375" s="2">
        <v>1</v>
      </c>
      <c r="AA375" s="2">
        <v>3</v>
      </c>
      <c r="AH375" s="2" t="s">
        <v>1804</v>
      </c>
      <c r="AR375" s="2" t="s">
        <v>849</v>
      </c>
      <c r="AS375" s="2" t="s">
        <v>849</v>
      </c>
      <c r="AU375" s="2" t="s">
        <v>1825</v>
      </c>
      <c r="AV375" s="2" t="s">
        <v>1822</v>
      </c>
      <c r="AW375" s="2" t="s">
        <v>1823</v>
      </c>
      <c r="AX375" s="2" t="s">
        <v>1821</v>
      </c>
      <c r="AY375" s="2" t="s">
        <v>1824</v>
      </c>
    </row>
    <row r="376" spans="1:51" x14ac:dyDescent="0.2">
      <c r="A376" s="2" t="s">
        <v>1079</v>
      </c>
      <c r="B376" s="2" t="s">
        <v>1080</v>
      </c>
      <c r="C376" s="2" t="s">
        <v>1085</v>
      </c>
      <c r="D376" s="2">
        <v>2002</v>
      </c>
      <c r="E376" s="2" t="s">
        <v>1293</v>
      </c>
      <c r="F376" s="2" t="s">
        <v>1362</v>
      </c>
      <c r="G376" s="2" t="s">
        <v>1439</v>
      </c>
      <c r="H376" s="2" t="s">
        <v>1558</v>
      </c>
      <c r="I376" s="2" t="s">
        <v>1082</v>
      </c>
      <c r="J376" s="2" t="s">
        <v>85</v>
      </c>
      <c r="K376" s="2" t="s">
        <v>38</v>
      </c>
      <c r="L376" s="2" t="s">
        <v>11</v>
      </c>
      <c r="M376" s="2" t="s">
        <v>14</v>
      </c>
      <c r="N376" s="2" t="s">
        <v>19</v>
      </c>
      <c r="O376" s="2">
        <v>1</v>
      </c>
      <c r="P376" s="2" t="s">
        <v>22</v>
      </c>
      <c r="Q376" s="2" t="s">
        <v>1839</v>
      </c>
      <c r="T376" s="2" t="s">
        <v>50</v>
      </c>
      <c r="U376" s="2" t="s">
        <v>53</v>
      </c>
      <c r="V376" s="2">
        <v>136</v>
      </c>
      <c r="W376" s="2">
        <v>2</v>
      </c>
      <c r="X376" s="2">
        <v>18</v>
      </c>
      <c r="Y376" s="2">
        <v>18</v>
      </c>
      <c r="Z376" s="2">
        <v>7</v>
      </c>
      <c r="AA376" s="2">
        <v>11</v>
      </c>
      <c r="AH376" s="2" t="s">
        <v>1804</v>
      </c>
      <c r="AR376" s="2" t="s">
        <v>849</v>
      </c>
      <c r="AS376" s="2" t="s">
        <v>222</v>
      </c>
      <c r="AU376" s="2" t="s">
        <v>1825</v>
      </c>
      <c r="AV376" s="2" t="s">
        <v>1822</v>
      </c>
      <c r="AW376" s="2" t="s">
        <v>1823</v>
      </c>
      <c r="AX376" s="2" t="s">
        <v>1821</v>
      </c>
      <c r="AY376" s="2" t="s">
        <v>1824</v>
      </c>
    </row>
    <row r="377" spans="1:51" x14ac:dyDescent="0.2">
      <c r="A377" s="2" t="s">
        <v>1079</v>
      </c>
      <c r="B377" s="2" t="s">
        <v>1080</v>
      </c>
      <c r="C377" s="2" t="s">
        <v>1086</v>
      </c>
      <c r="D377" s="2">
        <v>2002</v>
      </c>
      <c r="E377" s="2" t="s">
        <v>1293</v>
      </c>
      <c r="F377" s="2" t="s">
        <v>1362</v>
      </c>
      <c r="G377" s="2" t="s">
        <v>1439</v>
      </c>
      <c r="H377" s="2" t="s">
        <v>1559</v>
      </c>
      <c r="I377" s="2" t="s">
        <v>1082</v>
      </c>
      <c r="J377" s="2" t="s">
        <v>85</v>
      </c>
      <c r="K377" s="2" t="s">
        <v>38</v>
      </c>
      <c r="L377" s="2" t="s">
        <v>11</v>
      </c>
      <c r="M377" s="2" t="s">
        <v>14</v>
      </c>
      <c r="N377" s="2" t="s">
        <v>19</v>
      </c>
      <c r="O377" s="2">
        <v>1</v>
      </c>
      <c r="P377" s="2" t="s">
        <v>22</v>
      </c>
      <c r="Q377" s="2" t="s">
        <v>1839</v>
      </c>
      <c r="T377" s="2" t="s">
        <v>50</v>
      </c>
      <c r="U377" s="2" t="s">
        <v>53</v>
      </c>
      <c r="V377" s="2">
        <v>136</v>
      </c>
      <c r="W377" s="2">
        <v>2</v>
      </c>
      <c r="X377" s="2">
        <v>15</v>
      </c>
      <c r="Y377" s="2">
        <v>15</v>
      </c>
      <c r="Z377" s="2">
        <v>3</v>
      </c>
      <c r="AA377" s="2">
        <v>3</v>
      </c>
      <c r="AH377" s="2" t="s">
        <v>1804</v>
      </c>
      <c r="AR377" s="2" t="s">
        <v>849</v>
      </c>
      <c r="AS377" s="2" t="s">
        <v>222</v>
      </c>
      <c r="AU377" s="2" t="s">
        <v>1825</v>
      </c>
      <c r="AV377" s="2" t="s">
        <v>1822</v>
      </c>
      <c r="AW377" s="2" t="s">
        <v>1823</v>
      </c>
      <c r="AX377" s="2" t="s">
        <v>1821</v>
      </c>
      <c r="AY377" s="2" t="s">
        <v>1824</v>
      </c>
    </row>
    <row r="378" spans="1:51" x14ac:dyDescent="0.2">
      <c r="A378" s="2" t="s">
        <v>1079</v>
      </c>
      <c r="B378" s="2" t="s">
        <v>1080</v>
      </c>
      <c r="C378" s="2" t="s">
        <v>1087</v>
      </c>
      <c r="D378" s="2">
        <v>2002</v>
      </c>
      <c r="E378" s="2" t="s">
        <v>1293</v>
      </c>
      <c r="F378" s="2" t="s">
        <v>1362</v>
      </c>
      <c r="G378" s="2" t="s">
        <v>1439</v>
      </c>
      <c r="H378" s="2" t="s">
        <v>1560</v>
      </c>
      <c r="I378" s="2" t="s">
        <v>1082</v>
      </c>
      <c r="J378" s="2" t="s">
        <v>85</v>
      </c>
      <c r="K378" s="2" t="s">
        <v>38</v>
      </c>
      <c r="L378" s="2" t="s">
        <v>11</v>
      </c>
      <c r="M378" s="2" t="s">
        <v>14</v>
      </c>
      <c r="N378" s="2" t="s">
        <v>19</v>
      </c>
      <c r="O378" s="2">
        <v>1</v>
      </c>
      <c r="P378" s="2" t="s">
        <v>22</v>
      </c>
      <c r="Q378" s="2" t="s">
        <v>1839</v>
      </c>
      <c r="T378" s="2" t="s">
        <v>50</v>
      </c>
      <c r="U378" s="2" t="s">
        <v>53</v>
      </c>
      <c r="V378" s="2">
        <v>136</v>
      </c>
      <c r="W378" s="2">
        <v>2</v>
      </c>
      <c r="X378" s="2">
        <v>18</v>
      </c>
      <c r="Y378" s="2">
        <v>18</v>
      </c>
      <c r="AB378" s="2">
        <v>492</v>
      </c>
      <c r="AC378" s="2">
        <v>220</v>
      </c>
      <c r="AD378" s="2">
        <v>465</v>
      </c>
      <c r="AE378" s="2">
        <v>258</v>
      </c>
      <c r="AF378" s="2" t="s">
        <v>74</v>
      </c>
      <c r="AG378" s="2" t="s">
        <v>65</v>
      </c>
      <c r="AH378" s="2" t="str">
        <f>IF(AF378="mean", "mean", "")</f>
        <v>mean</v>
      </c>
      <c r="AR378" s="2" t="s">
        <v>849</v>
      </c>
      <c r="AS378" s="2" t="s">
        <v>222</v>
      </c>
      <c r="AU378" s="2" t="s">
        <v>1825</v>
      </c>
      <c r="AV378" s="2" t="s">
        <v>1822</v>
      </c>
      <c r="AW378" s="2" t="s">
        <v>1823</v>
      </c>
      <c r="AX378" s="2" t="s">
        <v>1821</v>
      </c>
      <c r="AY378" s="2" t="s">
        <v>1824</v>
      </c>
    </row>
    <row r="379" spans="1:51" x14ac:dyDescent="0.2">
      <c r="A379" s="2" t="s">
        <v>1079</v>
      </c>
      <c r="B379" s="2" t="s">
        <v>1080</v>
      </c>
      <c r="C379" s="2" t="s">
        <v>1088</v>
      </c>
      <c r="D379" s="2">
        <v>2002</v>
      </c>
      <c r="E379" s="2" t="s">
        <v>1293</v>
      </c>
      <c r="F379" s="2" t="s">
        <v>1362</v>
      </c>
      <c r="G379" s="2" t="s">
        <v>1439</v>
      </c>
      <c r="H379" s="2" t="s">
        <v>1561</v>
      </c>
      <c r="I379" s="2" t="s">
        <v>1082</v>
      </c>
      <c r="J379" s="2" t="s">
        <v>85</v>
      </c>
      <c r="K379" s="2" t="s">
        <v>38</v>
      </c>
      <c r="L379" s="2" t="s">
        <v>11</v>
      </c>
      <c r="M379" s="2" t="s">
        <v>14</v>
      </c>
      <c r="N379" s="2" t="s">
        <v>19</v>
      </c>
      <c r="O379" s="2">
        <v>1</v>
      </c>
      <c r="P379" s="2" t="s">
        <v>22</v>
      </c>
      <c r="Q379" s="2" t="s">
        <v>1839</v>
      </c>
      <c r="T379" s="2" t="s">
        <v>50</v>
      </c>
      <c r="U379" s="2" t="s">
        <v>53</v>
      </c>
      <c r="V379" s="2">
        <v>136</v>
      </c>
      <c r="W379" s="2">
        <v>2</v>
      </c>
      <c r="X379" s="2">
        <v>15</v>
      </c>
      <c r="Y379" s="2">
        <v>15</v>
      </c>
      <c r="AB379" s="2">
        <v>131</v>
      </c>
      <c r="AC379" s="2">
        <v>57</v>
      </c>
      <c r="AD379" s="2">
        <v>131</v>
      </c>
      <c r="AE379" s="2">
        <v>55</v>
      </c>
      <c r="AF379" s="2" t="s">
        <v>74</v>
      </c>
      <c r="AG379" s="2" t="s">
        <v>65</v>
      </c>
      <c r="AH379" s="2" t="str">
        <f>IF(AF379="mean", "mean", "")</f>
        <v>mean</v>
      </c>
      <c r="AR379" s="2" t="s">
        <v>849</v>
      </c>
      <c r="AS379" s="2" t="s">
        <v>222</v>
      </c>
      <c r="AU379" s="2" t="s">
        <v>1825</v>
      </c>
      <c r="AV379" s="2" t="s">
        <v>1822</v>
      </c>
      <c r="AW379" s="2" t="s">
        <v>1823</v>
      </c>
      <c r="AX379" s="2" t="s">
        <v>1821</v>
      </c>
      <c r="AY379" s="2" t="s">
        <v>1824</v>
      </c>
    </row>
    <row r="380" spans="1:51" x14ac:dyDescent="0.2">
      <c r="A380" s="2" t="s">
        <v>1079</v>
      </c>
      <c r="B380" s="2" t="s">
        <v>1080</v>
      </c>
      <c r="C380" s="2" t="s">
        <v>1089</v>
      </c>
      <c r="D380" s="2">
        <v>2002</v>
      </c>
      <c r="E380" s="2" t="s">
        <v>1293</v>
      </c>
      <c r="F380" s="2" t="s">
        <v>1362</v>
      </c>
      <c r="G380" s="2" t="s">
        <v>1439</v>
      </c>
      <c r="H380" s="2" t="s">
        <v>1562</v>
      </c>
      <c r="I380" s="2" t="s">
        <v>1082</v>
      </c>
      <c r="J380" s="2" t="s">
        <v>85</v>
      </c>
      <c r="K380" s="2" t="s">
        <v>38</v>
      </c>
      <c r="L380" s="2" t="s">
        <v>11</v>
      </c>
      <c r="M380" s="2" t="s">
        <v>14</v>
      </c>
      <c r="N380" s="2" t="s">
        <v>19</v>
      </c>
      <c r="O380" s="2">
        <v>1</v>
      </c>
      <c r="P380" s="2" t="s">
        <v>22</v>
      </c>
      <c r="Q380" s="2" t="s">
        <v>1839</v>
      </c>
      <c r="T380" s="2" t="s">
        <v>50</v>
      </c>
      <c r="U380" s="2" t="s">
        <v>53</v>
      </c>
      <c r="V380" s="2">
        <v>136</v>
      </c>
      <c r="W380" s="2">
        <v>2</v>
      </c>
      <c r="X380" s="2">
        <v>18</v>
      </c>
      <c r="Y380" s="2">
        <v>18</v>
      </c>
      <c r="AB380" s="2">
        <v>2.1</v>
      </c>
      <c r="AC380" s="2">
        <v>0.5</v>
      </c>
      <c r="AD380" s="2">
        <v>2.6</v>
      </c>
      <c r="AE380" s="2">
        <v>0.4</v>
      </c>
      <c r="AF380" s="2" t="s">
        <v>74</v>
      </c>
      <c r="AG380" s="2" t="s">
        <v>65</v>
      </c>
      <c r="AH380" s="2" t="str">
        <f>IF(AF380="mean", "mean", "")</f>
        <v>mean</v>
      </c>
      <c r="AR380" s="2" t="s">
        <v>849</v>
      </c>
      <c r="AS380" s="2" t="s">
        <v>222</v>
      </c>
      <c r="AU380" s="2" t="s">
        <v>1825</v>
      </c>
      <c r="AV380" s="2" t="s">
        <v>1822</v>
      </c>
      <c r="AW380" s="2" t="s">
        <v>1823</v>
      </c>
      <c r="AX380" s="2" t="s">
        <v>1821</v>
      </c>
      <c r="AY380" s="2" t="s">
        <v>1824</v>
      </c>
    </row>
    <row r="381" spans="1:51" x14ac:dyDescent="0.2">
      <c r="A381" s="2" t="s">
        <v>1079</v>
      </c>
      <c r="B381" s="2" t="s">
        <v>1080</v>
      </c>
      <c r="C381" s="2" t="s">
        <v>1090</v>
      </c>
      <c r="D381" s="2">
        <v>2002</v>
      </c>
      <c r="E381" s="2" t="s">
        <v>1293</v>
      </c>
      <c r="F381" s="2" t="s">
        <v>1362</v>
      </c>
      <c r="G381" s="2" t="s">
        <v>1439</v>
      </c>
      <c r="H381" s="2" t="s">
        <v>1563</v>
      </c>
      <c r="I381" s="2" t="s">
        <v>1082</v>
      </c>
      <c r="J381" s="2" t="s">
        <v>85</v>
      </c>
      <c r="K381" s="2" t="s">
        <v>38</v>
      </c>
      <c r="L381" s="2" t="s">
        <v>11</v>
      </c>
      <c r="M381" s="2" t="s">
        <v>14</v>
      </c>
      <c r="N381" s="2" t="s">
        <v>19</v>
      </c>
      <c r="O381" s="2">
        <v>1</v>
      </c>
      <c r="P381" s="2" t="s">
        <v>22</v>
      </c>
      <c r="Q381" s="2" t="s">
        <v>1839</v>
      </c>
      <c r="T381" s="2" t="s">
        <v>50</v>
      </c>
      <c r="U381" s="2" t="s">
        <v>53</v>
      </c>
      <c r="V381" s="2">
        <v>136</v>
      </c>
      <c r="W381" s="2">
        <v>2</v>
      </c>
      <c r="X381" s="2">
        <v>15</v>
      </c>
      <c r="Y381" s="2">
        <v>15</v>
      </c>
      <c r="AB381" s="2">
        <v>2</v>
      </c>
      <c r="AC381" s="2">
        <v>0.3</v>
      </c>
      <c r="AD381" s="2">
        <v>2.1</v>
      </c>
      <c r="AE381" s="2">
        <v>0.4</v>
      </c>
      <c r="AF381" s="2" t="s">
        <v>74</v>
      </c>
      <c r="AG381" s="2" t="s">
        <v>65</v>
      </c>
      <c r="AH381" s="2" t="str">
        <f>IF(AF381="mean", "mean", "")</f>
        <v>mean</v>
      </c>
      <c r="AR381" s="2" t="s">
        <v>849</v>
      </c>
      <c r="AS381" s="2" t="s">
        <v>222</v>
      </c>
      <c r="AU381" s="2" t="s">
        <v>1825</v>
      </c>
      <c r="AV381" s="2" t="s">
        <v>1822</v>
      </c>
      <c r="AW381" s="2" t="s">
        <v>1823</v>
      </c>
      <c r="AX381" s="2" t="s">
        <v>1821</v>
      </c>
      <c r="AY381" s="2" t="s">
        <v>1824</v>
      </c>
    </row>
    <row r="382" spans="1:51" x14ac:dyDescent="0.2">
      <c r="A382" s="2" t="s">
        <v>1079</v>
      </c>
      <c r="B382" s="2" t="s">
        <v>1080</v>
      </c>
      <c r="C382" s="2" t="s">
        <v>1091</v>
      </c>
      <c r="D382" s="2">
        <v>2002</v>
      </c>
      <c r="E382" s="2" t="s">
        <v>1293</v>
      </c>
      <c r="F382" s="2" t="s">
        <v>1362</v>
      </c>
      <c r="G382" s="2" t="s">
        <v>1439</v>
      </c>
      <c r="H382" s="2" t="s">
        <v>1564</v>
      </c>
      <c r="I382" s="2" t="s">
        <v>1082</v>
      </c>
      <c r="J382" s="2" t="s">
        <v>85</v>
      </c>
      <c r="K382" s="2" t="s">
        <v>38</v>
      </c>
      <c r="L382" s="2" t="s">
        <v>11</v>
      </c>
      <c r="M382" s="2" t="s">
        <v>14</v>
      </c>
      <c r="N382" s="2" t="s">
        <v>19</v>
      </c>
      <c r="O382" s="2">
        <v>1</v>
      </c>
      <c r="P382" s="2" t="s">
        <v>22</v>
      </c>
      <c r="Q382" s="2" t="s">
        <v>1056</v>
      </c>
      <c r="T382" s="2" t="s">
        <v>50</v>
      </c>
      <c r="U382" s="2" t="s">
        <v>53</v>
      </c>
      <c r="V382" s="2">
        <v>136</v>
      </c>
      <c r="W382" s="2">
        <v>3</v>
      </c>
      <c r="X382" s="2">
        <v>19</v>
      </c>
      <c r="Y382" s="2">
        <v>19</v>
      </c>
      <c r="Z382" s="2">
        <v>18</v>
      </c>
      <c r="AA382" s="2">
        <v>18</v>
      </c>
      <c r="AH382" s="2" t="s">
        <v>1804</v>
      </c>
      <c r="AR382" s="2" t="s">
        <v>849</v>
      </c>
      <c r="AS382" s="2" t="s">
        <v>849</v>
      </c>
      <c r="AU382" s="2" t="s">
        <v>1825</v>
      </c>
      <c r="AV382" s="2" t="s">
        <v>1822</v>
      </c>
      <c r="AW382" s="2" t="s">
        <v>1823</v>
      </c>
      <c r="AX382" s="2" t="s">
        <v>1821</v>
      </c>
      <c r="AY382" s="2" t="s">
        <v>1824</v>
      </c>
    </row>
    <row r="383" spans="1:51" x14ac:dyDescent="0.2">
      <c r="A383" s="2" t="s">
        <v>1079</v>
      </c>
      <c r="B383" s="2" t="s">
        <v>1080</v>
      </c>
      <c r="C383" s="2" t="s">
        <v>1092</v>
      </c>
      <c r="D383" s="2">
        <v>2002</v>
      </c>
      <c r="E383" s="2" t="s">
        <v>1293</v>
      </c>
      <c r="F383" s="2" t="s">
        <v>1362</v>
      </c>
      <c r="G383" s="2" t="s">
        <v>1439</v>
      </c>
      <c r="H383" s="2" t="s">
        <v>1565</v>
      </c>
      <c r="I383" s="2" t="s">
        <v>1082</v>
      </c>
      <c r="J383" s="2" t="s">
        <v>85</v>
      </c>
      <c r="K383" s="2" t="s">
        <v>38</v>
      </c>
      <c r="L383" s="2" t="s">
        <v>11</v>
      </c>
      <c r="M383" s="2" t="s">
        <v>14</v>
      </c>
      <c r="N383" s="2" t="s">
        <v>19</v>
      </c>
      <c r="O383" s="2">
        <v>1</v>
      </c>
      <c r="P383" s="2" t="s">
        <v>22</v>
      </c>
      <c r="Q383" s="2" t="s">
        <v>1056</v>
      </c>
      <c r="T383" s="2" t="s">
        <v>50</v>
      </c>
      <c r="U383" s="2" t="s">
        <v>53</v>
      </c>
      <c r="V383" s="2">
        <v>136</v>
      </c>
      <c r="W383" s="2">
        <v>3</v>
      </c>
      <c r="X383" s="2">
        <v>16</v>
      </c>
      <c r="Y383" s="2">
        <v>16</v>
      </c>
      <c r="Z383" s="2">
        <v>15</v>
      </c>
      <c r="AA383" s="2">
        <v>15</v>
      </c>
      <c r="AH383" s="2" t="s">
        <v>1804</v>
      </c>
      <c r="AR383" s="2" t="s">
        <v>849</v>
      </c>
      <c r="AS383" s="2" t="s">
        <v>849</v>
      </c>
      <c r="AU383" s="2" t="s">
        <v>1825</v>
      </c>
      <c r="AV383" s="2" t="s">
        <v>1822</v>
      </c>
      <c r="AW383" s="2" t="s">
        <v>1823</v>
      </c>
      <c r="AX383" s="2" t="s">
        <v>1821</v>
      </c>
      <c r="AY383" s="2" t="s">
        <v>1824</v>
      </c>
    </row>
    <row r="384" spans="1:51" x14ac:dyDescent="0.2">
      <c r="A384" s="2" t="s">
        <v>1079</v>
      </c>
      <c r="B384" s="2" t="s">
        <v>1080</v>
      </c>
      <c r="C384" s="2" t="s">
        <v>1093</v>
      </c>
      <c r="D384" s="2">
        <v>2002</v>
      </c>
      <c r="E384" s="2" t="s">
        <v>1293</v>
      </c>
      <c r="F384" s="2" t="s">
        <v>1362</v>
      </c>
      <c r="G384" s="2" t="s">
        <v>1439</v>
      </c>
      <c r="H384" s="2" t="s">
        <v>1566</v>
      </c>
      <c r="I384" s="2" t="s">
        <v>1082</v>
      </c>
      <c r="J384" s="2" t="s">
        <v>85</v>
      </c>
      <c r="K384" s="2" t="s">
        <v>38</v>
      </c>
      <c r="L384" s="2" t="s">
        <v>11</v>
      </c>
      <c r="M384" s="2" t="s">
        <v>14</v>
      </c>
      <c r="N384" s="2" t="s">
        <v>19</v>
      </c>
      <c r="O384" s="2">
        <v>1</v>
      </c>
      <c r="P384" s="2" t="s">
        <v>22</v>
      </c>
      <c r="Q384" s="2" t="s">
        <v>1056</v>
      </c>
      <c r="T384" s="2" t="s">
        <v>50</v>
      </c>
      <c r="U384" s="2" t="s">
        <v>53</v>
      </c>
      <c r="V384" s="2">
        <v>136</v>
      </c>
      <c r="W384" s="2">
        <v>3</v>
      </c>
      <c r="X384" s="2">
        <v>19</v>
      </c>
      <c r="Y384" s="2">
        <v>19</v>
      </c>
      <c r="AB384" s="2">
        <v>666</v>
      </c>
      <c r="AC384" s="2">
        <v>203</v>
      </c>
      <c r="AD384" s="2">
        <v>647</v>
      </c>
      <c r="AE384" s="2">
        <v>222</v>
      </c>
      <c r="AF384" s="2" t="s">
        <v>74</v>
      </c>
      <c r="AG384" s="2" t="s">
        <v>65</v>
      </c>
      <c r="AH384" s="2" t="str">
        <f>IF(AF384="mean", "mean", "")</f>
        <v>mean</v>
      </c>
      <c r="AR384" s="2" t="s">
        <v>849</v>
      </c>
      <c r="AS384" s="2" t="s">
        <v>222</v>
      </c>
      <c r="AU384" s="2" t="s">
        <v>1825</v>
      </c>
      <c r="AV384" s="2" t="s">
        <v>1822</v>
      </c>
      <c r="AW384" s="2" t="s">
        <v>1823</v>
      </c>
      <c r="AX384" s="2" t="s">
        <v>1821</v>
      </c>
      <c r="AY384" s="2" t="s">
        <v>1824</v>
      </c>
    </row>
    <row r="385" spans="1:51" x14ac:dyDescent="0.2">
      <c r="A385" s="2" t="s">
        <v>1079</v>
      </c>
      <c r="B385" s="2" t="s">
        <v>1080</v>
      </c>
      <c r="C385" s="2" t="s">
        <v>1094</v>
      </c>
      <c r="D385" s="2">
        <v>2002</v>
      </c>
      <c r="E385" s="2" t="s">
        <v>1293</v>
      </c>
      <c r="F385" s="2" t="s">
        <v>1362</v>
      </c>
      <c r="G385" s="2" t="s">
        <v>1439</v>
      </c>
      <c r="H385" s="2" t="s">
        <v>1567</v>
      </c>
      <c r="I385" s="2" t="s">
        <v>1082</v>
      </c>
      <c r="J385" s="2" t="s">
        <v>85</v>
      </c>
      <c r="K385" s="2" t="s">
        <v>38</v>
      </c>
      <c r="L385" s="2" t="s">
        <v>11</v>
      </c>
      <c r="M385" s="2" t="s">
        <v>14</v>
      </c>
      <c r="N385" s="2" t="s">
        <v>19</v>
      </c>
      <c r="O385" s="2">
        <v>1</v>
      </c>
      <c r="P385" s="2" t="s">
        <v>22</v>
      </c>
      <c r="Q385" s="2" t="s">
        <v>1056</v>
      </c>
      <c r="T385" s="2" t="s">
        <v>50</v>
      </c>
      <c r="U385" s="2" t="s">
        <v>53</v>
      </c>
      <c r="V385" s="2">
        <v>136</v>
      </c>
      <c r="W385" s="2">
        <v>3</v>
      </c>
      <c r="X385" s="2">
        <v>16</v>
      </c>
      <c r="Y385" s="2">
        <v>16</v>
      </c>
      <c r="AB385" s="2">
        <v>503</v>
      </c>
      <c r="AC385" s="2">
        <v>222</v>
      </c>
      <c r="AD385" s="2">
        <v>629</v>
      </c>
      <c r="AE385" s="2">
        <v>249</v>
      </c>
      <c r="AF385" s="2" t="s">
        <v>74</v>
      </c>
      <c r="AG385" s="2" t="s">
        <v>65</v>
      </c>
      <c r="AH385" s="2" t="str">
        <f>IF(AF385="mean", "mean", "")</f>
        <v>mean</v>
      </c>
      <c r="AR385" s="2" t="s">
        <v>849</v>
      </c>
      <c r="AS385" s="2" t="s">
        <v>222</v>
      </c>
      <c r="AU385" s="2" t="s">
        <v>1825</v>
      </c>
      <c r="AV385" s="2" t="s">
        <v>1822</v>
      </c>
      <c r="AW385" s="2" t="s">
        <v>1823</v>
      </c>
      <c r="AX385" s="2" t="s">
        <v>1821</v>
      </c>
      <c r="AY385" s="2" t="s">
        <v>1824</v>
      </c>
    </row>
    <row r="386" spans="1:51" x14ac:dyDescent="0.2">
      <c r="A386" s="2" t="s">
        <v>1079</v>
      </c>
      <c r="B386" s="2" t="s">
        <v>1080</v>
      </c>
      <c r="C386" s="2" t="s">
        <v>1095</v>
      </c>
      <c r="D386" s="2">
        <v>2002</v>
      </c>
      <c r="E386" s="2" t="s">
        <v>1293</v>
      </c>
      <c r="F386" s="2" t="s">
        <v>1362</v>
      </c>
      <c r="G386" s="2" t="s">
        <v>1439</v>
      </c>
      <c r="H386" s="2" t="s">
        <v>1568</v>
      </c>
      <c r="I386" s="2" t="s">
        <v>1082</v>
      </c>
      <c r="J386" s="2" t="s">
        <v>85</v>
      </c>
      <c r="K386" s="2" t="s">
        <v>38</v>
      </c>
      <c r="L386" s="2" t="s">
        <v>11</v>
      </c>
      <c r="M386" s="2" t="s">
        <v>14</v>
      </c>
      <c r="N386" s="2" t="s">
        <v>19</v>
      </c>
      <c r="O386" s="2">
        <v>1</v>
      </c>
      <c r="P386" s="2" t="s">
        <v>22</v>
      </c>
      <c r="Q386" s="2" t="s">
        <v>30</v>
      </c>
      <c r="T386" s="2" t="s">
        <v>50</v>
      </c>
      <c r="U386" s="2" t="s">
        <v>53</v>
      </c>
      <c r="V386" s="2">
        <v>137</v>
      </c>
      <c r="W386" s="2">
        <v>4</v>
      </c>
      <c r="X386" s="2">
        <v>19</v>
      </c>
      <c r="Y386" s="2">
        <v>19</v>
      </c>
      <c r="Z386" s="2">
        <v>17</v>
      </c>
      <c r="AA386" s="2">
        <v>17</v>
      </c>
      <c r="AH386" s="2" t="s">
        <v>1804</v>
      </c>
      <c r="AR386" s="2" t="s">
        <v>849</v>
      </c>
      <c r="AS386" s="2" t="s">
        <v>849</v>
      </c>
      <c r="AU386" s="2" t="s">
        <v>1825</v>
      </c>
      <c r="AV386" s="2" t="s">
        <v>1822</v>
      </c>
      <c r="AW386" s="2" t="s">
        <v>1823</v>
      </c>
      <c r="AX386" s="2" t="s">
        <v>1821</v>
      </c>
      <c r="AY386" s="2" t="s">
        <v>1824</v>
      </c>
    </row>
    <row r="387" spans="1:51" x14ac:dyDescent="0.2">
      <c r="A387" s="2" t="s">
        <v>1079</v>
      </c>
      <c r="B387" s="2" t="s">
        <v>1080</v>
      </c>
      <c r="C387" s="2" t="s">
        <v>1096</v>
      </c>
      <c r="D387" s="2">
        <v>2002</v>
      </c>
      <c r="E387" s="2" t="s">
        <v>1293</v>
      </c>
      <c r="F387" s="2" t="s">
        <v>1362</v>
      </c>
      <c r="G387" s="2" t="s">
        <v>1439</v>
      </c>
      <c r="H387" s="2" t="s">
        <v>1569</v>
      </c>
      <c r="I387" s="2" t="s">
        <v>1082</v>
      </c>
      <c r="J387" s="2" t="s">
        <v>85</v>
      </c>
      <c r="K387" s="2" t="s">
        <v>38</v>
      </c>
      <c r="L387" s="2" t="s">
        <v>11</v>
      </c>
      <c r="M387" s="2" t="s">
        <v>14</v>
      </c>
      <c r="N387" s="2" t="s">
        <v>19</v>
      </c>
      <c r="O387" s="2">
        <v>1</v>
      </c>
      <c r="P387" s="2" t="s">
        <v>22</v>
      </c>
      <c r="Q387" s="2" t="s">
        <v>30</v>
      </c>
      <c r="T387" s="2" t="s">
        <v>50</v>
      </c>
      <c r="U387" s="2" t="s">
        <v>53</v>
      </c>
      <c r="V387" s="2">
        <v>137</v>
      </c>
      <c r="W387" s="2">
        <v>4</v>
      </c>
      <c r="X387" s="2">
        <v>16</v>
      </c>
      <c r="Y387" s="2">
        <v>16</v>
      </c>
      <c r="Z387" s="2">
        <v>12</v>
      </c>
      <c r="AA387" s="2">
        <v>13</v>
      </c>
      <c r="AH387" s="2" t="s">
        <v>1804</v>
      </c>
      <c r="AR387" s="2" t="s">
        <v>849</v>
      </c>
      <c r="AS387" s="2" t="s">
        <v>849</v>
      </c>
      <c r="AU387" s="2" t="s">
        <v>1825</v>
      </c>
      <c r="AV387" s="2" t="s">
        <v>1822</v>
      </c>
      <c r="AW387" s="2" t="s">
        <v>1823</v>
      </c>
      <c r="AX387" s="2" t="s">
        <v>1821</v>
      </c>
      <c r="AY387" s="2" t="s">
        <v>1824</v>
      </c>
    </row>
    <row r="388" spans="1:51" x14ac:dyDescent="0.2">
      <c r="A388" s="2" t="s">
        <v>1079</v>
      </c>
      <c r="B388" s="2" t="s">
        <v>1080</v>
      </c>
      <c r="C388" s="2" t="s">
        <v>1097</v>
      </c>
      <c r="D388" s="2">
        <v>2002</v>
      </c>
      <c r="E388" s="2" t="s">
        <v>1293</v>
      </c>
      <c r="F388" s="2" t="s">
        <v>1362</v>
      </c>
      <c r="G388" s="2" t="s">
        <v>1439</v>
      </c>
      <c r="H388" s="2" t="s">
        <v>1570</v>
      </c>
      <c r="I388" s="2" t="s">
        <v>1082</v>
      </c>
      <c r="J388" s="2" t="s">
        <v>85</v>
      </c>
      <c r="K388" s="2" t="s">
        <v>38</v>
      </c>
      <c r="L388" s="2" t="s">
        <v>11</v>
      </c>
      <c r="M388" s="2" t="s">
        <v>14</v>
      </c>
      <c r="N388" s="2" t="s">
        <v>19</v>
      </c>
      <c r="O388" s="2">
        <v>1</v>
      </c>
      <c r="P388" s="2" t="s">
        <v>22</v>
      </c>
      <c r="Q388" s="2" t="s">
        <v>1056</v>
      </c>
      <c r="T388" s="2" t="s">
        <v>50</v>
      </c>
      <c r="U388" s="2" t="s">
        <v>53</v>
      </c>
      <c r="V388" s="2">
        <v>137</v>
      </c>
      <c r="W388" s="2">
        <v>4</v>
      </c>
      <c r="X388" s="2">
        <v>19</v>
      </c>
      <c r="Y388" s="2">
        <v>19</v>
      </c>
      <c r="AB388" s="2">
        <v>168</v>
      </c>
      <c r="AC388" s="2">
        <v>23</v>
      </c>
      <c r="AD388" s="2">
        <v>149</v>
      </c>
      <c r="AE388" s="2">
        <v>21</v>
      </c>
      <c r="AF388" s="2" t="s">
        <v>74</v>
      </c>
      <c r="AG388" s="2" t="s">
        <v>65</v>
      </c>
      <c r="AH388" s="2" t="str">
        <f>IF(AF388="mean", "mean", "")</f>
        <v>mean</v>
      </c>
      <c r="AR388" s="2" t="s">
        <v>849</v>
      </c>
      <c r="AS388" s="2" t="s">
        <v>849</v>
      </c>
      <c r="AU388" s="2" t="s">
        <v>1825</v>
      </c>
      <c r="AV388" s="2" t="s">
        <v>1822</v>
      </c>
      <c r="AW388" s="2" t="s">
        <v>1823</v>
      </c>
      <c r="AX388" s="2" t="s">
        <v>1821</v>
      </c>
      <c r="AY388" s="2" t="s">
        <v>1824</v>
      </c>
    </row>
    <row r="389" spans="1:51" x14ac:dyDescent="0.2">
      <c r="A389" s="2" t="s">
        <v>1079</v>
      </c>
      <c r="B389" s="2" t="s">
        <v>1080</v>
      </c>
      <c r="C389" s="2" t="s">
        <v>1098</v>
      </c>
      <c r="D389" s="2">
        <v>2002</v>
      </c>
      <c r="E389" s="2" t="s">
        <v>1293</v>
      </c>
      <c r="F389" s="2" t="s">
        <v>1362</v>
      </c>
      <c r="G389" s="2" t="s">
        <v>1439</v>
      </c>
      <c r="H389" s="2" t="s">
        <v>1571</v>
      </c>
      <c r="I389" s="2" t="s">
        <v>1082</v>
      </c>
      <c r="J389" s="2" t="s">
        <v>85</v>
      </c>
      <c r="K389" s="2" t="s">
        <v>38</v>
      </c>
      <c r="L389" s="2" t="s">
        <v>11</v>
      </c>
      <c r="M389" s="2" t="s">
        <v>14</v>
      </c>
      <c r="N389" s="2" t="s">
        <v>19</v>
      </c>
      <c r="O389" s="2">
        <v>1</v>
      </c>
      <c r="P389" s="2" t="s">
        <v>22</v>
      </c>
      <c r="Q389" s="2" t="s">
        <v>1056</v>
      </c>
      <c r="T389" s="2" t="s">
        <v>50</v>
      </c>
      <c r="U389" s="2" t="s">
        <v>53</v>
      </c>
      <c r="V389" s="2">
        <v>137</v>
      </c>
      <c r="W389" s="2">
        <v>4</v>
      </c>
      <c r="X389" s="2">
        <v>16</v>
      </c>
      <c r="Y389" s="2">
        <v>16</v>
      </c>
      <c r="AB389" s="2">
        <v>77.2</v>
      </c>
      <c r="AC389" s="2">
        <v>15</v>
      </c>
      <c r="AD389" s="2">
        <v>63.6</v>
      </c>
      <c r="AE389" s="2">
        <v>14</v>
      </c>
      <c r="AF389" s="2" t="s">
        <v>74</v>
      </c>
      <c r="AG389" s="2" t="s">
        <v>65</v>
      </c>
      <c r="AH389" s="2" t="str">
        <f>IF(AF389="mean", "mean", "")</f>
        <v>mean</v>
      </c>
      <c r="AR389" s="2" t="s">
        <v>849</v>
      </c>
      <c r="AS389" s="2" t="s">
        <v>849</v>
      </c>
      <c r="AU389" s="2" t="s">
        <v>1825</v>
      </c>
      <c r="AV389" s="2" t="s">
        <v>1822</v>
      </c>
      <c r="AW389" s="2" t="s">
        <v>1823</v>
      </c>
      <c r="AX389" s="2" t="s">
        <v>1821</v>
      </c>
      <c r="AY389" s="2" t="s">
        <v>1824</v>
      </c>
    </row>
    <row r="390" spans="1:51" x14ac:dyDescent="0.2">
      <c r="A390" s="2" t="s">
        <v>1079</v>
      </c>
      <c r="B390" s="2" t="s">
        <v>1080</v>
      </c>
      <c r="C390" s="2" t="s">
        <v>1099</v>
      </c>
      <c r="D390" s="2">
        <v>2002</v>
      </c>
      <c r="E390" s="2" t="s">
        <v>1293</v>
      </c>
      <c r="F390" s="2" t="s">
        <v>1362</v>
      </c>
      <c r="G390" s="2" t="s">
        <v>1439</v>
      </c>
      <c r="H390" s="2" t="s">
        <v>1572</v>
      </c>
      <c r="I390" s="2" t="s">
        <v>1082</v>
      </c>
      <c r="J390" s="2" t="s">
        <v>85</v>
      </c>
      <c r="K390" s="2" t="s">
        <v>38</v>
      </c>
      <c r="L390" s="2" t="s">
        <v>11</v>
      </c>
      <c r="M390" s="2" t="s">
        <v>14</v>
      </c>
      <c r="N390" s="2" t="s">
        <v>19</v>
      </c>
      <c r="O390" s="2">
        <v>1</v>
      </c>
      <c r="P390" s="2" t="s">
        <v>22</v>
      </c>
      <c r="Q390" s="2" t="s">
        <v>30</v>
      </c>
      <c r="T390" s="2" t="s">
        <v>50</v>
      </c>
      <c r="U390" s="2" t="s">
        <v>53</v>
      </c>
      <c r="V390" s="2">
        <v>137</v>
      </c>
      <c r="W390" s="2">
        <v>4</v>
      </c>
      <c r="X390" s="2">
        <v>19</v>
      </c>
      <c r="Y390" s="2">
        <v>19</v>
      </c>
      <c r="AB390" s="2">
        <v>1.79</v>
      </c>
      <c r="AC390" s="2">
        <v>0.2</v>
      </c>
      <c r="AD390" s="2">
        <v>1.63</v>
      </c>
      <c r="AE390" s="2">
        <v>0.2</v>
      </c>
      <c r="AF390" s="2" t="s">
        <v>74</v>
      </c>
      <c r="AG390" s="2" t="s">
        <v>65</v>
      </c>
      <c r="AH390" s="2" t="str">
        <f>IF(AF390="mean", "mean", "")</f>
        <v>mean</v>
      </c>
      <c r="AR390" s="2" t="s">
        <v>849</v>
      </c>
      <c r="AS390" s="2" t="s">
        <v>849</v>
      </c>
      <c r="AU390" s="2" t="s">
        <v>1825</v>
      </c>
      <c r="AV390" s="2" t="s">
        <v>1822</v>
      </c>
      <c r="AW390" s="2" t="s">
        <v>1823</v>
      </c>
      <c r="AX390" s="2" t="s">
        <v>1821</v>
      </c>
      <c r="AY390" s="2" t="s">
        <v>1824</v>
      </c>
    </row>
    <row r="391" spans="1:51" x14ac:dyDescent="0.2">
      <c r="A391" s="2" t="s">
        <v>1079</v>
      </c>
      <c r="B391" s="2" t="s">
        <v>1080</v>
      </c>
      <c r="C391" s="2" t="s">
        <v>1100</v>
      </c>
      <c r="D391" s="2">
        <v>2002</v>
      </c>
      <c r="E391" s="2" t="s">
        <v>1293</v>
      </c>
      <c r="F391" s="2" t="s">
        <v>1362</v>
      </c>
      <c r="G391" s="2" t="s">
        <v>1439</v>
      </c>
      <c r="H391" s="2" t="s">
        <v>1573</v>
      </c>
      <c r="I391" s="2" t="s">
        <v>1082</v>
      </c>
      <c r="J391" s="2" t="s">
        <v>85</v>
      </c>
      <c r="K391" s="2" t="s">
        <v>38</v>
      </c>
      <c r="L391" s="2" t="s">
        <v>11</v>
      </c>
      <c r="M391" s="2" t="s">
        <v>14</v>
      </c>
      <c r="N391" s="2" t="s">
        <v>19</v>
      </c>
      <c r="O391" s="2">
        <v>1</v>
      </c>
      <c r="P391" s="2" t="s">
        <v>22</v>
      </c>
      <c r="Q391" s="2" t="s">
        <v>30</v>
      </c>
      <c r="T391" s="2" t="s">
        <v>50</v>
      </c>
      <c r="U391" s="2" t="s">
        <v>53</v>
      </c>
      <c r="V391" s="2">
        <v>137</v>
      </c>
      <c r="W391" s="2">
        <v>4</v>
      </c>
      <c r="X391" s="2">
        <v>16</v>
      </c>
      <c r="Y391" s="2">
        <v>16</v>
      </c>
      <c r="AB391" s="2">
        <v>1</v>
      </c>
      <c r="AC391" s="2">
        <v>0.2</v>
      </c>
      <c r="AD391" s="2">
        <v>0.94</v>
      </c>
      <c r="AE391" s="2">
        <v>0.2</v>
      </c>
      <c r="AF391" s="2" t="s">
        <v>74</v>
      </c>
      <c r="AG391" s="2" t="s">
        <v>65</v>
      </c>
      <c r="AH391" s="2" t="str">
        <f>IF(AF391="mean", "mean", "")</f>
        <v>mean</v>
      </c>
      <c r="AR391" s="2" t="s">
        <v>849</v>
      </c>
      <c r="AS391" s="2" t="s">
        <v>849</v>
      </c>
      <c r="AU391" s="2" t="s">
        <v>1825</v>
      </c>
      <c r="AV391" s="2" t="s">
        <v>1822</v>
      </c>
      <c r="AW391" s="2" t="s">
        <v>1823</v>
      </c>
      <c r="AX391" s="2" t="s">
        <v>1821</v>
      </c>
      <c r="AY391" s="2" t="s">
        <v>1824</v>
      </c>
    </row>
    <row r="392" spans="1:51" x14ac:dyDescent="0.2">
      <c r="A392" s="2" t="s">
        <v>1101</v>
      </c>
      <c r="B392" s="2" t="s">
        <v>1102</v>
      </c>
      <c r="C392" s="2" t="s">
        <v>1103</v>
      </c>
      <c r="D392" s="2">
        <v>2000</v>
      </c>
      <c r="E392" s="2" t="s">
        <v>1294</v>
      </c>
      <c r="F392" s="2" t="s">
        <v>1363</v>
      </c>
      <c r="G392" s="2" t="s">
        <v>1440</v>
      </c>
      <c r="H392" s="2" t="s">
        <v>1574</v>
      </c>
      <c r="I392" s="2" t="s">
        <v>1104</v>
      </c>
      <c r="J392" s="2" t="s">
        <v>85</v>
      </c>
      <c r="K392" s="2" t="s">
        <v>38</v>
      </c>
      <c r="L392" s="2" t="s">
        <v>11</v>
      </c>
      <c r="M392" s="2" t="s">
        <v>14</v>
      </c>
      <c r="N392" s="2" t="s">
        <v>15</v>
      </c>
      <c r="O392" s="2">
        <v>1</v>
      </c>
      <c r="P392" s="2" t="s">
        <v>22</v>
      </c>
      <c r="Q392" s="2" t="s">
        <v>26</v>
      </c>
      <c r="T392" s="2" t="s">
        <v>50</v>
      </c>
      <c r="U392" s="2" t="s">
        <v>54</v>
      </c>
      <c r="V392" s="2">
        <v>546</v>
      </c>
      <c r="X392" s="2">
        <v>27</v>
      </c>
      <c r="Y392" s="2">
        <v>27</v>
      </c>
      <c r="Z392" s="2">
        <v>18</v>
      </c>
      <c r="AA392" s="2">
        <v>9</v>
      </c>
      <c r="AH392" s="2" t="s">
        <v>1804</v>
      </c>
      <c r="AR392" s="2" t="s">
        <v>849</v>
      </c>
      <c r="AS392" s="2" t="s">
        <v>849</v>
      </c>
      <c r="AU392" s="2" t="s">
        <v>1818</v>
      </c>
      <c r="AV392" s="2" t="s">
        <v>1822</v>
      </c>
      <c r="AW392" s="2" t="s">
        <v>1823</v>
      </c>
      <c r="AX392" s="2" t="s">
        <v>1826</v>
      </c>
      <c r="AY392" s="2" t="s">
        <v>79</v>
      </c>
    </row>
    <row r="393" spans="1:51" x14ac:dyDescent="0.2">
      <c r="A393" s="2" t="s">
        <v>1101</v>
      </c>
      <c r="B393" s="2" t="s">
        <v>1102</v>
      </c>
      <c r="C393" s="2" t="s">
        <v>1103</v>
      </c>
      <c r="D393" s="2">
        <v>2000</v>
      </c>
      <c r="E393" s="2" t="s">
        <v>1294</v>
      </c>
      <c r="F393" s="2" t="s">
        <v>1363</v>
      </c>
      <c r="G393" s="2" t="s">
        <v>1440</v>
      </c>
      <c r="H393" s="2" t="s">
        <v>1575</v>
      </c>
      <c r="I393" s="2" t="s">
        <v>1104</v>
      </c>
      <c r="J393" s="2" t="s">
        <v>85</v>
      </c>
      <c r="K393" s="2" t="s">
        <v>37</v>
      </c>
      <c r="P393" s="2" t="s">
        <v>22</v>
      </c>
      <c r="Q393" s="2" t="s">
        <v>26</v>
      </c>
      <c r="R393" s="2" t="s">
        <v>41</v>
      </c>
      <c r="S393" s="2" t="s">
        <v>48</v>
      </c>
      <c r="T393" s="2" t="s">
        <v>50</v>
      </c>
      <c r="U393" s="2" t="s">
        <v>54</v>
      </c>
      <c r="V393" s="2">
        <v>546</v>
      </c>
      <c r="AH393" s="2" t="s">
        <v>4</v>
      </c>
      <c r="AN393" s="2">
        <v>27</v>
      </c>
      <c r="AO393" s="2">
        <v>-0.59</v>
      </c>
      <c r="AP393" s="2">
        <v>0.35</v>
      </c>
      <c r="AR393" s="2" t="s">
        <v>222</v>
      </c>
      <c r="AS393" s="2" t="s">
        <v>849</v>
      </c>
      <c r="AU393" s="2" t="s">
        <v>1818</v>
      </c>
      <c r="AV393" s="2" t="s">
        <v>1822</v>
      </c>
      <c r="AW393" s="2" t="s">
        <v>1823</v>
      </c>
      <c r="AX393" s="2" t="s">
        <v>1826</v>
      </c>
      <c r="AY393" s="2" t="s">
        <v>79</v>
      </c>
    </row>
    <row r="394" spans="1:51" x14ac:dyDescent="0.2">
      <c r="A394" s="2" t="s">
        <v>1101</v>
      </c>
      <c r="B394" s="2" t="s">
        <v>1102</v>
      </c>
      <c r="C394" s="2" t="s">
        <v>1103</v>
      </c>
      <c r="D394" s="2">
        <v>2000</v>
      </c>
      <c r="E394" s="2" t="s">
        <v>1294</v>
      </c>
      <c r="F394" s="2" t="s">
        <v>1363</v>
      </c>
      <c r="G394" s="2" t="s">
        <v>1441</v>
      </c>
      <c r="H394" s="2" t="s">
        <v>1576</v>
      </c>
      <c r="I394" s="2" t="s">
        <v>1104</v>
      </c>
      <c r="J394" s="2" t="s">
        <v>85</v>
      </c>
      <c r="K394" s="2" t="s">
        <v>37</v>
      </c>
      <c r="P394" s="2" t="s">
        <v>79</v>
      </c>
      <c r="Q394" s="2" t="s">
        <v>1840</v>
      </c>
      <c r="R394" s="2" t="s">
        <v>41</v>
      </c>
      <c r="S394" s="2" t="s">
        <v>48</v>
      </c>
      <c r="T394" s="2" t="s">
        <v>50</v>
      </c>
      <c r="U394" s="2" t="s">
        <v>52</v>
      </c>
      <c r="V394" s="2">
        <v>547</v>
      </c>
      <c r="W394" s="2">
        <v>4</v>
      </c>
      <c r="AF394" s="2" t="s">
        <v>74</v>
      </c>
      <c r="AG394" s="2" t="s">
        <v>64</v>
      </c>
      <c r="AH394" s="2" t="s">
        <v>4</v>
      </c>
      <c r="AN394" s="2">
        <v>30</v>
      </c>
      <c r="AO394" s="2">
        <v>-0.41318187200000001</v>
      </c>
      <c r="AR394" s="2" t="s">
        <v>222</v>
      </c>
      <c r="AS394" s="2" t="s">
        <v>849</v>
      </c>
      <c r="AU394" s="2" t="s">
        <v>1818</v>
      </c>
      <c r="AV394" s="2" t="s">
        <v>1822</v>
      </c>
      <c r="AW394" s="2" t="s">
        <v>1823</v>
      </c>
      <c r="AX394" s="2" t="s">
        <v>1826</v>
      </c>
      <c r="AY394" s="2" t="s">
        <v>79</v>
      </c>
    </row>
    <row r="395" spans="1:51" x14ac:dyDescent="0.2">
      <c r="A395" s="2" t="s">
        <v>1105</v>
      </c>
      <c r="B395" s="2" t="s">
        <v>1106</v>
      </c>
      <c r="C395" s="2" t="s">
        <v>1107</v>
      </c>
      <c r="D395" s="2">
        <v>1995</v>
      </c>
      <c r="E395" s="2" t="s">
        <v>1295</v>
      </c>
      <c r="F395" s="2" t="s">
        <v>1364</v>
      </c>
      <c r="G395" s="2" t="s">
        <v>1442</v>
      </c>
      <c r="H395" s="2" t="s">
        <v>1577</v>
      </c>
      <c r="I395" s="2" t="s">
        <v>514</v>
      </c>
      <c r="J395" s="2" t="s">
        <v>85</v>
      </c>
      <c r="K395" s="2" t="s">
        <v>38</v>
      </c>
      <c r="L395" s="2" t="s">
        <v>11</v>
      </c>
      <c r="M395" s="2" t="s">
        <v>14</v>
      </c>
      <c r="N395" s="2" t="s">
        <v>15</v>
      </c>
      <c r="O395" s="2">
        <v>1</v>
      </c>
      <c r="P395" s="2" t="s">
        <v>79</v>
      </c>
      <c r="Q395" s="2" t="s">
        <v>1840</v>
      </c>
      <c r="T395" s="2" t="s">
        <v>50</v>
      </c>
      <c r="U395" s="2" t="s">
        <v>52</v>
      </c>
      <c r="V395" s="2">
        <v>804</v>
      </c>
      <c r="W395" s="2">
        <v>2</v>
      </c>
      <c r="X395" s="2">
        <v>16.5</v>
      </c>
      <c r="Y395" s="2">
        <v>16.5</v>
      </c>
      <c r="AB395" s="2">
        <v>1.14657980456026</v>
      </c>
      <c r="AC395" s="2">
        <v>0.265798045602606</v>
      </c>
      <c r="AD395" s="2">
        <v>0.65667752442996796</v>
      </c>
      <c r="AE395" s="2">
        <v>0.33355048859934899</v>
      </c>
      <c r="AF395" s="2" t="s">
        <v>74</v>
      </c>
      <c r="AG395" s="2" t="s">
        <v>64</v>
      </c>
      <c r="AH395" s="2" t="str">
        <f>IF(AF395="mean", "mean", "")</f>
        <v>mean</v>
      </c>
      <c r="AR395" s="2" t="s">
        <v>849</v>
      </c>
      <c r="AS395" s="2" t="s">
        <v>849</v>
      </c>
      <c r="AU395" s="2" t="s">
        <v>1818</v>
      </c>
      <c r="AV395" s="2" t="s">
        <v>1822</v>
      </c>
      <c r="AW395" s="2" t="s">
        <v>1823</v>
      </c>
      <c r="AX395" s="2" t="s">
        <v>1826</v>
      </c>
      <c r="AY395" s="2" t="s">
        <v>79</v>
      </c>
    </row>
    <row r="396" spans="1:51" x14ac:dyDescent="0.2">
      <c r="A396" s="2" t="s">
        <v>1109</v>
      </c>
      <c r="B396" s="2" t="s">
        <v>1110</v>
      </c>
      <c r="C396" s="2" t="s">
        <v>1111</v>
      </c>
      <c r="D396" s="2">
        <v>1987</v>
      </c>
      <c r="E396" s="2" t="s">
        <v>1296</v>
      </c>
      <c r="F396" s="2" t="s">
        <v>1365</v>
      </c>
      <c r="G396" s="2" t="s">
        <v>1443</v>
      </c>
      <c r="H396" s="2" t="s">
        <v>1578</v>
      </c>
      <c r="I396" s="2" t="s">
        <v>1812</v>
      </c>
      <c r="J396" s="2" t="s">
        <v>34</v>
      </c>
      <c r="K396" s="2" t="s">
        <v>37</v>
      </c>
      <c r="P396" s="2" t="s">
        <v>23</v>
      </c>
      <c r="Q396" s="2" t="s">
        <v>81</v>
      </c>
      <c r="R396" s="2" t="s">
        <v>41</v>
      </c>
      <c r="S396" s="2" t="s">
        <v>48</v>
      </c>
      <c r="T396" s="2" t="s">
        <v>50</v>
      </c>
      <c r="U396" s="2" t="s">
        <v>52</v>
      </c>
      <c r="V396" s="2">
        <v>68</v>
      </c>
      <c r="W396" s="2">
        <v>1</v>
      </c>
      <c r="AH396" s="2" t="s">
        <v>4</v>
      </c>
      <c r="AN396" s="2">
        <v>24</v>
      </c>
      <c r="AO396" s="2">
        <v>-0.58166367333542601</v>
      </c>
      <c r="AR396" s="2" t="s">
        <v>222</v>
      </c>
      <c r="AS396" s="2" t="s">
        <v>849</v>
      </c>
      <c r="AU396" s="2" t="s">
        <v>1818</v>
      </c>
      <c r="AV396" s="2" t="s">
        <v>1830</v>
      </c>
      <c r="AW396" s="2" t="s">
        <v>1820</v>
      </c>
      <c r="AX396" s="2" t="s">
        <v>1821</v>
      </c>
      <c r="AY396" s="2" t="s">
        <v>79</v>
      </c>
    </row>
    <row r="397" spans="1:51" x14ac:dyDescent="0.2">
      <c r="A397" s="2" t="s">
        <v>1109</v>
      </c>
      <c r="B397" s="2" t="s">
        <v>1110</v>
      </c>
      <c r="C397" s="2" t="s">
        <v>1111</v>
      </c>
      <c r="D397" s="2">
        <v>1987</v>
      </c>
      <c r="E397" s="2" t="s">
        <v>1296</v>
      </c>
      <c r="F397" s="2" t="s">
        <v>1365</v>
      </c>
      <c r="G397" s="2" t="s">
        <v>1443</v>
      </c>
      <c r="H397" s="2" t="s">
        <v>1579</v>
      </c>
      <c r="I397" s="2" t="s">
        <v>1812</v>
      </c>
      <c r="J397" s="2" t="s">
        <v>34</v>
      </c>
      <c r="K397" s="2" t="s">
        <v>37</v>
      </c>
      <c r="P397" s="2" t="s">
        <v>23</v>
      </c>
      <c r="Q397" s="2" t="s">
        <v>81</v>
      </c>
      <c r="R397" s="2" t="s">
        <v>41</v>
      </c>
      <c r="S397" s="2" t="s">
        <v>48</v>
      </c>
      <c r="T397" s="2" t="s">
        <v>50</v>
      </c>
      <c r="U397" s="2" t="s">
        <v>52</v>
      </c>
      <c r="V397" s="2">
        <v>68</v>
      </c>
      <c r="W397" s="2">
        <v>1</v>
      </c>
      <c r="AH397" s="2" t="s">
        <v>4</v>
      </c>
      <c r="AN397" s="2">
        <v>22</v>
      </c>
      <c r="AO397" s="2">
        <v>-0.52130476019317395</v>
      </c>
      <c r="AR397" s="2" t="s">
        <v>222</v>
      </c>
      <c r="AS397" s="2" t="s">
        <v>849</v>
      </c>
      <c r="AU397" s="2" t="s">
        <v>1818</v>
      </c>
      <c r="AV397" s="2" t="s">
        <v>1830</v>
      </c>
      <c r="AW397" s="2" t="s">
        <v>1820</v>
      </c>
      <c r="AX397" s="2" t="s">
        <v>1821</v>
      </c>
      <c r="AY397" s="2" t="s">
        <v>79</v>
      </c>
    </row>
    <row r="398" spans="1:51" x14ac:dyDescent="0.2">
      <c r="A398" s="2" t="s">
        <v>1109</v>
      </c>
      <c r="B398" s="2" t="s">
        <v>1110</v>
      </c>
      <c r="C398" s="2" t="s">
        <v>1111</v>
      </c>
      <c r="D398" s="2">
        <v>1987</v>
      </c>
      <c r="E398" s="2" t="s">
        <v>1296</v>
      </c>
      <c r="F398" s="2" t="s">
        <v>1365</v>
      </c>
      <c r="G398" s="2" t="s">
        <v>1444</v>
      </c>
      <c r="H398" s="2" t="s">
        <v>1580</v>
      </c>
      <c r="I398" s="2" t="s">
        <v>1812</v>
      </c>
      <c r="J398" s="2" t="s">
        <v>34</v>
      </c>
      <c r="K398" s="2" t="s">
        <v>37</v>
      </c>
      <c r="P398" s="2" t="s">
        <v>23</v>
      </c>
      <c r="Q398" s="2" t="s">
        <v>81</v>
      </c>
      <c r="R398" s="2" t="s">
        <v>41</v>
      </c>
      <c r="S398" s="2" t="s">
        <v>47</v>
      </c>
      <c r="T398" s="2" t="s">
        <v>50</v>
      </c>
      <c r="U398" s="2" t="s">
        <v>53</v>
      </c>
      <c r="V398" s="2">
        <v>69</v>
      </c>
      <c r="W398" s="2">
        <v>1</v>
      </c>
      <c r="X398" s="2">
        <v>52</v>
      </c>
      <c r="Y398" s="2">
        <v>86</v>
      </c>
      <c r="Z398" s="2">
        <v>14</v>
      </c>
      <c r="AA398" s="2">
        <v>13</v>
      </c>
      <c r="AH398" s="2" t="s">
        <v>1804</v>
      </c>
      <c r="AR398" s="2" t="s">
        <v>222</v>
      </c>
      <c r="AS398" s="2" t="s">
        <v>849</v>
      </c>
      <c r="AU398" s="2" t="s">
        <v>1818</v>
      </c>
      <c r="AV398" s="2" t="s">
        <v>1830</v>
      </c>
      <c r="AW398" s="2" t="s">
        <v>1820</v>
      </c>
      <c r="AX398" s="2" t="s">
        <v>1821</v>
      </c>
      <c r="AY398" s="2" t="s">
        <v>79</v>
      </c>
    </row>
    <row r="399" spans="1:51" x14ac:dyDescent="0.2">
      <c r="A399" s="2" t="s">
        <v>1109</v>
      </c>
      <c r="B399" s="2" t="s">
        <v>1110</v>
      </c>
      <c r="C399" s="2" t="s">
        <v>1111</v>
      </c>
      <c r="D399" s="2">
        <v>1987</v>
      </c>
      <c r="E399" s="2" t="s">
        <v>1296</v>
      </c>
      <c r="F399" s="2" t="s">
        <v>1365</v>
      </c>
      <c r="G399" s="2" t="s">
        <v>1444</v>
      </c>
      <c r="H399" s="2" t="s">
        <v>1581</v>
      </c>
      <c r="I399" s="2" t="s">
        <v>1812</v>
      </c>
      <c r="J399" s="2" t="s">
        <v>34</v>
      </c>
      <c r="K399" s="2" t="s">
        <v>37</v>
      </c>
      <c r="P399" s="2" t="s">
        <v>23</v>
      </c>
      <c r="Q399" s="2" t="s">
        <v>81</v>
      </c>
      <c r="R399" s="2" t="s">
        <v>41</v>
      </c>
      <c r="S399" s="2" t="s">
        <v>47</v>
      </c>
      <c r="T399" s="2" t="s">
        <v>50</v>
      </c>
      <c r="U399" s="2" t="s">
        <v>53</v>
      </c>
      <c r="V399" s="2">
        <v>69</v>
      </c>
      <c r="W399" s="2">
        <v>1</v>
      </c>
      <c r="X399" s="2">
        <v>52</v>
      </c>
      <c r="Y399" s="2">
        <v>68</v>
      </c>
      <c r="Z399" s="2">
        <v>14</v>
      </c>
      <c r="AA399" s="2">
        <v>4</v>
      </c>
      <c r="AH399" s="2" t="s">
        <v>1804</v>
      </c>
      <c r="AR399" s="2" t="s">
        <v>222</v>
      </c>
      <c r="AS399" s="2" t="s">
        <v>849</v>
      </c>
      <c r="AU399" s="2" t="s">
        <v>1818</v>
      </c>
      <c r="AV399" s="2" t="s">
        <v>1830</v>
      </c>
      <c r="AW399" s="2" t="s">
        <v>1820</v>
      </c>
      <c r="AX399" s="2" t="s">
        <v>1821</v>
      </c>
      <c r="AY399" s="2" t="s">
        <v>79</v>
      </c>
    </row>
    <row r="400" spans="1:51" x14ac:dyDescent="0.2">
      <c r="A400" s="2" t="s">
        <v>1109</v>
      </c>
      <c r="B400" s="2" t="s">
        <v>1110</v>
      </c>
      <c r="C400" s="2" t="s">
        <v>1111</v>
      </c>
      <c r="D400" s="2">
        <v>1987</v>
      </c>
      <c r="E400" s="2" t="s">
        <v>1296</v>
      </c>
      <c r="F400" s="2" t="s">
        <v>1365</v>
      </c>
      <c r="G400" s="2" t="s">
        <v>1444</v>
      </c>
      <c r="H400" s="2" t="s">
        <v>1582</v>
      </c>
      <c r="I400" s="2" t="s">
        <v>1112</v>
      </c>
      <c r="J400" s="2" t="s">
        <v>34</v>
      </c>
      <c r="K400" s="2" t="s">
        <v>37</v>
      </c>
      <c r="P400" s="2" t="s">
        <v>23</v>
      </c>
      <c r="Q400" s="2" t="s">
        <v>81</v>
      </c>
      <c r="R400" s="2" t="s">
        <v>41</v>
      </c>
      <c r="S400" s="2" t="s">
        <v>47</v>
      </c>
      <c r="T400" s="2" t="s">
        <v>50</v>
      </c>
      <c r="U400" s="2" t="s">
        <v>53</v>
      </c>
      <c r="V400" s="2">
        <v>69</v>
      </c>
      <c r="W400" s="2">
        <v>1</v>
      </c>
      <c r="X400" s="2">
        <v>94</v>
      </c>
      <c r="Y400" s="2">
        <v>58</v>
      </c>
      <c r="Z400" s="2">
        <v>29</v>
      </c>
      <c r="AA400" s="2">
        <v>29</v>
      </c>
      <c r="AH400" s="2" t="s">
        <v>1804</v>
      </c>
      <c r="AR400" s="2" t="s">
        <v>222</v>
      </c>
      <c r="AS400" s="2" t="s">
        <v>849</v>
      </c>
      <c r="AU400" s="2" t="s">
        <v>1818</v>
      </c>
      <c r="AV400" s="2" t="s">
        <v>1830</v>
      </c>
      <c r="AW400" s="2" t="s">
        <v>1834</v>
      </c>
      <c r="AX400" s="2" t="s">
        <v>1821</v>
      </c>
      <c r="AY400" s="2" t="s">
        <v>79</v>
      </c>
    </row>
    <row r="401" spans="1:51" x14ac:dyDescent="0.2">
      <c r="A401" s="2" t="s">
        <v>1109</v>
      </c>
      <c r="B401" s="2" t="s">
        <v>1110</v>
      </c>
      <c r="C401" s="2" t="s">
        <v>1111</v>
      </c>
      <c r="D401" s="2">
        <v>1987</v>
      </c>
      <c r="E401" s="2" t="s">
        <v>1296</v>
      </c>
      <c r="F401" s="2" t="s">
        <v>1365</v>
      </c>
      <c r="G401" s="2" t="s">
        <v>1444</v>
      </c>
      <c r="H401" s="2" t="s">
        <v>1583</v>
      </c>
      <c r="I401" s="2" t="s">
        <v>1112</v>
      </c>
      <c r="J401" s="2" t="s">
        <v>34</v>
      </c>
      <c r="K401" s="2" t="s">
        <v>37</v>
      </c>
      <c r="P401" s="2" t="s">
        <v>23</v>
      </c>
      <c r="Q401" s="2" t="s">
        <v>81</v>
      </c>
      <c r="R401" s="2" t="s">
        <v>41</v>
      </c>
      <c r="S401" s="2" t="s">
        <v>47</v>
      </c>
      <c r="T401" s="2" t="s">
        <v>50</v>
      </c>
      <c r="U401" s="2" t="s">
        <v>53</v>
      </c>
      <c r="V401" s="2">
        <v>69</v>
      </c>
      <c r="W401" s="2">
        <v>1</v>
      </c>
      <c r="X401" s="2">
        <v>94</v>
      </c>
      <c r="Y401" s="2">
        <v>37</v>
      </c>
      <c r="Z401" s="2">
        <v>29</v>
      </c>
      <c r="AA401" s="2">
        <v>10</v>
      </c>
      <c r="AH401" s="2" t="s">
        <v>1804</v>
      </c>
      <c r="AR401" s="2" t="s">
        <v>222</v>
      </c>
      <c r="AS401" s="2" t="s">
        <v>849</v>
      </c>
      <c r="AU401" s="2" t="s">
        <v>1818</v>
      </c>
      <c r="AV401" s="2" t="s">
        <v>1830</v>
      </c>
      <c r="AW401" s="2" t="s">
        <v>1834</v>
      </c>
      <c r="AX401" s="2" t="s">
        <v>1821</v>
      </c>
      <c r="AY401" s="2" t="s">
        <v>79</v>
      </c>
    </row>
    <row r="402" spans="1:51" x14ac:dyDescent="0.2">
      <c r="A402" s="2" t="s">
        <v>1109</v>
      </c>
      <c r="B402" s="2" t="s">
        <v>1110</v>
      </c>
      <c r="C402" s="2" t="s">
        <v>1111</v>
      </c>
      <c r="D402" s="2">
        <v>1987</v>
      </c>
      <c r="E402" s="2" t="s">
        <v>1296</v>
      </c>
      <c r="F402" s="2" t="s">
        <v>1365</v>
      </c>
      <c r="G402" s="2" t="s">
        <v>1445</v>
      </c>
      <c r="H402" s="2" t="s">
        <v>1584</v>
      </c>
      <c r="I402" s="2" t="s">
        <v>1812</v>
      </c>
      <c r="J402" s="2" t="s">
        <v>34</v>
      </c>
      <c r="K402" s="2" t="s">
        <v>37</v>
      </c>
      <c r="P402" s="2" t="s">
        <v>23</v>
      </c>
      <c r="Q402" s="2" t="s">
        <v>81</v>
      </c>
      <c r="R402" s="2" t="s">
        <v>41</v>
      </c>
      <c r="S402" s="2" t="s">
        <v>48</v>
      </c>
      <c r="T402" s="2" t="s">
        <v>50</v>
      </c>
      <c r="U402" s="2" t="s">
        <v>52</v>
      </c>
      <c r="V402" s="2">
        <v>69</v>
      </c>
      <c r="W402" s="2">
        <v>3</v>
      </c>
      <c r="AH402" s="2" t="s">
        <v>4</v>
      </c>
      <c r="AN402" s="2">
        <v>23</v>
      </c>
      <c r="AO402" s="2">
        <v>-0.46558172023563199</v>
      </c>
      <c r="AR402" s="2" t="s">
        <v>222</v>
      </c>
      <c r="AS402" s="2" t="s">
        <v>849</v>
      </c>
      <c r="AU402" s="2" t="s">
        <v>1818</v>
      </c>
      <c r="AV402" s="2" t="s">
        <v>1830</v>
      </c>
      <c r="AW402" s="2" t="s">
        <v>1820</v>
      </c>
      <c r="AX402" s="2" t="s">
        <v>1821</v>
      </c>
      <c r="AY402" s="2" t="s">
        <v>79</v>
      </c>
    </row>
    <row r="403" spans="1:51" x14ac:dyDescent="0.2">
      <c r="A403" s="2" t="s">
        <v>1109</v>
      </c>
      <c r="B403" s="2" t="s">
        <v>1110</v>
      </c>
      <c r="C403" s="2" t="s">
        <v>1111</v>
      </c>
      <c r="D403" s="2">
        <v>1987</v>
      </c>
      <c r="E403" s="2" t="s">
        <v>1296</v>
      </c>
      <c r="F403" s="2" t="s">
        <v>1365</v>
      </c>
      <c r="G403" s="2" t="s">
        <v>1445</v>
      </c>
      <c r="H403" s="2" t="s">
        <v>1585</v>
      </c>
      <c r="I403" s="2" t="s">
        <v>1112</v>
      </c>
      <c r="J403" s="2" t="s">
        <v>34</v>
      </c>
      <c r="K403" s="2" t="s">
        <v>37</v>
      </c>
      <c r="P403" s="2" t="s">
        <v>23</v>
      </c>
      <c r="Q403" s="2" t="s">
        <v>81</v>
      </c>
      <c r="R403" s="2" t="s">
        <v>41</v>
      </c>
      <c r="S403" s="2" t="s">
        <v>48</v>
      </c>
      <c r="T403" s="2" t="s">
        <v>50</v>
      </c>
      <c r="U403" s="2" t="s">
        <v>52</v>
      </c>
      <c r="V403" s="2">
        <v>69</v>
      </c>
      <c r="W403" s="2">
        <v>4</v>
      </c>
      <c r="AH403" s="2" t="s">
        <v>4</v>
      </c>
      <c r="AN403" s="2">
        <v>20</v>
      </c>
      <c r="AO403" s="2">
        <v>-0.51972040372237605</v>
      </c>
      <c r="AR403" s="2" t="s">
        <v>222</v>
      </c>
      <c r="AS403" s="2" t="s">
        <v>849</v>
      </c>
      <c r="AU403" s="2" t="s">
        <v>1818</v>
      </c>
      <c r="AV403" s="2" t="s">
        <v>1830</v>
      </c>
      <c r="AW403" s="2" t="s">
        <v>1834</v>
      </c>
      <c r="AX403" s="2" t="s">
        <v>1821</v>
      </c>
      <c r="AY403" s="2" t="s">
        <v>79</v>
      </c>
    </row>
    <row r="404" spans="1:51" x14ac:dyDescent="0.2">
      <c r="A404" s="2" t="s">
        <v>1113</v>
      </c>
      <c r="B404" s="2" t="s">
        <v>1110</v>
      </c>
      <c r="C404" s="2" t="s">
        <v>1114</v>
      </c>
      <c r="D404" s="2">
        <v>1987</v>
      </c>
      <c r="E404" s="2" t="s">
        <v>1297</v>
      </c>
      <c r="F404" s="2" t="s">
        <v>1366</v>
      </c>
      <c r="G404" s="2" t="s">
        <v>1446</v>
      </c>
      <c r="H404" s="2" t="s">
        <v>1586</v>
      </c>
      <c r="I404" s="2" t="s">
        <v>1812</v>
      </c>
      <c r="J404" s="2" t="s">
        <v>34</v>
      </c>
      <c r="K404" s="2" t="s">
        <v>37</v>
      </c>
      <c r="P404" s="2" t="s">
        <v>22</v>
      </c>
      <c r="Q404" s="2" t="s">
        <v>1839</v>
      </c>
      <c r="R404" s="2" t="s">
        <v>41</v>
      </c>
      <c r="S404" s="2" t="s">
        <v>48</v>
      </c>
      <c r="T404" s="2" t="s">
        <v>50</v>
      </c>
      <c r="U404" s="2" t="s">
        <v>53</v>
      </c>
      <c r="V404" s="2">
        <v>1243</v>
      </c>
      <c r="W404" s="2">
        <v>1</v>
      </c>
      <c r="AH404" s="2" t="s">
        <v>4</v>
      </c>
      <c r="AN404" s="2">
        <v>46</v>
      </c>
      <c r="AO404" s="2">
        <v>0.08</v>
      </c>
      <c r="AR404" s="2" t="s">
        <v>222</v>
      </c>
      <c r="AS404" s="2" t="s">
        <v>849</v>
      </c>
      <c r="AU404" s="2" t="s">
        <v>1818</v>
      </c>
      <c r="AV404" s="2" t="s">
        <v>1830</v>
      </c>
      <c r="AW404" s="2" t="s">
        <v>1820</v>
      </c>
      <c r="AX404" s="2" t="s">
        <v>1821</v>
      </c>
      <c r="AY404" s="2" t="s">
        <v>79</v>
      </c>
    </row>
    <row r="405" spans="1:51" x14ac:dyDescent="0.2">
      <c r="A405" s="2" t="s">
        <v>1113</v>
      </c>
      <c r="B405" s="2" t="s">
        <v>1110</v>
      </c>
      <c r="C405" s="2" t="s">
        <v>1114</v>
      </c>
      <c r="D405" s="2">
        <v>1987</v>
      </c>
      <c r="E405" s="2" t="s">
        <v>1297</v>
      </c>
      <c r="F405" s="2" t="s">
        <v>1366</v>
      </c>
      <c r="G405" s="2" t="s">
        <v>1446</v>
      </c>
      <c r="H405" s="2" t="s">
        <v>1587</v>
      </c>
      <c r="I405" s="2" t="s">
        <v>1112</v>
      </c>
      <c r="J405" s="2" t="s">
        <v>34</v>
      </c>
      <c r="K405" s="2" t="s">
        <v>37</v>
      </c>
      <c r="P405" s="2" t="s">
        <v>22</v>
      </c>
      <c r="Q405" s="2" t="s">
        <v>1839</v>
      </c>
      <c r="R405" s="2" t="s">
        <v>41</v>
      </c>
      <c r="S405" s="2" t="s">
        <v>48</v>
      </c>
      <c r="T405" s="2" t="s">
        <v>50</v>
      </c>
      <c r="U405" s="2" t="s">
        <v>53</v>
      </c>
      <c r="V405" s="2">
        <v>1243</v>
      </c>
      <c r="W405" s="2">
        <v>1</v>
      </c>
      <c r="AH405" s="2" t="s">
        <v>4</v>
      </c>
      <c r="AN405" s="2">
        <v>60</v>
      </c>
      <c r="AO405" s="2">
        <v>-0.19</v>
      </c>
      <c r="AR405" s="2" t="s">
        <v>222</v>
      </c>
      <c r="AS405" s="2" t="s">
        <v>849</v>
      </c>
      <c r="AU405" s="2" t="s">
        <v>1818</v>
      </c>
      <c r="AV405" s="2" t="s">
        <v>1830</v>
      </c>
      <c r="AW405" s="2" t="s">
        <v>1834</v>
      </c>
      <c r="AX405" s="2" t="s">
        <v>1821</v>
      </c>
      <c r="AY405" s="2" t="s">
        <v>79</v>
      </c>
    </row>
    <row r="406" spans="1:51" x14ac:dyDescent="0.2">
      <c r="A406" s="2" t="s">
        <v>1113</v>
      </c>
      <c r="B406" s="2" t="s">
        <v>1110</v>
      </c>
      <c r="C406" s="2" t="s">
        <v>1114</v>
      </c>
      <c r="D406" s="2">
        <v>1987</v>
      </c>
      <c r="E406" s="2" t="s">
        <v>1297</v>
      </c>
      <c r="F406" s="2" t="s">
        <v>1367</v>
      </c>
      <c r="G406" s="2" t="s">
        <v>1447</v>
      </c>
      <c r="H406" s="2" t="s">
        <v>1588</v>
      </c>
      <c r="I406" s="2" t="s">
        <v>1112</v>
      </c>
      <c r="J406" s="2" t="s">
        <v>34</v>
      </c>
      <c r="K406" s="2" t="s">
        <v>37</v>
      </c>
      <c r="P406" s="2" t="s">
        <v>22</v>
      </c>
      <c r="Q406" s="2" t="s">
        <v>1839</v>
      </c>
      <c r="R406" s="2" t="s">
        <v>41</v>
      </c>
      <c r="S406" s="2" t="s">
        <v>48</v>
      </c>
      <c r="T406" s="2" t="s">
        <v>50</v>
      </c>
      <c r="U406" s="2" t="s">
        <v>54</v>
      </c>
      <c r="V406" s="2">
        <v>1245</v>
      </c>
      <c r="AH406" s="2" t="s">
        <v>4</v>
      </c>
      <c r="AN406" s="2">
        <v>34</v>
      </c>
      <c r="AO406" s="2">
        <v>-0.19</v>
      </c>
      <c r="AR406" s="2" t="s">
        <v>222</v>
      </c>
      <c r="AS406" s="2" t="s">
        <v>849</v>
      </c>
      <c r="AU406" s="2" t="s">
        <v>1818</v>
      </c>
      <c r="AV406" s="2" t="s">
        <v>1830</v>
      </c>
      <c r="AW406" s="2" t="s">
        <v>1834</v>
      </c>
      <c r="AX406" s="2" t="s">
        <v>1821</v>
      </c>
      <c r="AY406" s="2" t="s">
        <v>79</v>
      </c>
    </row>
    <row r="407" spans="1:51" x14ac:dyDescent="0.2">
      <c r="A407" s="2" t="s">
        <v>1115</v>
      </c>
      <c r="B407" s="2" t="s">
        <v>1110</v>
      </c>
      <c r="C407" s="2" t="s">
        <v>1116</v>
      </c>
      <c r="D407" s="2">
        <v>1988</v>
      </c>
      <c r="E407" s="2" t="s">
        <v>1298</v>
      </c>
      <c r="F407" s="2" t="s">
        <v>1368</v>
      </c>
      <c r="G407" s="2" t="s">
        <v>1448</v>
      </c>
      <c r="H407" s="2" t="s">
        <v>1589</v>
      </c>
      <c r="I407" s="2" t="s">
        <v>1112</v>
      </c>
      <c r="J407" s="2" t="s">
        <v>34</v>
      </c>
      <c r="K407" s="2" t="s">
        <v>37</v>
      </c>
      <c r="P407" s="2" t="s">
        <v>22</v>
      </c>
      <c r="Q407" s="2" t="s">
        <v>30</v>
      </c>
      <c r="R407" s="2" t="s">
        <v>41</v>
      </c>
      <c r="S407" s="2" t="s">
        <v>48</v>
      </c>
      <c r="T407" s="2" t="s">
        <v>50</v>
      </c>
      <c r="U407" s="2" t="s">
        <v>54</v>
      </c>
      <c r="V407" s="2">
        <v>972</v>
      </c>
      <c r="AH407" s="2" t="s">
        <v>4</v>
      </c>
      <c r="AN407" s="2">
        <v>45</v>
      </c>
      <c r="AO407" s="2">
        <v>7.0000000000000007E-2</v>
      </c>
      <c r="AR407" s="2" t="s">
        <v>222</v>
      </c>
      <c r="AS407" s="2" t="s">
        <v>849</v>
      </c>
      <c r="AU407" s="2" t="s">
        <v>1818</v>
      </c>
      <c r="AV407" s="2" t="s">
        <v>1830</v>
      </c>
      <c r="AW407" s="2" t="s">
        <v>1834</v>
      </c>
      <c r="AX407" s="2" t="s">
        <v>1821</v>
      </c>
      <c r="AY407" s="2" t="s">
        <v>79</v>
      </c>
    </row>
    <row r="408" spans="1:51" x14ac:dyDescent="0.2">
      <c r="A408" s="2" t="s">
        <v>1115</v>
      </c>
      <c r="B408" s="2" t="s">
        <v>1110</v>
      </c>
      <c r="C408" s="2" t="s">
        <v>1116</v>
      </c>
      <c r="D408" s="2">
        <v>1988</v>
      </c>
      <c r="E408" s="2" t="s">
        <v>1298</v>
      </c>
      <c r="F408" s="2" t="s">
        <v>1368</v>
      </c>
      <c r="G408" s="2" t="s">
        <v>1448</v>
      </c>
      <c r="H408" s="2" t="s">
        <v>1590</v>
      </c>
      <c r="I408" s="2" t="s">
        <v>1112</v>
      </c>
      <c r="J408" s="2" t="s">
        <v>34</v>
      </c>
      <c r="K408" s="2" t="s">
        <v>37</v>
      </c>
      <c r="P408" s="2" t="s">
        <v>22</v>
      </c>
      <c r="Q408" s="2" t="s">
        <v>30</v>
      </c>
      <c r="R408" s="2" t="s">
        <v>41</v>
      </c>
      <c r="S408" s="2" t="s">
        <v>48</v>
      </c>
      <c r="T408" s="2" t="s">
        <v>50</v>
      </c>
      <c r="U408" s="2" t="s">
        <v>53</v>
      </c>
      <c r="V408" s="2">
        <v>973</v>
      </c>
      <c r="W408" s="2">
        <v>1</v>
      </c>
      <c r="X408" s="2">
        <v>56</v>
      </c>
      <c r="Y408" s="2">
        <v>47</v>
      </c>
      <c r="AB408" s="2">
        <v>2.92</v>
      </c>
      <c r="AC408" s="2">
        <v>0.14000000000000001</v>
      </c>
      <c r="AD408" s="2">
        <v>2.5099999999999998</v>
      </c>
      <c r="AE408" s="2">
        <v>0.17</v>
      </c>
      <c r="AF408" s="2" t="s">
        <v>74</v>
      </c>
      <c r="AG408" s="2" t="s">
        <v>65</v>
      </c>
      <c r="AH408" s="2" t="str">
        <f>IF(AF408="mean", "mean", "")</f>
        <v>mean</v>
      </c>
      <c r="AR408" s="2" t="s">
        <v>222</v>
      </c>
      <c r="AS408" s="2" t="s">
        <v>849</v>
      </c>
      <c r="AU408" s="2" t="s">
        <v>1818</v>
      </c>
      <c r="AV408" s="2" t="s">
        <v>1830</v>
      </c>
      <c r="AW408" s="2" t="s">
        <v>1834</v>
      </c>
      <c r="AX408" s="2" t="s">
        <v>1821</v>
      </c>
      <c r="AY408" s="2" t="s">
        <v>79</v>
      </c>
    </row>
    <row r="409" spans="1:51" x14ac:dyDescent="0.2">
      <c r="A409" s="2" t="s">
        <v>1115</v>
      </c>
      <c r="B409" s="2" t="s">
        <v>1110</v>
      </c>
      <c r="C409" s="2" t="s">
        <v>1116</v>
      </c>
      <c r="D409" s="2">
        <v>1988</v>
      </c>
      <c r="E409" s="2" t="s">
        <v>1298</v>
      </c>
      <c r="F409" s="2" t="s">
        <v>1368</v>
      </c>
      <c r="G409" s="2" t="s">
        <v>1448</v>
      </c>
      <c r="H409" s="2" t="s">
        <v>1591</v>
      </c>
      <c r="I409" s="2" t="s">
        <v>1812</v>
      </c>
      <c r="J409" s="2" t="s">
        <v>34</v>
      </c>
      <c r="K409" s="2" t="s">
        <v>37</v>
      </c>
      <c r="P409" s="2" t="s">
        <v>22</v>
      </c>
      <c r="Q409" s="2" t="s">
        <v>30</v>
      </c>
      <c r="R409" s="2" t="s">
        <v>41</v>
      </c>
      <c r="S409" s="2" t="s">
        <v>48</v>
      </c>
      <c r="T409" s="2" t="s">
        <v>50</v>
      </c>
      <c r="U409" s="2" t="s">
        <v>53</v>
      </c>
      <c r="V409" s="2">
        <v>973</v>
      </c>
      <c r="W409" s="2">
        <v>1</v>
      </c>
      <c r="X409" s="2">
        <v>52</v>
      </c>
      <c r="Y409" s="2">
        <v>37</v>
      </c>
      <c r="AB409" s="2">
        <v>4.2699999999999996</v>
      </c>
      <c r="AC409" s="2">
        <v>0.2</v>
      </c>
      <c r="AD409" s="2">
        <v>3.54</v>
      </c>
      <c r="AE409" s="2">
        <v>0.21</v>
      </c>
      <c r="AF409" s="2" t="s">
        <v>74</v>
      </c>
      <c r="AG409" s="2" t="s">
        <v>65</v>
      </c>
      <c r="AH409" s="2" t="str">
        <f>IF(AF409="mean", "mean", "")</f>
        <v>mean</v>
      </c>
      <c r="AR409" s="2" t="s">
        <v>222</v>
      </c>
      <c r="AS409" s="2" t="s">
        <v>849</v>
      </c>
      <c r="AU409" s="2" t="s">
        <v>1818</v>
      </c>
      <c r="AV409" s="2" t="s">
        <v>1830</v>
      </c>
      <c r="AW409" s="2" t="s">
        <v>1820</v>
      </c>
      <c r="AX409" s="2" t="s">
        <v>1821</v>
      </c>
      <c r="AY409" s="2" t="s">
        <v>79</v>
      </c>
    </row>
    <row r="410" spans="1:51" x14ac:dyDescent="0.2">
      <c r="A410" s="2" t="s">
        <v>1117</v>
      </c>
      <c r="B410" s="2" t="s">
        <v>1118</v>
      </c>
      <c r="C410" s="2" t="s">
        <v>1119</v>
      </c>
      <c r="D410" s="2">
        <v>2014</v>
      </c>
      <c r="E410" s="2" t="s">
        <v>1299</v>
      </c>
      <c r="F410" s="2" t="s">
        <v>1369</v>
      </c>
      <c r="G410" s="2" t="s">
        <v>1449</v>
      </c>
      <c r="H410" s="2" t="s">
        <v>1592</v>
      </c>
      <c r="I410" s="2" t="s">
        <v>1120</v>
      </c>
      <c r="J410" s="2" t="s">
        <v>34</v>
      </c>
      <c r="K410" s="2" t="s">
        <v>37</v>
      </c>
      <c r="P410" s="2" t="s">
        <v>22</v>
      </c>
      <c r="Q410" s="2" t="s">
        <v>1056</v>
      </c>
      <c r="R410" s="2" t="s">
        <v>41</v>
      </c>
      <c r="S410" s="2" t="s">
        <v>47</v>
      </c>
      <c r="T410" s="2" t="s">
        <v>50</v>
      </c>
      <c r="U410" s="2" t="s">
        <v>54</v>
      </c>
      <c r="V410" s="2">
        <v>1972</v>
      </c>
      <c r="X410" s="2">
        <v>6</v>
      </c>
      <c r="Y410" s="2">
        <v>16</v>
      </c>
      <c r="Z410" s="2">
        <v>3</v>
      </c>
      <c r="AA410" s="2">
        <v>7</v>
      </c>
      <c r="AH410" s="2" t="s">
        <v>1804</v>
      </c>
      <c r="AR410" s="2" t="s">
        <v>222</v>
      </c>
      <c r="AS410" s="2" t="s">
        <v>849</v>
      </c>
      <c r="AU410" s="2" t="s">
        <v>1818</v>
      </c>
      <c r="AV410" s="2" t="s">
        <v>1830</v>
      </c>
      <c r="AW410" s="2" t="s">
        <v>1820</v>
      </c>
      <c r="AX410" s="2" t="s">
        <v>1821</v>
      </c>
      <c r="AY410" s="2" t="s">
        <v>79</v>
      </c>
    </row>
    <row r="411" spans="1:51" x14ac:dyDescent="0.2">
      <c r="A411" s="2" t="s">
        <v>1117</v>
      </c>
      <c r="B411" s="2" t="s">
        <v>1118</v>
      </c>
      <c r="C411" s="2" t="s">
        <v>1119</v>
      </c>
      <c r="D411" s="2">
        <v>2014</v>
      </c>
      <c r="E411" s="2" t="s">
        <v>1299</v>
      </c>
      <c r="F411" s="2" t="s">
        <v>1369</v>
      </c>
      <c r="G411" s="2" t="s">
        <v>1449</v>
      </c>
      <c r="H411" s="2" t="s">
        <v>1593</v>
      </c>
      <c r="I411" s="2" t="s">
        <v>1120</v>
      </c>
      <c r="J411" s="2" t="s">
        <v>34</v>
      </c>
      <c r="K411" s="2" t="s">
        <v>37</v>
      </c>
      <c r="P411" s="2" t="s">
        <v>22</v>
      </c>
      <c r="Q411" s="2" t="s">
        <v>1056</v>
      </c>
      <c r="R411" s="2" t="s">
        <v>41</v>
      </c>
      <c r="S411" s="2" t="s">
        <v>47</v>
      </c>
      <c r="T411" s="2" t="s">
        <v>50</v>
      </c>
      <c r="U411" s="2" t="s">
        <v>52</v>
      </c>
      <c r="V411" s="2">
        <v>1972</v>
      </c>
      <c r="W411" s="2">
        <v>2</v>
      </c>
      <c r="X411" s="2">
        <v>5</v>
      </c>
      <c r="Y411" s="2">
        <v>7</v>
      </c>
      <c r="AB411" s="2">
        <v>594.59459459459504</v>
      </c>
      <c r="AC411" s="2">
        <v>241.73707864862601</v>
      </c>
      <c r="AD411" s="2">
        <v>207.207207207208</v>
      </c>
      <c r="AE411" s="2">
        <v>95.342389587914198</v>
      </c>
      <c r="AF411" s="2" t="s">
        <v>74</v>
      </c>
      <c r="AG411" s="2" t="s">
        <v>65</v>
      </c>
      <c r="AH411" s="2" t="str">
        <f>IF(AF411="mean", "mean", "")</f>
        <v>mean</v>
      </c>
      <c r="AR411" s="2" t="s">
        <v>222</v>
      </c>
      <c r="AS411" s="2" t="s">
        <v>222</v>
      </c>
      <c r="AU411" s="2" t="s">
        <v>1818</v>
      </c>
      <c r="AV411" s="2" t="s">
        <v>1830</v>
      </c>
      <c r="AW411" s="2" t="s">
        <v>1820</v>
      </c>
      <c r="AX411" s="2" t="s">
        <v>1821</v>
      </c>
      <c r="AY411" s="2" t="s">
        <v>79</v>
      </c>
    </row>
    <row r="412" spans="1:51" x14ac:dyDescent="0.2">
      <c r="A412" s="2" t="s">
        <v>1117</v>
      </c>
      <c r="B412" s="2" t="s">
        <v>1118</v>
      </c>
      <c r="C412" s="2" t="s">
        <v>1119</v>
      </c>
      <c r="D412" s="2">
        <v>2014</v>
      </c>
      <c r="E412" s="2" t="s">
        <v>1299</v>
      </c>
      <c r="F412" s="2" t="s">
        <v>1370</v>
      </c>
      <c r="G412" s="2" t="s">
        <v>1450</v>
      </c>
      <c r="H412" s="2" t="s">
        <v>1594</v>
      </c>
      <c r="I412" s="2" t="s">
        <v>1120</v>
      </c>
      <c r="J412" s="2" t="s">
        <v>34</v>
      </c>
      <c r="K412" s="2" t="s">
        <v>38</v>
      </c>
      <c r="L412" s="2" t="s">
        <v>11</v>
      </c>
      <c r="M412" s="2" t="s">
        <v>14</v>
      </c>
      <c r="N412" s="2" t="s">
        <v>18</v>
      </c>
      <c r="O412" s="2">
        <v>0</v>
      </c>
      <c r="P412" s="2" t="s">
        <v>22</v>
      </c>
      <c r="Q412" s="2" t="s">
        <v>1056</v>
      </c>
      <c r="T412" s="2" t="s">
        <v>50</v>
      </c>
      <c r="U412" s="2" t="s">
        <v>52</v>
      </c>
      <c r="V412" s="2">
        <v>1972</v>
      </c>
      <c r="W412" s="2">
        <v>2</v>
      </c>
      <c r="X412" s="2">
        <v>12</v>
      </c>
      <c r="Y412" s="2">
        <v>12</v>
      </c>
      <c r="AB412" s="2">
        <v>396.39639639639699</v>
      </c>
      <c r="AC412" s="2">
        <v>249.66498127118899</v>
      </c>
      <c r="AD412" s="2">
        <v>819.81981981982005</v>
      </c>
      <c r="AE412" s="2">
        <v>343.28934924788501</v>
      </c>
      <c r="AF412" s="2" t="s">
        <v>74</v>
      </c>
      <c r="AG412" s="2" t="s">
        <v>65</v>
      </c>
      <c r="AH412" s="2" t="str">
        <f>IF(AF412="mean", "mean", "")</f>
        <v>mean</v>
      </c>
      <c r="AR412" s="2" t="s">
        <v>849</v>
      </c>
      <c r="AS412" s="2" t="s">
        <v>222</v>
      </c>
      <c r="AU412" s="2" t="s">
        <v>1818</v>
      </c>
      <c r="AV412" s="2" t="s">
        <v>1830</v>
      </c>
      <c r="AW412" s="2" t="s">
        <v>1820</v>
      </c>
      <c r="AX412" s="2" t="s">
        <v>1821</v>
      </c>
      <c r="AY412" s="2" t="s">
        <v>79</v>
      </c>
    </row>
    <row r="413" spans="1:51" x14ac:dyDescent="0.2">
      <c r="A413" s="2" t="s">
        <v>1121</v>
      </c>
      <c r="B413" s="2" t="s">
        <v>1122</v>
      </c>
      <c r="C413" s="2" t="s">
        <v>1123</v>
      </c>
      <c r="D413" s="2">
        <v>2004</v>
      </c>
      <c r="E413" s="2" t="s">
        <v>1300</v>
      </c>
      <c r="F413" s="2" t="s">
        <v>1371</v>
      </c>
      <c r="G413" s="2" t="s">
        <v>1451</v>
      </c>
      <c r="H413" s="2" t="s">
        <v>1595</v>
      </c>
      <c r="I413" s="2" t="s">
        <v>1775</v>
      </c>
      <c r="J413" s="2" t="s">
        <v>36</v>
      </c>
      <c r="K413" s="2" t="s">
        <v>37</v>
      </c>
      <c r="P413" s="2" t="s">
        <v>22</v>
      </c>
      <c r="Q413" s="2" t="s">
        <v>27</v>
      </c>
      <c r="R413" s="2" t="s">
        <v>41</v>
      </c>
      <c r="S413" s="2" t="s">
        <v>46</v>
      </c>
      <c r="T413" s="2" t="s">
        <v>50</v>
      </c>
      <c r="U413" s="2" t="s">
        <v>54</v>
      </c>
      <c r="V413" s="2">
        <v>604</v>
      </c>
      <c r="AH413" s="2" t="s">
        <v>70</v>
      </c>
      <c r="AK413" s="2">
        <v>2.46</v>
      </c>
      <c r="AL413" s="2">
        <v>89</v>
      </c>
      <c r="AM413" s="2">
        <v>94</v>
      </c>
      <c r="AR413" s="2" t="s">
        <v>849</v>
      </c>
      <c r="AS413" s="2" t="s">
        <v>849</v>
      </c>
      <c r="AU413" s="2" t="s">
        <v>1827</v>
      </c>
      <c r="AV413" s="2" t="s">
        <v>1830</v>
      </c>
      <c r="AW413" s="2" t="s">
        <v>1820</v>
      </c>
      <c r="AY413" s="2" t="s">
        <v>1835</v>
      </c>
    </row>
    <row r="414" spans="1:51" x14ac:dyDescent="0.2">
      <c r="A414" s="2" t="s">
        <v>1121</v>
      </c>
      <c r="B414" s="2" t="s">
        <v>1122</v>
      </c>
      <c r="C414" s="2" t="s">
        <v>1123</v>
      </c>
      <c r="D414" s="2">
        <v>2004</v>
      </c>
      <c r="E414" s="2" t="s">
        <v>1300</v>
      </c>
      <c r="F414" s="2" t="s">
        <v>1371</v>
      </c>
      <c r="G414" s="2" t="s">
        <v>1451</v>
      </c>
      <c r="H414" s="2" t="s">
        <v>1596</v>
      </c>
      <c r="I414" s="2" t="s">
        <v>1775</v>
      </c>
      <c r="J414" s="2" t="s">
        <v>36</v>
      </c>
      <c r="K414" s="2" t="s">
        <v>37</v>
      </c>
      <c r="P414" s="2" t="s">
        <v>22</v>
      </c>
      <c r="Q414" s="2" t="s">
        <v>28</v>
      </c>
      <c r="R414" s="2" t="s">
        <v>41</v>
      </c>
      <c r="S414" s="2" t="s">
        <v>46</v>
      </c>
      <c r="T414" s="2" t="s">
        <v>50</v>
      </c>
      <c r="U414" s="2" t="s">
        <v>54</v>
      </c>
      <c r="V414" s="2">
        <v>604</v>
      </c>
      <c r="AH414" s="2" t="s">
        <v>70</v>
      </c>
      <c r="AK414" s="2">
        <v>-1.65</v>
      </c>
      <c r="AL414" s="2">
        <v>89</v>
      </c>
      <c r="AM414" s="2">
        <v>94</v>
      </c>
      <c r="AR414" s="2" t="s">
        <v>849</v>
      </c>
      <c r="AS414" s="2" t="s">
        <v>849</v>
      </c>
      <c r="AU414" s="2" t="s">
        <v>1827</v>
      </c>
      <c r="AV414" s="2" t="s">
        <v>1830</v>
      </c>
      <c r="AW414" s="2" t="s">
        <v>1820</v>
      </c>
      <c r="AY414" s="2" t="s">
        <v>1835</v>
      </c>
    </row>
    <row r="415" spans="1:51" x14ac:dyDescent="0.2">
      <c r="A415" s="2" t="s">
        <v>1121</v>
      </c>
      <c r="B415" s="2" t="s">
        <v>1122</v>
      </c>
      <c r="C415" s="2" t="s">
        <v>1123</v>
      </c>
      <c r="D415" s="2">
        <v>2004</v>
      </c>
      <c r="E415" s="2" t="s">
        <v>1300</v>
      </c>
      <c r="F415" s="2" t="s">
        <v>1371</v>
      </c>
      <c r="G415" s="2" t="s">
        <v>1452</v>
      </c>
      <c r="H415" s="2" t="s">
        <v>1597</v>
      </c>
      <c r="I415" s="2" t="s">
        <v>1775</v>
      </c>
      <c r="J415" s="2" t="s">
        <v>36</v>
      </c>
      <c r="K415" s="2" t="s">
        <v>37</v>
      </c>
      <c r="P415" s="2" t="s">
        <v>22</v>
      </c>
      <c r="Q415" s="2" t="s">
        <v>27</v>
      </c>
      <c r="R415" s="2" t="s">
        <v>40</v>
      </c>
      <c r="S415" s="2" t="s">
        <v>43</v>
      </c>
      <c r="T415" s="2" t="s">
        <v>50</v>
      </c>
      <c r="U415" s="2" t="s">
        <v>54</v>
      </c>
      <c r="V415" s="2">
        <v>604</v>
      </c>
      <c r="AH415" s="2" t="s">
        <v>70</v>
      </c>
      <c r="AK415" s="2">
        <v>-1.4</v>
      </c>
      <c r="AL415" s="2">
        <v>95</v>
      </c>
      <c r="AM415" s="2">
        <v>99</v>
      </c>
      <c r="AR415" s="2" t="s">
        <v>849</v>
      </c>
      <c r="AS415" s="2" t="s">
        <v>849</v>
      </c>
      <c r="AU415" s="2" t="s">
        <v>1827</v>
      </c>
      <c r="AV415" s="2" t="s">
        <v>1830</v>
      </c>
      <c r="AW415" s="2" t="s">
        <v>1820</v>
      </c>
      <c r="AY415" s="2" t="s">
        <v>1835</v>
      </c>
    </row>
    <row r="416" spans="1:51" x14ac:dyDescent="0.2">
      <c r="A416" s="2" t="s">
        <v>1121</v>
      </c>
      <c r="B416" s="2" t="s">
        <v>1122</v>
      </c>
      <c r="C416" s="2" t="s">
        <v>1123</v>
      </c>
      <c r="D416" s="2">
        <v>2004</v>
      </c>
      <c r="E416" s="2" t="s">
        <v>1300</v>
      </c>
      <c r="F416" s="2" t="s">
        <v>1371</v>
      </c>
      <c r="G416" s="2" t="s">
        <v>1452</v>
      </c>
      <c r="H416" s="2" t="s">
        <v>1598</v>
      </c>
      <c r="I416" s="2" t="s">
        <v>1775</v>
      </c>
      <c r="J416" s="2" t="s">
        <v>36</v>
      </c>
      <c r="K416" s="2" t="s">
        <v>37</v>
      </c>
      <c r="P416" s="2" t="s">
        <v>22</v>
      </c>
      <c r="Q416" s="2" t="s">
        <v>28</v>
      </c>
      <c r="R416" s="2" t="s">
        <v>40</v>
      </c>
      <c r="S416" s="2" t="s">
        <v>43</v>
      </c>
      <c r="T416" s="2" t="s">
        <v>50</v>
      </c>
      <c r="U416" s="2" t="s">
        <v>54</v>
      </c>
      <c r="V416" s="2">
        <v>604</v>
      </c>
      <c r="AH416" s="2" t="s">
        <v>70</v>
      </c>
      <c r="AK416" s="2">
        <v>2.88</v>
      </c>
      <c r="AL416" s="2">
        <v>95</v>
      </c>
      <c r="AM416" s="2">
        <v>99</v>
      </c>
      <c r="AR416" s="2" t="s">
        <v>849</v>
      </c>
      <c r="AS416" s="2" t="s">
        <v>849</v>
      </c>
      <c r="AU416" s="2" t="s">
        <v>1827</v>
      </c>
      <c r="AV416" s="2" t="s">
        <v>1830</v>
      </c>
      <c r="AW416" s="2" t="s">
        <v>1820</v>
      </c>
      <c r="AY416" s="2" t="s">
        <v>1835</v>
      </c>
    </row>
    <row r="417" spans="1:51" x14ac:dyDescent="0.2">
      <c r="A417" s="2" t="s">
        <v>1124</v>
      </c>
      <c r="B417" s="2" t="s">
        <v>1122</v>
      </c>
      <c r="C417" s="2" t="s">
        <v>1125</v>
      </c>
      <c r="D417" s="2">
        <v>2006</v>
      </c>
      <c r="E417" s="2" t="s">
        <v>1301</v>
      </c>
      <c r="F417" s="2" t="s">
        <v>1372</v>
      </c>
      <c r="G417" s="2" t="s">
        <v>1453</v>
      </c>
      <c r="H417" s="2" t="s">
        <v>1599</v>
      </c>
      <c r="I417" s="2" t="s">
        <v>1775</v>
      </c>
      <c r="J417" s="2" t="s">
        <v>36</v>
      </c>
      <c r="K417" s="2" t="s">
        <v>37</v>
      </c>
      <c r="P417" s="2" t="s">
        <v>22</v>
      </c>
      <c r="Q417" s="2" t="s">
        <v>29</v>
      </c>
      <c r="R417" s="2" t="s">
        <v>40</v>
      </c>
      <c r="S417" s="2" t="s">
        <v>43</v>
      </c>
      <c r="T417" s="2" t="s">
        <v>50</v>
      </c>
      <c r="U417" s="2" t="s">
        <v>52</v>
      </c>
      <c r="V417" s="2">
        <v>829</v>
      </c>
      <c r="W417" s="2">
        <v>1</v>
      </c>
      <c r="X417" s="2">
        <v>38</v>
      </c>
      <c r="Y417" s="2">
        <v>41</v>
      </c>
      <c r="AB417" s="2">
        <v>8.5205479452054797E-2</v>
      </c>
      <c r="AC417" s="2">
        <v>3.1666510289224098E-2</v>
      </c>
      <c r="AD417" s="2">
        <v>0.115821917808219</v>
      </c>
      <c r="AE417" s="2">
        <v>6.5785522987323805E-2</v>
      </c>
      <c r="AF417" s="2" t="s">
        <v>74</v>
      </c>
      <c r="AG417" s="2" t="s">
        <v>64</v>
      </c>
      <c r="AH417" s="2" t="str">
        <f>IF(AF417="mean", "mean", "")</f>
        <v>mean</v>
      </c>
      <c r="AR417" s="2" t="s">
        <v>849</v>
      </c>
      <c r="AS417" s="2" t="s">
        <v>849</v>
      </c>
      <c r="AU417" s="2" t="s">
        <v>1827</v>
      </c>
      <c r="AV417" s="2" t="s">
        <v>1830</v>
      </c>
      <c r="AW417" s="2" t="s">
        <v>1820</v>
      </c>
      <c r="AY417" s="2" t="s">
        <v>1835</v>
      </c>
    </row>
    <row r="418" spans="1:51" x14ac:dyDescent="0.2">
      <c r="A418" s="2" t="s">
        <v>1124</v>
      </c>
      <c r="B418" s="2" t="s">
        <v>1122</v>
      </c>
      <c r="C418" s="2" t="s">
        <v>1125</v>
      </c>
      <c r="D418" s="2">
        <v>2006</v>
      </c>
      <c r="E418" s="2" t="s">
        <v>1301</v>
      </c>
      <c r="F418" s="2" t="s">
        <v>1372</v>
      </c>
      <c r="G418" s="2" t="s">
        <v>1453</v>
      </c>
      <c r="H418" s="2" t="s">
        <v>1600</v>
      </c>
      <c r="I418" s="2" t="s">
        <v>1775</v>
      </c>
      <c r="J418" s="2" t="s">
        <v>36</v>
      </c>
      <c r="K418" s="2" t="s">
        <v>37</v>
      </c>
      <c r="P418" s="2" t="s">
        <v>22</v>
      </c>
      <c r="Q418" s="2" t="s">
        <v>30</v>
      </c>
      <c r="R418" s="2" t="s">
        <v>40</v>
      </c>
      <c r="S418" s="2" t="s">
        <v>43</v>
      </c>
      <c r="T418" s="2" t="s">
        <v>50</v>
      </c>
      <c r="U418" s="2" t="s">
        <v>52</v>
      </c>
      <c r="V418" s="2">
        <v>829</v>
      </c>
      <c r="W418" s="2">
        <v>2</v>
      </c>
      <c r="X418" s="2">
        <v>24</v>
      </c>
      <c r="Y418" s="2">
        <v>31</v>
      </c>
      <c r="AB418" s="2">
        <v>8.39057239057239E-2</v>
      </c>
      <c r="AC418" s="2">
        <v>3.6948532147032503E-2</v>
      </c>
      <c r="AD418" s="2">
        <v>0.115252525252525</v>
      </c>
      <c r="AE418" s="2">
        <v>6.6925652442098402E-2</v>
      </c>
      <c r="AF418" s="2" t="s">
        <v>74</v>
      </c>
      <c r="AG418" s="2" t="s">
        <v>64</v>
      </c>
      <c r="AH418" s="2" t="str">
        <f>IF(AF418="mean", "mean", "")</f>
        <v>mean</v>
      </c>
      <c r="AR418" s="2" t="s">
        <v>849</v>
      </c>
      <c r="AS418" s="2" t="s">
        <v>849</v>
      </c>
      <c r="AU418" s="2" t="s">
        <v>1827</v>
      </c>
      <c r="AV418" s="2" t="s">
        <v>1830</v>
      </c>
      <c r="AW418" s="2" t="s">
        <v>1820</v>
      </c>
      <c r="AY418" s="2" t="s">
        <v>1835</v>
      </c>
    </row>
    <row r="419" spans="1:51" x14ac:dyDescent="0.2">
      <c r="A419" s="2" t="s">
        <v>1124</v>
      </c>
      <c r="B419" s="2" t="s">
        <v>1122</v>
      </c>
      <c r="C419" s="2" t="s">
        <v>1125</v>
      </c>
      <c r="D419" s="2">
        <v>2006</v>
      </c>
      <c r="E419" s="2" t="s">
        <v>1301</v>
      </c>
      <c r="F419" s="2" t="s">
        <v>1372</v>
      </c>
      <c r="G419" s="2" t="s">
        <v>1453</v>
      </c>
      <c r="H419" s="2" t="s">
        <v>1601</v>
      </c>
      <c r="I419" s="2" t="s">
        <v>1775</v>
      </c>
      <c r="J419" s="2" t="s">
        <v>36</v>
      </c>
      <c r="K419" s="2" t="s">
        <v>37</v>
      </c>
      <c r="P419" s="2" t="s">
        <v>22</v>
      </c>
      <c r="Q419" s="2" t="s">
        <v>27</v>
      </c>
      <c r="R419" s="2" t="s">
        <v>41</v>
      </c>
      <c r="S419" s="2" t="s">
        <v>46</v>
      </c>
      <c r="T419" s="2" t="s">
        <v>50</v>
      </c>
      <c r="U419" s="2" t="s">
        <v>54</v>
      </c>
      <c r="V419" s="2">
        <v>830</v>
      </c>
      <c r="AH419" s="2" t="s">
        <v>4</v>
      </c>
      <c r="AN419" s="2">
        <v>20</v>
      </c>
      <c r="AO419" s="2">
        <v>-0.47099999999999997</v>
      </c>
      <c r="AR419" s="2" t="s">
        <v>849</v>
      </c>
      <c r="AS419" s="2" t="s">
        <v>849</v>
      </c>
      <c r="AU419" s="2" t="s">
        <v>1827</v>
      </c>
      <c r="AV419" s="2" t="s">
        <v>1830</v>
      </c>
      <c r="AW419" s="2" t="s">
        <v>1820</v>
      </c>
      <c r="AY419" s="2" t="s">
        <v>1835</v>
      </c>
    </row>
    <row r="420" spans="1:51" x14ac:dyDescent="0.2">
      <c r="A420" s="2" t="s">
        <v>2293</v>
      </c>
      <c r="B420" s="2" t="s">
        <v>1126</v>
      </c>
      <c r="C420" s="2" t="s">
        <v>1127</v>
      </c>
      <c r="D420" s="2">
        <v>2016</v>
      </c>
      <c r="E420" s="2" t="s">
        <v>1302</v>
      </c>
      <c r="F420" s="2" t="s">
        <v>1373</v>
      </c>
      <c r="G420" s="2" t="s">
        <v>1454</v>
      </c>
      <c r="H420" s="2" t="s">
        <v>1602</v>
      </c>
      <c r="I420" s="2" t="s">
        <v>1128</v>
      </c>
      <c r="J420" s="2" t="s">
        <v>34</v>
      </c>
      <c r="K420" s="2" t="s">
        <v>37</v>
      </c>
      <c r="P420" s="2" t="s">
        <v>23</v>
      </c>
      <c r="Q420" s="2" t="s">
        <v>78</v>
      </c>
      <c r="R420" s="2" t="s">
        <v>41</v>
      </c>
      <c r="S420" s="2" t="s">
        <v>46</v>
      </c>
      <c r="T420" s="2" t="s">
        <v>50</v>
      </c>
      <c r="U420" s="2" t="s">
        <v>54</v>
      </c>
      <c r="V420" s="2">
        <v>112</v>
      </c>
      <c r="AH420" s="2" t="s">
        <v>4</v>
      </c>
      <c r="AN420" s="2">
        <v>15</v>
      </c>
      <c r="AO420" s="2">
        <v>-0.71414284285428498</v>
      </c>
      <c r="AP420" s="2">
        <v>-0.51</v>
      </c>
      <c r="AR420" s="2" t="s">
        <v>849</v>
      </c>
      <c r="AS420" s="2" t="s">
        <v>849</v>
      </c>
      <c r="AU420" s="2" t="s">
        <v>1825</v>
      </c>
      <c r="AV420" s="2" t="s">
        <v>1830</v>
      </c>
      <c r="AW420" s="2" t="s">
        <v>1820</v>
      </c>
      <c r="AX420" s="2" t="s">
        <v>1826</v>
      </c>
      <c r="AY420" s="2" t="s">
        <v>79</v>
      </c>
    </row>
    <row r="421" spans="1:51" x14ac:dyDescent="0.2">
      <c r="A421" s="2" t="s">
        <v>2293</v>
      </c>
      <c r="B421" s="2" t="s">
        <v>1126</v>
      </c>
      <c r="C421" s="2" t="s">
        <v>1127</v>
      </c>
      <c r="D421" s="2">
        <v>2016</v>
      </c>
      <c r="E421" s="2" t="s">
        <v>1302</v>
      </c>
      <c r="F421" s="2" t="s">
        <v>1374</v>
      </c>
      <c r="G421" s="2" t="s">
        <v>1455</v>
      </c>
      <c r="H421" s="2" t="s">
        <v>1603</v>
      </c>
      <c r="I421" s="2" t="s">
        <v>1128</v>
      </c>
      <c r="J421" s="2" t="s">
        <v>34</v>
      </c>
      <c r="K421" s="2" t="s">
        <v>37</v>
      </c>
      <c r="P421" s="2" t="s">
        <v>23</v>
      </c>
      <c r="Q421" s="2" t="s">
        <v>78</v>
      </c>
      <c r="R421" s="2" t="s">
        <v>41</v>
      </c>
      <c r="S421" s="2" t="s">
        <v>46</v>
      </c>
      <c r="T421" s="2" t="s">
        <v>50</v>
      </c>
      <c r="U421" s="2" t="s">
        <v>54</v>
      </c>
      <c r="V421" s="2">
        <v>112</v>
      </c>
      <c r="AH421" s="2" t="s">
        <v>4</v>
      </c>
      <c r="AN421" s="2">
        <v>15</v>
      </c>
      <c r="AO421" s="2">
        <v>-0.72801098892805205</v>
      </c>
      <c r="AP421" s="2">
        <v>-0.53</v>
      </c>
      <c r="AR421" s="2" t="s">
        <v>849</v>
      </c>
      <c r="AS421" s="2" t="s">
        <v>849</v>
      </c>
      <c r="AU421" s="2" t="s">
        <v>1825</v>
      </c>
      <c r="AV421" s="2" t="s">
        <v>1830</v>
      </c>
      <c r="AW421" s="2" t="s">
        <v>1820</v>
      </c>
      <c r="AX421" s="2" t="s">
        <v>1826</v>
      </c>
      <c r="AY421" s="2" t="s">
        <v>79</v>
      </c>
    </row>
    <row r="422" spans="1:51" x14ac:dyDescent="0.2">
      <c r="A422" s="2" t="s">
        <v>2293</v>
      </c>
      <c r="B422" s="2" t="s">
        <v>1126</v>
      </c>
      <c r="C422" s="2" t="s">
        <v>1127</v>
      </c>
      <c r="D422" s="2">
        <v>2016</v>
      </c>
      <c r="E422" s="2" t="s">
        <v>1302</v>
      </c>
      <c r="F422" s="2" t="s">
        <v>1374</v>
      </c>
      <c r="G422" s="2" t="s">
        <v>1455</v>
      </c>
      <c r="H422" s="2" t="s">
        <v>1604</v>
      </c>
      <c r="I422" s="2" t="s">
        <v>1128</v>
      </c>
      <c r="J422" s="2" t="s">
        <v>34</v>
      </c>
      <c r="K422" s="2" t="s">
        <v>37</v>
      </c>
      <c r="P422" s="2" t="s">
        <v>22</v>
      </c>
      <c r="Q422" s="2" t="s">
        <v>27</v>
      </c>
      <c r="R422" s="2" t="s">
        <v>41</v>
      </c>
      <c r="S422" s="2" t="s">
        <v>46</v>
      </c>
      <c r="T422" s="2" t="s">
        <v>50</v>
      </c>
      <c r="U422" s="2" t="s">
        <v>54</v>
      </c>
      <c r="V422" s="2">
        <v>112</v>
      </c>
      <c r="AH422" s="2" t="s">
        <v>4</v>
      </c>
      <c r="AN422" s="2">
        <v>15</v>
      </c>
      <c r="AO422" s="2">
        <v>-0.64031242374328501</v>
      </c>
      <c r="AP422" s="2">
        <v>-0.41</v>
      </c>
      <c r="AR422" s="2" t="s">
        <v>849</v>
      </c>
      <c r="AS422" s="2" t="s">
        <v>849</v>
      </c>
      <c r="AU422" s="2" t="s">
        <v>1825</v>
      </c>
      <c r="AV422" s="2" t="s">
        <v>1830</v>
      </c>
      <c r="AW422" s="2" t="s">
        <v>1820</v>
      </c>
      <c r="AX422" s="2" t="s">
        <v>1826</v>
      </c>
      <c r="AY422" s="2" t="s">
        <v>79</v>
      </c>
    </row>
    <row r="423" spans="1:51" x14ac:dyDescent="0.2">
      <c r="A423" s="2" t="s">
        <v>1129</v>
      </c>
      <c r="B423" s="2" t="s">
        <v>1130</v>
      </c>
      <c r="C423" s="2" t="s">
        <v>1131</v>
      </c>
      <c r="D423" s="2">
        <v>2015</v>
      </c>
      <c r="E423" s="2" t="s">
        <v>1303</v>
      </c>
      <c r="F423" s="2" t="s">
        <v>1375</v>
      </c>
      <c r="G423" s="2" t="s">
        <v>1456</v>
      </c>
      <c r="H423" s="2" t="s">
        <v>1605</v>
      </c>
      <c r="I423" s="2" t="s">
        <v>1132</v>
      </c>
      <c r="J423" s="2" t="s">
        <v>536</v>
      </c>
      <c r="K423" s="2" t="s">
        <v>38</v>
      </c>
      <c r="L423" s="2" t="s">
        <v>11</v>
      </c>
      <c r="M423" s="2" t="s">
        <v>14</v>
      </c>
      <c r="N423" s="2" t="s">
        <v>18</v>
      </c>
      <c r="O423" s="2">
        <v>0</v>
      </c>
      <c r="P423" s="2" t="s">
        <v>22</v>
      </c>
      <c r="Q423" s="2" t="s">
        <v>30</v>
      </c>
      <c r="T423" s="2" t="s">
        <v>50</v>
      </c>
      <c r="U423" s="2" t="s">
        <v>52</v>
      </c>
      <c r="V423" s="2">
        <v>7</v>
      </c>
      <c r="W423" s="2" t="s">
        <v>528</v>
      </c>
      <c r="X423" s="2">
        <v>48</v>
      </c>
      <c r="Y423" s="2">
        <v>48</v>
      </c>
      <c r="Z423" s="2">
        <v>24</v>
      </c>
      <c r="AA423" s="2">
        <v>24</v>
      </c>
      <c r="AH423" s="2" t="s">
        <v>1804</v>
      </c>
      <c r="AR423" s="2" t="s">
        <v>849</v>
      </c>
      <c r="AS423" s="2" t="s">
        <v>849</v>
      </c>
      <c r="AU423" s="2" t="s">
        <v>1818</v>
      </c>
      <c r="AV423" s="2" t="s">
        <v>1822</v>
      </c>
      <c r="AW423" s="2" t="s">
        <v>1823</v>
      </c>
      <c r="AX423" s="2" t="s">
        <v>1826</v>
      </c>
      <c r="AY423" s="2" t="s">
        <v>79</v>
      </c>
    </row>
    <row r="424" spans="1:51" x14ac:dyDescent="0.2">
      <c r="A424" s="2" t="s">
        <v>1133</v>
      </c>
      <c r="B424" s="2" t="s">
        <v>1134</v>
      </c>
      <c r="C424" s="2" t="s">
        <v>1135</v>
      </c>
      <c r="D424" s="2">
        <v>2012</v>
      </c>
      <c r="E424" s="2" t="s">
        <v>1304</v>
      </c>
      <c r="F424" s="2" t="s">
        <v>1376</v>
      </c>
      <c r="G424" s="2" t="s">
        <v>1457</v>
      </c>
      <c r="H424" s="2" t="s">
        <v>1606</v>
      </c>
      <c r="I424" s="2" t="s">
        <v>1136</v>
      </c>
      <c r="J424" s="2" t="s">
        <v>36</v>
      </c>
      <c r="K424" s="2" t="s">
        <v>37</v>
      </c>
      <c r="P424" s="2" t="s">
        <v>22</v>
      </c>
      <c r="Q424" s="2" t="s">
        <v>30</v>
      </c>
      <c r="R424" s="2" t="s">
        <v>40</v>
      </c>
      <c r="S424" s="2" t="s">
        <v>43</v>
      </c>
      <c r="T424" s="2" t="s">
        <v>50</v>
      </c>
      <c r="U424" s="2" t="s">
        <v>52</v>
      </c>
      <c r="V424" s="2">
        <v>20</v>
      </c>
      <c r="W424" s="2">
        <v>1</v>
      </c>
      <c r="X424" s="2">
        <v>10</v>
      </c>
      <c r="Y424" s="2">
        <v>4</v>
      </c>
      <c r="AB424" s="2">
        <v>0.89022302904564299</v>
      </c>
      <c r="AC424" s="2">
        <v>1.7912981430355801E-2</v>
      </c>
      <c r="AD424" s="2">
        <v>0.94795124481327797</v>
      </c>
      <c r="AE424" s="2">
        <v>3.66438408414866E-2</v>
      </c>
      <c r="AF424" s="2" t="s">
        <v>74</v>
      </c>
      <c r="AG424" s="2" t="s">
        <v>64</v>
      </c>
      <c r="AH424" s="2" t="str">
        <f>IF(AF424="mean", "mean", "")</f>
        <v>mean</v>
      </c>
      <c r="AR424" s="2" t="s">
        <v>222</v>
      </c>
      <c r="AS424" s="2" t="s">
        <v>849</v>
      </c>
      <c r="AU424" s="2" t="s">
        <v>1827</v>
      </c>
      <c r="AV424" s="2" t="s">
        <v>1822</v>
      </c>
      <c r="AW424" s="2" t="s">
        <v>1823</v>
      </c>
      <c r="AY424" s="2" t="s">
        <v>1835</v>
      </c>
    </row>
    <row r="425" spans="1:51" x14ac:dyDescent="0.2">
      <c r="A425" s="2" t="s">
        <v>1137</v>
      </c>
      <c r="B425" s="2" t="s">
        <v>1138</v>
      </c>
      <c r="C425" s="2" t="s">
        <v>1139</v>
      </c>
      <c r="D425" s="2">
        <v>2006</v>
      </c>
      <c r="E425" s="2" t="s">
        <v>1305</v>
      </c>
      <c r="F425" s="2" t="s">
        <v>1377</v>
      </c>
      <c r="G425" s="2" t="s">
        <v>1458</v>
      </c>
      <c r="H425" s="2" t="s">
        <v>1607</v>
      </c>
      <c r="I425" s="2" t="s">
        <v>474</v>
      </c>
      <c r="J425" s="2" t="s">
        <v>32</v>
      </c>
      <c r="K425" s="2" t="s">
        <v>37</v>
      </c>
      <c r="P425" s="2" t="s">
        <v>22</v>
      </c>
      <c r="Q425" s="2" t="s">
        <v>29</v>
      </c>
      <c r="R425" s="2" t="s">
        <v>41</v>
      </c>
      <c r="S425" s="2" t="s">
        <v>46</v>
      </c>
      <c r="T425" s="2" t="s">
        <v>50</v>
      </c>
      <c r="U425" s="2" t="s">
        <v>54</v>
      </c>
      <c r="V425" s="2">
        <v>168</v>
      </c>
      <c r="X425" s="2">
        <v>30</v>
      </c>
      <c r="Y425" s="2">
        <v>30</v>
      </c>
      <c r="AB425" s="2">
        <v>5.38</v>
      </c>
      <c r="AC425" s="2">
        <v>2.41</v>
      </c>
      <c r="AD425" s="2">
        <v>10.66</v>
      </c>
      <c r="AE425" s="2">
        <v>5.07</v>
      </c>
      <c r="AF425" s="2" t="s">
        <v>74</v>
      </c>
      <c r="AG425" s="2" t="s">
        <v>64</v>
      </c>
      <c r="AH425" s="2" t="str">
        <f>IF(AF425="mean", "mean", "")</f>
        <v>mean</v>
      </c>
      <c r="AR425" s="2" t="s">
        <v>849</v>
      </c>
      <c r="AS425" s="2" t="s">
        <v>849</v>
      </c>
      <c r="AU425" s="2" t="s">
        <v>1818</v>
      </c>
      <c r="AV425" s="2" t="s">
        <v>1830</v>
      </c>
      <c r="AW425" s="2" t="s">
        <v>28</v>
      </c>
      <c r="AX425" s="2" t="s">
        <v>1829</v>
      </c>
      <c r="AY425" s="2" t="s">
        <v>79</v>
      </c>
    </row>
    <row r="426" spans="1:51" x14ac:dyDescent="0.2">
      <c r="A426" s="2" t="s">
        <v>1137</v>
      </c>
      <c r="B426" s="2" t="s">
        <v>1138</v>
      </c>
      <c r="C426" s="2" t="s">
        <v>1139</v>
      </c>
      <c r="D426" s="2">
        <v>2006</v>
      </c>
      <c r="E426" s="2" t="s">
        <v>1305</v>
      </c>
      <c r="F426" s="2" t="s">
        <v>1377</v>
      </c>
      <c r="G426" s="2" t="s">
        <v>1458</v>
      </c>
      <c r="H426" s="2" t="s">
        <v>1608</v>
      </c>
      <c r="I426" s="2" t="s">
        <v>474</v>
      </c>
      <c r="J426" s="2" t="s">
        <v>32</v>
      </c>
      <c r="K426" s="2" t="s">
        <v>37</v>
      </c>
      <c r="P426" s="2" t="s">
        <v>22</v>
      </c>
      <c r="Q426" s="2" t="s">
        <v>28</v>
      </c>
      <c r="R426" s="2" t="s">
        <v>41</v>
      </c>
      <c r="S426" s="2" t="s">
        <v>46</v>
      </c>
      <c r="T426" s="2" t="s">
        <v>50</v>
      </c>
      <c r="U426" s="2" t="s">
        <v>52</v>
      </c>
      <c r="V426" s="2">
        <v>169</v>
      </c>
      <c r="W426" s="2" t="s">
        <v>1140</v>
      </c>
      <c r="AH426" s="2" t="s">
        <v>4</v>
      </c>
      <c r="AN426" s="2">
        <v>30</v>
      </c>
      <c r="AO426" s="2">
        <v>0.74523536978499805</v>
      </c>
      <c r="AR426" s="2" t="s">
        <v>849</v>
      </c>
      <c r="AS426" s="2" t="s">
        <v>849</v>
      </c>
      <c r="AU426" s="2" t="s">
        <v>1818</v>
      </c>
      <c r="AV426" s="2" t="s">
        <v>1830</v>
      </c>
      <c r="AW426" s="2" t="s">
        <v>28</v>
      </c>
      <c r="AX426" s="2" t="s">
        <v>1829</v>
      </c>
      <c r="AY426" s="2" t="s">
        <v>79</v>
      </c>
    </row>
    <row r="427" spans="1:51" x14ac:dyDescent="0.2">
      <c r="A427" s="2" t="s">
        <v>1137</v>
      </c>
      <c r="B427" s="2" t="s">
        <v>1138</v>
      </c>
      <c r="C427" s="2" t="s">
        <v>1139</v>
      </c>
      <c r="D427" s="2">
        <v>2006</v>
      </c>
      <c r="E427" s="2" t="s">
        <v>1305</v>
      </c>
      <c r="F427" s="2" t="s">
        <v>1377</v>
      </c>
      <c r="G427" s="2" t="s">
        <v>1459</v>
      </c>
      <c r="H427" s="2" t="s">
        <v>1609</v>
      </c>
      <c r="I427" s="2" t="s">
        <v>474</v>
      </c>
      <c r="J427" s="2" t="s">
        <v>32</v>
      </c>
      <c r="K427" s="2" t="s">
        <v>38</v>
      </c>
      <c r="L427" s="2" t="s">
        <v>12</v>
      </c>
      <c r="P427" s="2" t="s">
        <v>22</v>
      </c>
      <c r="Q427" s="2" t="s">
        <v>29</v>
      </c>
      <c r="R427" s="2" t="s">
        <v>41</v>
      </c>
      <c r="S427" s="2" t="s">
        <v>46</v>
      </c>
      <c r="T427" s="2" t="s">
        <v>50</v>
      </c>
      <c r="U427" s="2" t="s">
        <v>54</v>
      </c>
      <c r="V427" s="2">
        <v>169</v>
      </c>
      <c r="X427" s="2">
        <v>20</v>
      </c>
      <c r="Y427" s="2">
        <v>20</v>
      </c>
      <c r="AB427" s="2">
        <v>11.21</v>
      </c>
      <c r="AC427" s="2">
        <v>4.04</v>
      </c>
      <c r="AD427" s="2">
        <v>3.36</v>
      </c>
      <c r="AE427" s="2">
        <v>1.1200000000000001</v>
      </c>
      <c r="AF427" s="2" t="s">
        <v>74</v>
      </c>
      <c r="AG427" s="2" t="s">
        <v>64</v>
      </c>
      <c r="AH427" s="2" t="str">
        <f>IF(AF427="mean", "mean", "")</f>
        <v>mean</v>
      </c>
      <c r="AR427" s="2" t="s">
        <v>849</v>
      </c>
      <c r="AS427" s="2" t="s">
        <v>849</v>
      </c>
      <c r="AU427" s="2" t="s">
        <v>1818</v>
      </c>
      <c r="AV427" s="2" t="s">
        <v>1830</v>
      </c>
      <c r="AW427" s="2" t="s">
        <v>28</v>
      </c>
      <c r="AX427" s="2" t="s">
        <v>1829</v>
      </c>
      <c r="AY427" s="2" t="s">
        <v>79</v>
      </c>
    </row>
    <row r="428" spans="1:51" x14ac:dyDescent="0.2">
      <c r="A428" s="2" t="s">
        <v>1141</v>
      </c>
      <c r="B428" s="2" t="s">
        <v>1138</v>
      </c>
      <c r="C428" s="2" t="s">
        <v>1142</v>
      </c>
      <c r="D428" s="2">
        <v>2008</v>
      </c>
      <c r="E428" s="2" t="s">
        <v>1306</v>
      </c>
      <c r="F428" s="2" t="s">
        <v>1378</v>
      </c>
      <c r="G428" s="2" t="s">
        <v>1460</v>
      </c>
      <c r="H428" s="2" t="s">
        <v>1610</v>
      </c>
      <c r="I428" s="2" t="s">
        <v>474</v>
      </c>
      <c r="J428" s="2" t="s">
        <v>32</v>
      </c>
      <c r="K428" s="2" t="s">
        <v>38</v>
      </c>
      <c r="L428" s="2" t="s">
        <v>11</v>
      </c>
      <c r="M428" s="2" t="s">
        <v>14</v>
      </c>
      <c r="N428" s="2" t="s">
        <v>21</v>
      </c>
      <c r="O428" s="2">
        <v>0</v>
      </c>
      <c r="P428" s="2" t="s">
        <v>22</v>
      </c>
      <c r="Q428" s="2" t="s">
        <v>28</v>
      </c>
      <c r="T428" s="2" t="s">
        <v>50</v>
      </c>
      <c r="U428" s="2" t="s">
        <v>52</v>
      </c>
      <c r="V428" s="2">
        <v>730</v>
      </c>
      <c r="W428" s="2" t="s">
        <v>1143</v>
      </c>
      <c r="X428" s="2">
        <v>8</v>
      </c>
      <c r="Y428" s="2">
        <v>8</v>
      </c>
      <c r="AB428" s="2">
        <v>17.462406015037601</v>
      </c>
      <c r="AC428" s="2">
        <v>1.0842497061826499</v>
      </c>
      <c r="AD428" s="2">
        <v>11.7048872180451</v>
      </c>
      <c r="AE428" s="2">
        <v>1.88047996676092</v>
      </c>
      <c r="AF428" s="2" t="s">
        <v>74</v>
      </c>
      <c r="AG428" s="2" t="s">
        <v>64</v>
      </c>
      <c r="AH428" s="2" t="str">
        <f>IF(AF428="mean", "mean", "")</f>
        <v>mean</v>
      </c>
      <c r="AR428" s="2" t="s">
        <v>849</v>
      </c>
      <c r="AS428" s="2" t="s">
        <v>849</v>
      </c>
      <c r="AU428" s="2" t="s">
        <v>1818</v>
      </c>
      <c r="AV428" s="2" t="s">
        <v>1830</v>
      </c>
      <c r="AW428" s="2" t="s">
        <v>28</v>
      </c>
      <c r="AX428" s="2" t="s">
        <v>1829</v>
      </c>
      <c r="AY428" s="2" t="s">
        <v>79</v>
      </c>
    </row>
    <row r="429" spans="1:51" x14ac:dyDescent="0.2">
      <c r="A429" s="2" t="s">
        <v>1144</v>
      </c>
      <c r="B429" s="2" t="s">
        <v>1138</v>
      </c>
      <c r="D429" s="2">
        <v>2011</v>
      </c>
      <c r="E429" s="2" t="s">
        <v>1307</v>
      </c>
      <c r="F429" s="2" t="s">
        <v>1379</v>
      </c>
      <c r="G429" s="2" t="s">
        <v>1461</v>
      </c>
      <c r="H429" s="2" t="s">
        <v>1611</v>
      </c>
      <c r="I429" s="2" t="s">
        <v>1798</v>
      </c>
      <c r="J429" s="2" t="s">
        <v>32</v>
      </c>
      <c r="K429" s="2" t="s">
        <v>37</v>
      </c>
      <c r="P429" s="2" t="s">
        <v>22</v>
      </c>
      <c r="Q429" s="2" t="s">
        <v>28</v>
      </c>
      <c r="R429" s="2" t="s">
        <v>41</v>
      </c>
      <c r="S429" s="2" t="s">
        <v>46</v>
      </c>
      <c r="T429" s="2" t="s">
        <v>50</v>
      </c>
      <c r="U429" s="2" t="s">
        <v>54</v>
      </c>
      <c r="V429" s="2">
        <v>91</v>
      </c>
      <c r="AH429" s="2" t="s">
        <v>4</v>
      </c>
      <c r="AN429" s="2">
        <v>14</v>
      </c>
      <c r="AO429" s="2">
        <v>-0.75</v>
      </c>
      <c r="AR429" s="2" t="s">
        <v>849</v>
      </c>
      <c r="AS429" s="2" t="s">
        <v>849</v>
      </c>
      <c r="AU429" s="2" t="s">
        <v>1818</v>
      </c>
      <c r="AV429" s="2" t="s">
        <v>1830</v>
      </c>
      <c r="AW429" s="2" t="s">
        <v>1823</v>
      </c>
      <c r="AX429" s="2" t="s">
        <v>1829</v>
      </c>
      <c r="AY429" s="2" t="s">
        <v>79</v>
      </c>
    </row>
    <row r="430" spans="1:51" x14ac:dyDescent="0.2">
      <c r="A430" s="2" t="s">
        <v>1145</v>
      </c>
      <c r="B430" s="2" t="s">
        <v>136</v>
      </c>
      <c r="C430" s="2" t="s">
        <v>1146</v>
      </c>
      <c r="D430" s="2">
        <v>2007</v>
      </c>
      <c r="E430" s="2" t="s">
        <v>1308</v>
      </c>
      <c r="F430" s="2" t="s">
        <v>1380</v>
      </c>
      <c r="G430" s="2" t="s">
        <v>1462</v>
      </c>
      <c r="H430" s="2" t="s">
        <v>1612</v>
      </c>
      <c r="I430" s="2" t="s">
        <v>1147</v>
      </c>
      <c r="J430" s="2" t="s">
        <v>32</v>
      </c>
      <c r="K430" s="2" t="s">
        <v>37</v>
      </c>
      <c r="P430" s="2" t="s">
        <v>22</v>
      </c>
      <c r="Q430" s="2" t="s">
        <v>29</v>
      </c>
      <c r="R430" s="2" t="s">
        <v>41</v>
      </c>
      <c r="S430" s="2" t="s">
        <v>46</v>
      </c>
      <c r="T430" s="2" t="s">
        <v>50</v>
      </c>
      <c r="U430" s="2" t="s">
        <v>54</v>
      </c>
      <c r="V430" s="2">
        <v>941</v>
      </c>
      <c r="X430" s="2">
        <v>18</v>
      </c>
      <c r="Y430" s="2">
        <v>18</v>
      </c>
      <c r="AB430" s="2">
        <v>11.18</v>
      </c>
      <c r="AC430" s="2">
        <v>1.24</v>
      </c>
      <c r="AD430" s="2">
        <v>14.61</v>
      </c>
      <c r="AE430" s="2">
        <v>0.88</v>
      </c>
      <c r="AF430" s="2" t="s">
        <v>74</v>
      </c>
      <c r="AG430" s="2" t="s">
        <v>65</v>
      </c>
      <c r="AH430" s="2" t="str">
        <f>IF(AF430="mean", "mean", "")</f>
        <v>mean</v>
      </c>
      <c r="AR430" s="2" t="s">
        <v>849</v>
      </c>
      <c r="AS430" s="2" t="s">
        <v>849</v>
      </c>
      <c r="AU430" s="2" t="s">
        <v>1818</v>
      </c>
      <c r="AV430" s="2" t="s">
        <v>1830</v>
      </c>
      <c r="AW430" s="2" t="s">
        <v>28</v>
      </c>
      <c r="AX430" s="2" t="s">
        <v>1829</v>
      </c>
      <c r="AY430" s="2" t="s">
        <v>79</v>
      </c>
    </row>
    <row r="431" spans="1:51" x14ac:dyDescent="0.2">
      <c r="A431" s="2" t="s">
        <v>1145</v>
      </c>
      <c r="B431" s="2" t="s">
        <v>136</v>
      </c>
      <c r="C431" s="2" t="s">
        <v>1146</v>
      </c>
      <c r="D431" s="2">
        <v>2007</v>
      </c>
      <c r="E431" s="2" t="s">
        <v>1308</v>
      </c>
      <c r="F431" s="2" t="s">
        <v>1380</v>
      </c>
      <c r="G431" s="2" t="s">
        <v>1462</v>
      </c>
      <c r="H431" s="2" t="s">
        <v>1613</v>
      </c>
      <c r="I431" s="2" t="s">
        <v>1147</v>
      </c>
      <c r="J431" s="2" t="s">
        <v>32</v>
      </c>
      <c r="K431" s="2" t="s">
        <v>37</v>
      </c>
      <c r="P431" s="2" t="s">
        <v>22</v>
      </c>
      <c r="Q431" s="2" t="s">
        <v>28</v>
      </c>
      <c r="R431" s="2" t="s">
        <v>41</v>
      </c>
      <c r="S431" s="2" t="s">
        <v>46</v>
      </c>
      <c r="T431" s="2" t="s">
        <v>50</v>
      </c>
      <c r="U431" s="2" t="s">
        <v>54</v>
      </c>
      <c r="V431" s="2">
        <v>941</v>
      </c>
      <c r="AH431" s="2" t="s">
        <v>4</v>
      </c>
      <c r="AN431" s="2">
        <v>18</v>
      </c>
      <c r="AO431" s="2">
        <v>0.65</v>
      </c>
      <c r="AR431" s="2" t="s">
        <v>849</v>
      </c>
      <c r="AS431" s="2" t="s">
        <v>849</v>
      </c>
      <c r="AU431" s="2" t="s">
        <v>1818</v>
      </c>
      <c r="AV431" s="2" t="s">
        <v>1830</v>
      </c>
      <c r="AW431" s="2" t="s">
        <v>28</v>
      </c>
      <c r="AX431" s="2" t="s">
        <v>1829</v>
      </c>
      <c r="AY431" s="2" t="s">
        <v>79</v>
      </c>
    </row>
    <row r="432" spans="1:51" x14ac:dyDescent="0.2">
      <c r="A432" s="2" t="s">
        <v>1145</v>
      </c>
      <c r="B432" s="2" t="s">
        <v>136</v>
      </c>
      <c r="C432" s="2" t="s">
        <v>1146</v>
      </c>
      <c r="D432" s="2">
        <v>2007</v>
      </c>
      <c r="E432" s="2" t="s">
        <v>1308</v>
      </c>
      <c r="F432" s="2" t="s">
        <v>1380</v>
      </c>
      <c r="G432" s="2" t="s">
        <v>1462</v>
      </c>
      <c r="H432" s="2" t="s">
        <v>1614</v>
      </c>
      <c r="I432" s="2" t="s">
        <v>1147</v>
      </c>
      <c r="J432" s="2" t="s">
        <v>32</v>
      </c>
      <c r="K432" s="2" t="s">
        <v>37</v>
      </c>
      <c r="P432" s="2" t="s">
        <v>22</v>
      </c>
      <c r="Q432" s="2" t="s">
        <v>28</v>
      </c>
      <c r="R432" s="2" t="s">
        <v>41</v>
      </c>
      <c r="S432" s="2" t="s">
        <v>46</v>
      </c>
      <c r="T432" s="2" t="s">
        <v>50</v>
      </c>
      <c r="U432" s="2" t="s">
        <v>54</v>
      </c>
      <c r="V432" s="2">
        <v>942</v>
      </c>
      <c r="AH432" s="2" t="s">
        <v>4</v>
      </c>
      <c r="AN432" s="2">
        <v>18</v>
      </c>
      <c r="AO432" s="2">
        <v>0.47</v>
      </c>
      <c r="AR432" s="2" t="s">
        <v>849</v>
      </c>
      <c r="AS432" s="2" t="s">
        <v>849</v>
      </c>
      <c r="AU432" s="2" t="s">
        <v>1818</v>
      </c>
      <c r="AV432" s="2" t="s">
        <v>1830</v>
      </c>
      <c r="AW432" s="2" t="s">
        <v>28</v>
      </c>
      <c r="AX432" s="2" t="s">
        <v>1829</v>
      </c>
      <c r="AY432" s="2" t="s">
        <v>79</v>
      </c>
    </row>
    <row r="433" spans="1:51" x14ac:dyDescent="0.2">
      <c r="A433" s="2" t="s">
        <v>1145</v>
      </c>
      <c r="B433" s="2" t="s">
        <v>136</v>
      </c>
      <c r="C433" s="2" t="s">
        <v>1146</v>
      </c>
      <c r="D433" s="2">
        <v>2007</v>
      </c>
      <c r="E433" s="2" t="s">
        <v>1308</v>
      </c>
      <c r="F433" s="2" t="s">
        <v>1380</v>
      </c>
      <c r="G433" s="2" t="s">
        <v>1462</v>
      </c>
      <c r="H433" s="2" t="s">
        <v>1615</v>
      </c>
      <c r="I433" s="2" t="s">
        <v>1147</v>
      </c>
      <c r="J433" s="2" t="s">
        <v>32</v>
      </c>
      <c r="K433" s="2" t="s">
        <v>37</v>
      </c>
      <c r="P433" s="2" t="s">
        <v>22</v>
      </c>
      <c r="Q433" s="2" t="s">
        <v>28</v>
      </c>
      <c r="R433" s="2" t="s">
        <v>41</v>
      </c>
      <c r="S433" s="2" t="s">
        <v>46</v>
      </c>
      <c r="T433" s="2" t="s">
        <v>50</v>
      </c>
      <c r="U433" s="2" t="s">
        <v>54</v>
      </c>
      <c r="V433" s="2">
        <v>942</v>
      </c>
      <c r="AH433" s="2" t="s">
        <v>4</v>
      </c>
      <c r="AN433" s="2">
        <v>18</v>
      </c>
      <c r="AO433" s="2">
        <v>-0.14000000000000001</v>
      </c>
      <c r="AR433" s="2" t="s">
        <v>849</v>
      </c>
      <c r="AS433" s="2" t="s">
        <v>849</v>
      </c>
      <c r="AU433" s="2" t="s">
        <v>1818</v>
      </c>
      <c r="AV433" s="2" t="s">
        <v>1830</v>
      </c>
      <c r="AW433" s="2" t="s">
        <v>28</v>
      </c>
      <c r="AX433" s="2" t="s">
        <v>1829</v>
      </c>
      <c r="AY433" s="2" t="s">
        <v>79</v>
      </c>
    </row>
    <row r="434" spans="1:51" x14ac:dyDescent="0.2">
      <c r="A434" s="2" t="s">
        <v>1145</v>
      </c>
      <c r="B434" s="2" t="s">
        <v>136</v>
      </c>
      <c r="C434" s="2" t="s">
        <v>1146</v>
      </c>
      <c r="D434" s="2">
        <v>2007</v>
      </c>
      <c r="E434" s="2" t="s">
        <v>1308</v>
      </c>
      <c r="F434" s="2" t="s">
        <v>1380</v>
      </c>
      <c r="G434" s="2" t="s">
        <v>1462</v>
      </c>
      <c r="H434" s="2" t="s">
        <v>1616</v>
      </c>
      <c r="I434" s="2" t="s">
        <v>1147</v>
      </c>
      <c r="J434" s="2" t="s">
        <v>32</v>
      </c>
      <c r="K434" s="2" t="s">
        <v>37</v>
      </c>
      <c r="P434" s="2" t="s">
        <v>22</v>
      </c>
      <c r="Q434" s="2" t="s">
        <v>28</v>
      </c>
      <c r="R434" s="2" t="s">
        <v>41</v>
      </c>
      <c r="S434" s="2" t="s">
        <v>46</v>
      </c>
      <c r="T434" s="2" t="s">
        <v>50</v>
      </c>
      <c r="U434" s="2" t="s">
        <v>54</v>
      </c>
      <c r="V434" s="2">
        <v>942</v>
      </c>
      <c r="AH434" s="2" t="s">
        <v>4</v>
      </c>
      <c r="AN434" s="2">
        <v>18</v>
      </c>
      <c r="AO434" s="2">
        <v>0.56000000000000005</v>
      </c>
      <c r="AR434" s="2" t="s">
        <v>849</v>
      </c>
      <c r="AS434" s="2" t="s">
        <v>849</v>
      </c>
      <c r="AU434" s="2" t="s">
        <v>1818</v>
      </c>
      <c r="AV434" s="2" t="s">
        <v>1830</v>
      </c>
      <c r="AW434" s="2" t="s">
        <v>28</v>
      </c>
      <c r="AX434" s="2" t="s">
        <v>1829</v>
      </c>
      <c r="AY434" s="2" t="s">
        <v>79</v>
      </c>
    </row>
    <row r="435" spans="1:51" x14ac:dyDescent="0.2">
      <c r="A435" s="2" t="s">
        <v>1145</v>
      </c>
      <c r="B435" s="2" t="s">
        <v>136</v>
      </c>
      <c r="C435" s="2" t="s">
        <v>1146</v>
      </c>
      <c r="D435" s="2">
        <v>2007</v>
      </c>
      <c r="E435" s="2" t="s">
        <v>1308</v>
      </c>
      <c r="F435" s="2" t="s">
        <v>1380</v>
      </c>
      <c r="G435" s="2" t="s">
        <v>1462</v>
      </c>
      <c r="H435" s="2" t="s">
        <v>1617</v>
      </c>
      <c r="I435" s="2" t="s">
        <v>1147</v>
      </c>
      <c r="J435" s="2" t="s">
        <v>32</v>
      </c>
      <c r="K435" s="2" t="s">
        <v>37</v>
      </c>
      <c r="P435" s="2" t="s">
        <v>22</v>
      </c>
      <c r="Q435" s="2" t="s">
        <v>28</v>
      </c>
      <c r="R435" s="2" t="s">
        <v>41</v>
      </c>
      <c r="S435" s="2" t="s">
        <v>46</v>
      </c>
      <c r="T435" s="2" t="s">
        <v>50</v>
      </c>
      <c r="U435" s="2" t="s">
        <v>54</v>
      </c>
      <c r="V435" s="2">
        <v>942</v>
      </c>
      <c r="AH435" s="2" t="s">
        <v>4</v>
      </c>
      <c r="AN435" s="2">
        <v>18</v>
      </c>
      <c r="AO435" s="2">
        <v>0.54</v>
      </c>
      <c r="AR435" s="2" t="s">
        <v>849</v>
      </c>
      <c r="AS435" s="2" t="s">
        <v>849</v>
      </c>
      <c r="AU435" s="2" t="s">
        <v>1818</v>
      </c>
      <c r="AV435" s="2" t="s">
        <v>1830</v>
      </c>
      <c r="AW435" s="2" t="s">
        <v>28</v>
      </c>
      <c r="AX435" s="2" t="s">
        <v>1829</v>
      </c>
      <c r="AY435" s="2" t="s">
        <v>79</v>
      </c>
    </row>
    <row r="436" spans="1:51" x14ac:dyDescent="0.2">
      <c r="A436" s="2" t="s">
        <v>1145</v>
      </c>
      <c r="B436" s="2" t="s">
        <v>136</v>
      </c>
      <c r="C436" s="2" t="s">
        <v>1146</v>
      </c>
      <c r="D436" s="2">
        <v>2007</v>
      </c>
      <c r="E436" s="2" t="s">
        <v>1308</v>
      </c>
      <c r="F436" s="2" t="s">
        <v>1380</v>
      </c>
      <c r="G436" s="2" t="s">
        <v>1462</v>
      </c>
      <c r="H436" s="2" t="s">
        <v>1618</v>
      </c>
      <c r="I436" s="2" t="s">
        <v>1147</v>
      </c>
      <c r="J436" s="2" t="s">
        <v>32</v>
      </c>
      <c r="K436" s="2" t="s">
        <v>37</v>
      </c>
      <c r="P436" s="2" t="s">
        <v>22</v>
      </c>
      <c r="Q436" s="2" t="s">
        <v>28</v>
      </c>
      <c r="R436" s="2" t="s">
        <v>41</v>
      </c>
      <c r="S436" s="2" t="s">
        <v>46</v>
      </c>
      <c r="T436" s="2" t="s">
        <v>50</v>
      </c>
      <c r="U436" s="2" t="s">
        <v>54</v>
      </c>
      <c r="V436" s="2">
        <v>942</v>
      </c>
      <c r="AH436" s="2" t="s">
        <v>4</v>
      </c>
      <c r="AN436" s="2">
        <v>18</v>
      </c>
      <c r="AO436" s="2">
        <v>0.17</v>
      </c>
      <c r="AR436" s="2" t="s">
        <v>849</v>
      </c>
      <c r="AS436" s="2" t="s">
        <v>849</v>
      </c>
      <c r="AU436" s="2" t="s">
        <v>1818</v>
      </c>
      <c r="AV436" s="2" t="s">
        <v>1830</v>
      </c>
      <c r="AW436" s="2" t="s">
        <v>28</v>
      </c>
      <c r="AX436" s="2" t="s">
        <v>1829</v>
      </c>
      <c r="AY436" s="2" t="s">
        <v>79</v>
      </c>
    </row>
    <row r="437" spans="1:51" x14ac:dyDescent="0.2">
      <c r="A437" s="2" t="s">
        <v>1145</v>
      </c>
      <c r="B437" s="2" t="s">
        <v>136</v>
      </c>
      <c r="C437" s="2" t="s">
        <v>1146</v>
      </c>
      <c r="D437" s="2">
        <v>2007</v>
      </c>
      <c r="E437" s="2" t="s">
        <v>1308</v>
      </c>
      <c r="F437" s="2" t="s">
        <v>1380</v>
      </c>
      <c r="G437" s="2" t="s">
        <v>1462</v>
      </c>
      <c r="H437" s="2" t="s">
        <v>1619</v>
      </c>
      <c r="I437" s="2" t="s">
        <v>1147</v>
      </c>
      <c r="J437" s="2" t="s">
        <v>32</v>
      </c>
      <c r="K437" s="2" t="s">
        <v>37</v>
      </c>
      <c r="P437" s="2" t="s">
        <v>22</v>
      </c>
      <c r="Q437" s="2" t="s">
        <v>28</v>
      </c>
      <c r="R437" s="2" t="s">
        <v>41</v>
      </c>
      <c r="S437" s="2" t="s">
        <v>48</v>
      </c>
      <c r="T437" s="2" t="s">
        <v>50</v>
      </c>
      <c r="U437" s="2" t="s">
        <v>54</v>
      </c>
      <c r="V437" s="2">
        <v>943</v>
      </c>
      <c r="AH437" s="2" t="s">
        <v>4</v>
      </c>
      <c r="AN437" s="2">
        <v>33</v>
      </c>
      <c r="AO437" s="2">
        <v>-0.47</v>
      </c>
      <c r="AR437" s="2" t="s">
        <v>222</v>
      </c>
      <c r="AS437" s="2" t="s">
        <v>849</v>
      </c>
      <c r="AU437" s="2" t="s">
        <v>1818</v>
      </c>
      <c r="AV437" s="2" t="s">
        <v>1830</v>
      </c>
      <c r="AW437" s="2" t="s">
        <v>28</v>
      </c>
      <c r="AX437" s="2" t="s">
        <v>1829</v>
      </c>
      <c r="AY437" s="2" t="s">
        <v>79</v>
      </c>
    </row>
    <row r="438" spans="1:51" x14ac:dyDescent="0.2">
      <c r="A438" s="2" t="s">
        <v>1145</v>
      </c>
      <c r="B438" s="2" t="s">
        <v>136</v>
      </c>
      <c r="C438" s="2" t="s">
        <v>1146</v>
      </c>
      <c r="D438" s="2">
        <v>2007</v>
      </c>
      <c r="E438" s="2" t="s">
        <v>1308</v>
      </c>
      <c r="F438" s="2" t="s">
        <v>1380</v>
      </c>
      <c r="G438" s="2" t="s">
        <v>1462</v>
      </c>
      <c r="H438" s="2" t="s">
        <v>1620</v>
      </c>
      <c r="I438" s="2" t="s">
        <v>1147</v>
      </c>
      <c r="J438" s="2" t="s">
        <v>32</v>
      </c>
      <c r="K438" s="2" t="s">
        <v>37</v>
      </c>
      <c r="P438" s="2" t="s">
        <v>22</v>
      </c>
      <c r="Q438" s="2" t="s">
        <v>28</v>
      </c>
      <c r="R438" s="2" t="s">
        <v>41</v>
      </c>
      <c r="S438" s="2" t="s">
        <v>48</v>
      </c>
      <c r="T438" s="2" t="s">
        <v>50</v>
      </c>
      <c r="U438" s="2" t="s">
        <v>54</v>
      </c>
      <c r="V438" s="2">
        <v>943</v>
      </c>
      <c r="AH438" s="2" t="s">
        <v>4</v>
      </c>
      <c r="AN438" s="2">
        <v>33</v>
      </c>
      <c r="AO438" s="2">
        <v>-0.47</v>
      </c>
      <c r="AR438" s="2" t="s">
        <v>222</v>
      </c>
      <c r="AS438" s="2" t="s">
        <v>849</v>
      </c>
      <c r="AU438" s="2" t="s">
        <v>1818</v>
      </c>
      <c r="AV438" s="2" t="s">
        <v>1830</v>
      </c>
      <c r="AW438" s="2" t="s">
        <v>28</v>
      </c>
      <c r="AX438" s="2" t="s">
        <v>1829</v>
      </c>
      <c r="AY438" s="2" t="s">
        <v>79</v>
      </c>
    </row>
    <row r="439" spans="1:51" x14ac:dyDescent="0.2">
      <c r="A439" s="2" t="s">
        <v>1145</v>
      </c>
      <c r="B439" s="2" t="s">
        <v>136</v>
      </c>
      <c r="C439" s="2" t="s">
        <v>1146</v>
      </c>
      <c r="D439" s="2">
        <v>2007</v>
      </c>
      <c r="E439" s="2" t="s">
        <v>1308</v>
      </c>
      <c r="F439" s="2" t="s">
        <v>1380</v>
      </c>
      <c r="G439" s="2" t="s">
        <v>1462</v>
      </c>
      <c r="H439" s="2" t="s">
        <v>1621</v>
      </c>
      <c r="I439" s="2" t="s">
        <v>1147</v>
      </c>
      <c r="J439" s="2" t="s">
        <v>32</v>
      </c>
      <c r="K439" s="2" t="s">
        <v>37</v>
      </c>
      <c r="P439" s="2" t="s">
        <v>22</v>
      </c>
      <c r="Q439" s="2" t="s">
        <v>28</v>
      </c>
      <c r="R439" s="2" t="s">
        <v>41</v>
      </c>
      <c r="S439" s="2" t="s">
        <v>48</v>
      </c>
      <c r="T439" s="2" t="s">
        <v>50</v>
      </c>
      <c r="U439" s="2" t="s">
        <v>54</v>
      </c>
      <c r="V439" s="2">
        <v>943</v>
      </c>
      <c r="AH439" s="2" t="s">
        <v>4</v>
      </c>
      <c r="AN439" s="2">
        <v>33</v>
      </c>
      <c r="AO439" s="2">
        <v>0.47</v>
      </c>
      <c r="AR439" s="2" t="s">
        <v>222</v>
      </c>
      <c r="AS439" s="2" t="s">
        <v>849</v>
      </c>
      <c r="AU439" s="2" t="s">
        <v>1818</v>
      </c>
      <c r="AV439" s="2" t="s">
        <v>1830</v>
      </c>
      <c r="AW439" s="2" t="s">
        <v>28</v>
      </c>
      <c r="AX439" s="2" t="s">
        <v>1829</v>
      </c>
      <c r="AY439" s="2" t="s">
        <v>79</v>
      </c>
    </row>
    <row r="440" spans="1:51" x14ac:dyDescent="0.2">
      <c r="A440" s="2" t="s">
        <v>1148</v>
      </c>
      <c r="B440" s="2" t="s">
        <v>1149</v>
      </c>
      <c r="C440" s="2" t="s">
        <v>1150</v>
      </c>
      <c r="D440" s="2">
        <v>2018</v>
      </c>
      <c r="E440" s="2" t="s">
        <v>1309</v>
      </c>
      <c r="F440" s="2" t="s">
        <v>1381</v>
      </c>
      <c r="G440" s="2" t="s">
        <v>1463</v>
      </c>
      <c r="H440" s="2" t="s">
        <v>1622</v>
      </c>
      <c r="I440" s="2" t="s">
        <v>1151</v>
      </c>
      <c r="J440" s="2" t="s">
        <v>84</v>
      </c>
      <c r="K440" s="2" t="s">
        <v>37</v>
      </c>
      <c r="P440" s="2" t="s">
        <v>22</v>
      </c>
      <c r="Q440" s="2" t="s">
        <v>28</v>
      </c>
      <c r="R440" s="2" t="s">
        <v>41</v>
      </c>
      <c r="S440" s="2" t="s">
        <v>46</v>
      </c>
      <c r="T440" s="2" t="s">
        <v>50</v>
      </c>
      <c r="U440" s="2" t="s">
        <v>52</v>
      </c>
      <c r="V440" s="2">
        <v>166</v>
      </c>
      <c r="W440" s="2">
        <v>2</v>
      </c>
      <c r="AH440" s="2" t="s">
        <v>4</v>
      </c>
      <c r="AN440" s="2">
        <v>74</v>
      </c>
      <c r="AO440" s="2">
        <v>0.25420890112969302</v>
      </c>
      <c r="AR440" s="2" t="s">
        <v>849</v>
      </c>
      <c r="AS440" s="2" t="s">
        <v>849</v>
      </c>
      <c r="AU440" s="2" t="s">
        <v>1827</v>
      </c>
      <c r="AV440" s="2" t="s">
        <v>1822</v>
      </c>
      <c r="AW440" s="2" t="s">
        <v>1823</v>
      </c>
      <c r="AY440" s="2" t="s">
        <v>1828</v>
      </c>
    </row>
    <row r="441" spans="1:51" x14ac:dyDescent="0.2">
      <c r="A441" s="2" t="s">
        <v>1152</v>
      </c>
      <c r="B441" s="2" t="s">
        <v>1153</v>
      </c>
      <c r="C441" s="2" t="s">
        <v>1154</v>
      </c>
      <c r="D441" s="2">
        <v>2012</v>
      </c>
      <c r="E441" s="2" t="s">
        <v>1310</v>
      </c>
      <c r="F441" s="2" t="s">
        <v>1382</v>
      </c>
      <c r="G441" s="2" t="s">
        <v>1464</v>
      </c>
      <c r="H441" s="2" t="s">
        <v>1623</v>
      </c>
      <c r="I441" s="2" t="s">
        <v>1108</v>
      </c>
      <c r="J441" s="2" t="s">
        <v>34</v>
      </c>
      <c r="K441" s="2" t="s">
        <v>37</v>
      </c>
      <c r="P441" s="2" t="s">
        <v>23</v>
      </c>
      <c r="Q441" s="2" t="s">
        <v>81</v>
      </c>
      <c r="R441" s="2" t="s">
        <v>40</v>
      </c>
      <c r="S441" s="2" t="s">
        <v>43</v>
      </c>
      <c r="T441" s="2" t="s">
        <v>50</v>
      </c>
      <c r="U441" s="2" t="s">
        <v>54</v>
      </c>
      <c r="V441" s="2">
        <v>3</v>
      </c>
      <c r="AH441" s="2" t="s">
        <v>83</v>
      </c>
      <c r="AN441" s="2">
        <v>118</v>
      </c>
      <c r="AP441" s="2">
        <v>0.03</v>
      </c>
      <c r="AQ441" s="2">
        <v>1</v>
      </c>
      <c r="AR441" s="2" t="s">
        <v>849</v>
      </c>
      <c r="AS441" s="2" t="s">
        <v>849</v>
      </c>
      <c r="AT441" s="2" t="s">
        <v>2284</v>
      </c>
      <c r="AU441" s="2" t="s">
        <v>1818</v>
      </c>
      <c r="AV441" s="2" t="s">
        <v>1830</v>
      </c>
      <c r="AW441" s="2" t="s">
        <v>1836</v>
      </c>
      <c r="AX441" s="2" t="s">
        <v>1821</v>
      </c>
      <c r="AY441" s="2" t="s">
        <v>79</v>
      </c>
    </row>
    <row r="442" spans="1:51" x14ac:dyDescent="0.2">
      <c r="A442" s="2" t="s">
        <v>1155</v>
      </c>
      <c r="B442" s="2" t="s">
        <v>1156</v>
      </c>
      <c r="C442" s="2" t="s">
        <v>1157</v>
      </c>
      <c r="D442" s="2">
        <v>2012</v>
      </c>
      <c r="E442" s="2" t="s">
        <v>1311</v>
      </c>
      <c r="F442" s="2" t="s">
        <v>1383</v>
      </c>
      <c r="G442" s="2" t="s">
        <v>1465</v>
      </c>
      <c r="H442" s="2" t="s">
        <v>1624</v>
      </c>
      <c r="I442" s="2" t="s">
        <v>1244</v>
      </c>
      <c r="J442" s="2" t="s">
        <v>34</v>
      </c>
      <c r="K442" s="2" t="s">
        <v>37</v>
      </c>
      <c r="P442" s="2" t="s">
        <v>22</v>
      </c>
      <c r="Q442" s="2" t="s">
        <v>27</v>
      </c>
      <c r="R442" s="2" t="s">
        <v>40</v>
      </c>
      <c r="S442" s="2" t="s">
        <v>43</v>
      </c>
      <c r="T442" s="2" t="s">
        <v>50</v>
      </c>
      <c r="U442" s="2" t="s">
        <v>53</v>
      </c>
      <c r="V442" s="2">
        <v>7</v>
      </c>
      <c r="W442" s="2">
        <v>3</v>
      </c>
      <c r="AH442" s="2" t="s">
        <v>4</v>
      </c>
      <c r="AN442" s="2">
        <v>204</v>
      </c>
      <c r="AO442" s="2">
        <v>8.2000000000000003E-2</v>
      </c>
      <c r="AR442" s="2" t="s">
        <v>849</v>
      </c>
      <c r="AS442" s="2" t="s">
        <v>849</v>
      </c>
      <c r="AU442" s="2" t="s">
        <v>1818</v>
      </c>
      <c r="AV442" s="2" t="s">
        <v>1830</v>
      </c>
      <c r="AW442" s="2" t="s">
        <v>1820</v>
      </c>
      <c r="AX442" s="2" t="s">
        <v>1821</v>
      </c>
      <c r="AY442" s="2" t="s">
        <v>79</v>
      </c>
    </row>
    <row r="443" spans="1:51" x14ac:dyDescent="0.2">
      <c r="A443" s="2" t="s">
        <v>1155</v>
      </c>
      <c r="B443" s="2" t="s">
        <v>1156</v>
      </c>
      <c r="C443" s="2" t="s">
        <v>1157</v>
      </c>
      <c r="D443" s="2">
        <v>2012</v>
      </c>
      <c r="E443" s="2" t="s">
        <v>1311</v>
      </c>
      <c r="F443" s="2" t="s">
        <v>1383</v>
      </c>
      <c r="G443" s="2" t="s">
        <v>1465</v>
      </c>
      <c r="H443" s="2" t="s">
        <v>1625</v>
      </c>
      <c r="I443" s="2" t="s">
        <v>1244</v>
      </c>
      <c r="J443" s="2" t="s">
        <v>34</v>
      </c>
      <c r="K443" s="2" t="s">
        <v>37</v>
      </c>
      <c r="P443" s="2" t="s">
        <v>22</v>
      </c>
      <c r="Q443" s="2" t="s">
        <v>27</v>
      </c>
      <c r="R443" s="2" t="s">
        <v>40</v>
      </c>
      <c r="S443" s="2" t="s">
        <v>43</v>
      </c>
      <c r="T443" s="2" t="s">
        <v>50</v>
      </c>
      <c r="U443" s="2" t="s">
        <v>53</v>
      </c>
      <c r="V443" s="2">
        <v>7</v>
      </c>
      <c r="W443" s="2">
        <v>3</v>
      </c>
      <c r="AH443" s="2" t="s">
        <v>4</v>
      </c>
      <c r="AN443" s="2">
        <v>50</v>
      </c>
      <c r="AO443" s="2">
        <v>0.02</v>
      </c>
      <c r="AR443" s="2" t="s">
        <v>849</v>
      </c>
      <c r="AS443" s="2" t="s">
        <v>849</v>
      </c>
      <c r="AU443" s="2" t="s">
        <v>1818</v>
      </c>
      <c r="AV443" s="2" t="s">
        <v>1830</v>
      </c>
      <c r="AW443" s="2" t="s">
        <v>1820</v>
      </c>
      <c r="AX443" s="2" t="s">
        <v>1821</v>
      </c>
      <c r="AY443" s="2" t="s">
        <v>79</v>
      </c>
    </row>
    <row r="444" spans="1:51" x14ac:dyDescent="0.2">
      <c r="A444" s="2" t="s">
        <v>1155</v>
      </c>
      <c r="B444" s="2" t="s">
        <v>1156</v>
      </c>
      <c r="C444" s="2" t="s">
        <v>1157</v>
      </c>
      <c r="D444" s="2">
        <v>2012</v>
      </c>
      <c r="E444" s="2" t="s">
        <v>1311</v>
      </c>
      <c r="F444" s="2" t="s">
        <v>1383</v>
      </c>
      <c r="G444" s="2" t="s">
        <v>1465</v>
      </c>
      <c r="H444" s="2" t="s">
        <v>1626</v>
      </c>
      <c r="I444" s="2" t="s">
        <v>1244</v>
      </c>
      <c r="J444" s="2" t="s">
        <v>34</v>
      </c>
      <c r="K444" s="2" t="s">
        <v>37</v>
      </c>
      <c r="P444" s="2" t="s">
        <v>22</v>
      </c>
      <c r="Q444" s="2" t="s">
        <v>27</v>
      </c>
      <c r="R444" s="2" t="s">
        <v>40</v>
      </c>
      <c r="S444" s="2" t="s">
        <v>43</v>
      </c>
      <c r="T444" s="2" t="s">
        <v>50</v>
      </c>
      <c r="U444" s="2" t="s">
        <v>53</v>
      </c>
      <c r="V444" s="2">
        <v>7</v>
      </c>
      <c r="W444" s="2">
        <v>3</v>
      </c>
      <c r="AH444" s="2" t="s">
        <v>4</v>
      </c>
      <c r="AN444" s="2">
        <v>511</v>
      </c>
      <c r="AO444" s="2">
        <v>0.108</v>
      </c>
      <c r="AR444" s="2" t="s">
        <v>849</v>
      </c>
      <c r="AS444" s="2" t="s">
        <v>849</v>
      </c>
      <c r="AU444" s="2" t="s">
        <v>1818</v>
      </c>
      <c r="AV444" s="2" t="s">
        <v>1830</v>
      </c>
      <c r="AW444" s="2" t="s">
        <v>1820</v>
      </c>
      <c r="AX444" s="2" t="s">
        <v>1821</v>
      </c>
      <c r="AY444" s="2" t="s">
        <v>79</v>
      </c>
    </row>
    <row r="445" spans="1:51" x14ac:dyDescent="0.2">
      <c r="A445" s="2" t="s">
        <v>1155</v>
      </c>
      <c r="B445" s="2" t="s">
        <v>1156</v>
      </c>
      <c r="C445" s="2" t="s">
        <v>1157</v>
      </c>
      <c r="D445" s="2">
        <v>2012</v>
      </c>
      <c r="E445" s="2" t="s">
        <v>1311</v>
      </c>
      <c r="F445" s="2" t="s">
        <v>1383</v>
      </c>
      <c r="G445" s="2" t="s">
        <v>1465</v>
      </c>
      <c r="H445" s="2" t="s">
        <v>1627</v>
      </c>
      <c r="I445" s="2" t="s">
        <v>1244</v>
      </c>
      <c r="J445" s="2" t="s">
        <v>34</v>
      </c>
      <c r="K445" s="2" t="s">
        <v>37</v>
      </c>
      <c r="P445" s="2" t="s">
        <v>22</v>
      </c>
      <c r="Q445" s="2" t="s">
        <v>27</v>
      </c>
      <c r="R445" s="2" t="s">
        <v>40</v>
      </c>
      <c r="S445" s="2" t="s">
        <v>45</v>
      </c>
      <c r="T445" s="2" t="s">
        <v>50</v>
      </c>
      <c r="U445" s="2" t="s">
        <v>53</v>
      </c>
      <c r="V445" s="2">
        <v>7</v>
      </c>
      <c r="W445" s="2">
        <v>3</v>
      </c>
      <c r="AH445" s="2" t="s">
        <v>4</v>
      </c>
      <c r="AN445" s="2">
        <v>197</v>
      </c>
      <c r="AO445" s="2">
        <v>9.6000000000000002E-2</v>
      </c>
      <c r="AR445" s="2" t="s">
        <v>849</v>
      </c>
      <c r="AS445" s="2" t="s">
        <v>849</v>
      </c>
      <c r="AU445" s="2" t="s">
        <v>1818</v>
      </c>
      <c r="AV445" s="2" t="s">
        <v>1830</v>
      </c>
      <c r="AW445" s="2" t="s">
        <v>1820</v>
      </c>
      <c r="AX445" s="2" t="s">
        <v>1821</v>
      </c>
      <c r="AY445" s="2" t="s">
        <v>79</v>
      </c>
    </row>
    <row r="446" spans="1:51" x14ac:dyDescent="0.2">
      <c r="A446" s="2" t="s">
        <v>1155</v>
      </c>
      <c r="B446" s="2" t="s">
        <v>1156</v>
      </c>
      <c r="C446" s="2" t="s">
        <v>1157</v>
      </c>
      <c r="D446" s="2">
        <v>2012</v>
      </c>
      <c r="E446" s="2" t="s">
        <v>1311</v>
      </c>
      <c r="F446" s="2" t="s">
        <v>1383</v>
      </c>
      <c r="G446" s="2" t="s">
        <v>1465</v>
      </c>
      <c r="H446" s="2" t="s">
        <v>1628</v>
      </c>
      <c r="I446" s="2" t="s">
        <v>1244</v>
      </c>
      <c r="J446" s="2" t="s">
        <v>34</v>
      </c>
      <c r="K446" s="2" t="s">
        <v>37</v>
      </c>
      <c r="P446" s="2" t="s">
        <v>22</v>
      </c>
      <c r="Q446" s="2" t="s">
        <v>27</v>
      </c>
      <c r="R446" s="2" t="s">
        <v>40</v>
      </c>
      <c r="S446" s="2" t="s">
        <v>45</v>
      </c>
      <c r="T446" s="2" t="s">
        <v>50</v>
      </c>
      <c r="U446" s="2" t="s">
        <v>53</v>
      </c>
      <c r="V446" s="2">
        <v>7</v>
      </c>
      <c r="W446" s="2">
        <v>3</v>
      </c>
      <c r="AH446" s="2" t="s">
        <v>4</v>
      </c>
      <c r="AN446" s="2">
        <v>55</v>
      </c>
      <c r="AO446" s="2">
        <v>4.9000000000000002E-2</v>
      </c>
      <c r="AR446" s="2" t="s">
        <v>849</v>
      </c>
      <c r="AS446" s="2" t="s">
        <v>849</v>
      </c>
      <c r="AU446" s="2" t="s">
        <v>1818</v>
      </c>
      <c r="AV446" s="2" t="s">
        <v>1830</v>
      </c>
      <c r="AW446" s="2" t="s">
        <v>1820</v>
      </c>
      <c r="AX446" s="2" t="s">
        <v>1821</v>
      </c>
      <c r="AY446" s="2" t="s">
        <v>79</v>
      </c>
    </row>
    <row r="447" spans="1:51" x14ac:dyDescent="0.2">
      <c r="A447" s="2" t="s">
        <v>1155</v>
      </c>
      <c r="B447" s="2" t="s">
        <v>1156</v>
      </c>
      <c r="C447" s="2" t="s">
        <v>1157</v>
      </c>
      <c r="D447" s="2">
        <v>2012</v>
      </c>
      <c r="E447" s="2" t="s">
        <v>1311</v>
      </c>
      <c r="F447" s="2" t="s">
        <v>1383</v>
      </c>
      <c r="G447" s="2" t="s">
        <v>1465</v>
      </c>
      <c r="H447" s="2" t="s">
        <v>1629</v>
      </c>
      <c r="I447" s="2" t="s">
        <v>1244</v>
      </c>
      <c r="J447" s="2" t="s">
        <v>34</v>
      </c>
      <c r="K447" s="2" t="s">
        <v>37</v>
      </c>
      <c r="P447" s="2" t="s">
        <v>22</v>
      </c>
      <c r="Q447" s="2" t="s">
        <v>27</v>
      </c>
      <c r="R447" s="2" t="s">
        <v>40</v>
      </c>
      <c r="S447" s="2" t="s">
        <v>45</v>
      </c>
      <c r="T447" s="2" t="s">
        <v>50</v>
      </c>
      <c r="U447" s="2" t="s">
        <v>53</v>
      </c>
      <c r="V447" s="2">
        <v>7</v>
      </c>
      <c r="W447" s="2">
        <v>3</v>
      </c>
      <c r="AH447" s="2" t="s">
        <v>4</v>
      </c>
      <c r="AN447" s="2">
        <v>408</v>
      </c>
      <c r="AO447" s="2">
        <v>5.8999999999999997E-2</v>
      </c>
      <c r="AR447" s="2" t="s">
        <v>849</v>
      </c>
      <c r="AS447" s="2" t="s">
        <v>849</v>
      </c>
      <c r="AU447" s="2" t="s">
        <v>1818</v>
      </c>
      <c r="AV447" s="2" t="s">
        <v>1830</v>
      </c>
      <c r="AW447" s="2" t="s">
        <v>1820</v>
      </c>
      <c r="AX447" s="2" t="s">
        <v>1821</v>
      </c>
      <c r="AY447" s="2" t="s">
        <v>79</v>
      </c>
    </row>
    <row r="448" spans="1:51" x14ac:dyDescent="0.2">
      <c r="A448" s="2" t="s">
        <v>1158</v>
      </c>
      <c r="B448" s="2" t="s">
        <v>1159</v>
      </c>
      <c r="C448" s="2" t="s">
        <v>1160</v>
      </c>
      <c r="D448" s="2">
        <v>2002</v>
      </c>
      <c r="E448" s="2" t="s">
        <v>1312</v>
      </c>
      <c r="F448" s="2" t="s">
        <v>1384</v>
      </c>
      <c r="G448" s="2" t="s">
        <v>1466</v>
      </c>
      <c r="H448" s="2" t="s">
        <v>1630</v>
      </c>
      <c r="I448" s="2" t="s">
        <v>1104</v>
      </c>
      <c r="J448" s="2" t="s">
        <v>85</v>
      </c>
      <c r="K448" s="2" t="s">
        <v>37</v>
      </c>
      <c r="P448" s="2" t="s">
        <v>23</v>
      </c>
      <c r="Q448" s="2" t="s">
        <v>77</v>
      </c>
      <c r="R448" s="2" t="s">
        <v>40</v>
      </c>
      <c r="S448" s="2" t="s">
        <v>1161</v>
      </c>
      <c r="T448" s="2" t="s">
        <v>50</v>
      </c>
      <c r="U448" s="2" t="s">
        <v>53</v>
      </c>
      <c r="V448" s="2">
        <v>231</v>
      </c>
      <c r="W448" s="2">
        <v>1</v>
      </c>
      <c r="AH448" s="2" t="s">
        <v>4</v>
      </c>
      <c r="AN448" s="2">
        <v>24</v>
      </c>
      <c r="AO448" s="2">
        <v>3.6999999999999998E-2</v>
      </c>
      <c r="AR448" s="2" t="s">
        <v>849</v>
      </c>
      <c r="AS448" s="2" t="s">
        <v>849</v>
      </c>
      <c r="AU448" s="2" t="s">
        <v>1818</v>
      </c>
      <c r="AV448" s="2" t="s">
        <v>1822</v>
      </c>
      <c r="AW448" s="2" t="s">
        <v>1823</v>
      </c>
      <c r="AX448" s="2" t="s">
        <v>1826</v>
      </c>
      <c r="AY448" s="2" t="s">
        <v>79</v>
      </c>
    </row>
    <row r="449" spans="1:51" x14ac:dyDescent="0.2">
      <c r="A449" s="2" t="s">
        <v>1158</v>
      </c>
      <c r="B449" s="2" t="s">
        <v>1159</v>
      </c>
      <c r="C449" s="2" t="s">
        <v>1160</v>
      </c>
      <c r="D449" s="2">
        <v>2002</v>
      </c>
      <c r="E449" s="2" t="s">
        <v>1312</v>
      </c>
      <c r="F449" s="2" t="s">
        <v>1384</v>
      </c>
      <c r="G449" s="2" t="s">
        <v>1466</v>
      </c>
      <c r="H449" s="2" t="s">
        <v>1631</v>
      </c>
      <c r="I449" s="2" t="s">
        <v>1104</v>
      </c>
      <c r="J449" s="2" t="s">
        <v>85</v>
      </c>
      <c r="K449" s="2" t="s">
        <v>37</v>
      </c>
      <c r="P449" s="2" t="s">
        <v>23</v>
      </c>
      <c r="Q449" s="2" t="s">
        <v>77</v>
      </c>
      <c r="R449" s="2" t="s">
        <v>40</v>
      </c>
      <c r="S449" s="2" t="s">
        <v>1161</v>
      </c>
      <c r="T449" s="2" t="s">
        <v>50</v>
      </c>
      <c r="U449" s="2" t="s">
        <v>53</v>
      </c>
      <c r="V449" s="2">
        <v>231</v>
      </c>
      <c r="W449" s="2">
        <v>1</v>
      </c>
      <c r="AH449" s="2" t="s">
        <v>4</v>
      </c>
      <c r="AN449" s="2">
        <v>24</v>
      </c>
      <c r="AO449" s="2">
        <v>-0.18</v>
      </c>
      <c r="AR449" s="2" t="s">
        <v>849</v>
      </c>
      <c r="AS449" s="2" t="s">
        <v>849</v>
      </c>
      <c r="AU449" s="2" t="s">
        <v>1818</v>
      </c>
      <c r="AV449" s="2" t="s">
        <v>1822</v>
      </c>
      <c r="AW449" s="2" t="s">
        <v>1823</v>
      </c>
      <c r="AX449" s="2" t="s">
        <v>1826</v>
      </c>
      <c r="AY449" s="2" t="s">
        <v>79</v>
      </c>
    </row>
    <row r="450" spans="1:51" x14ac:dyDescent="0.2">
      <c r="A450" s="2" t="s">
        <v>1162</v>
      </c>
      <c r="B450" s="2" t="s">
        <v>1163</v>
      </c>
      <c r="C450" s="2" t="s">
        <v>1164</v>
      </c>
      <c r="D450" s="2">
        <v>2005</v>
      </c>
      <c r="E450" s="2" t="s">
        <v>1313</v>
      </c>
      <c r="F450" s="2" t="s">
        <v>1385</v>
      </c>
      <c r="G450" s="2" t="s">
        <v>1467</v>
      </c>
      <c r="H450" s="2" t="s">
        <v>1632</v>
      </c>
      <c r="I450" s="2" t="s">
        <v>433</v>
      </c>
      <c r="J450" s="2" t="s">
        <v>34</v>
      </c>
      <c r="K450" s="2" t="s">
        <v>37</v>
      </c>
      <c r="P450" s="2" t="s">
        <v>23</v>
      </c>
      <c r="Q450" s="2" t="s">
        <v>78</v>
      </c>
      <c r="R450" s="2" t="s">
        <v>40</v>
      </c>
      <c r="S450" s="2" t="s">
        <v>43</v>
      </c>
      <c r="T450" s="2" t="s">
        <v>50</v>
      </c>
      <c r="U450" s="2" t="s">
        <v>52</v>
      </c>
      <c r="V450" s="2">
        <v>1013</v>
      </c>
      <c r="W450" s="2">
        <v>1</v>
      </c>
      <c r="AH450" s="2" t="s">
        <v>4</v>
      </c>
      <c r="AN450" s="2">
        <v>69</v>
      </c>
      <c r="AO450" s="2">
        <v>0.29369369522817002</v>
      </c>
      <c r="AR450" s="2" t="s">
        <v>849</v>
      </c>
      <c r="AS450" s="2" t="s">
        <v>849</v>
      </c>
      <c r="AU450" s="2" t="s">
        <v>1818</v>
      </c>
      <c r="AV450" s="2" t="s">
        <v>1819</v>
      </c>
      <c r="AW450" s="2" t="s">
        <v>1820</v>
      </c>
      <c r="AX450" s="2" t="s">
        <v>1821</v>
      </c>
      <c r="AY450" s="2" t="s">
        <v>79</v>
      </c>
    </row>
    <row r="451" spans="1:51" x14ac:dyDescent="0.2">
      <c r="A451" s="2" t="s">
        <v>1165</v>
      </c>
      <c r="B451" s="2" t="s">
        <v>1166</v>
      </c>
      <c r="C451" s="2" t="s">
        <v>1167</v>
      </c>
      <c r="D451" s="2">
        <v>2008</v>
      </c>
      <c r="E451" s="2" t="s">
        <v>1314</v>
      </c>
      <c r="F451" s="2" t="s">
        <v>1386</v>
      </c>
      <c r="G451" s="2" t="s">
        <v>1468</v>
      </c>
      <c r="H451" s="2" t="s">
        <v>1633</v>
      </c>
      <c r="I451" s="2" t="s">
        <v>512</v>
      </c>
      <c r="J451" s="2" t="s">
        <v>86</v>
      </c>
      <c r="K451" s="2" t="s">
        <v>38</v>
      </c>
      <c r="L451" s="2" t="s">
        <v>11</v>
      </c>
      <c r="M451" s="2" t="s">
        <v>14</v>
      </c>
      <c r="N451" s="2" t="s">
        <v>1842</v>
      </c>
      <c r="O451" s="2">
        <v>0</v>
      </c>
      <c r="P451" s="2" t="s">
        <v>79</v>
      </c>
      <c r="Q451" s="2" t="s">
        <v>1840</v>
      </c>
      <c r="T451" s="2" t="s">
        <v>51</v>
      </c>
      <c r="U451" s="2" t="s">
        <v>52</v>
      </c>
      <c r="V451" s="2">
        <v>126</v>
      </c>
      <c r="W451" s="2">
        <v>2</v>
      </c>
      <c r="X451" s="2">
        <v>16</v>
      </c>
      <c r="Y451" s="2">
        <v>16</v>
      </c>
      <c r="AB451" s="2">
        <v>61.096491228070199</v>
      </c>
      <c r="AC451" s="2">
        <v>15.9649122807018</v>
      </c>
      <c r="AD451" s="2">
        <v>43.903508771929801</v>
      </c>
      <c r="AE451" s="2">
        <v>24.561403508771999</v>
      </c>
      <c r="AF451" s="2" t="s">
        <v>74</v>
      </c>
      <c r="AG451" s="2" t="s">
        <v>64</v>
      </c>
      <c r="AH451" s="2" t="str">
        <f>IF(AF451="mean", "mean", "")</f>
        <v>mean</v>
      </c>
      <c r="AR451" s="2" t="s">
        <v>849</v>
      </c>
      <c r="AS451" s="2" t="s">
        <v>849</v>
      </c>
      <c r="AU451" s="2" t="s">
        <v>1818</v>
      </c>
      <c r="AV451" s="2" t="s">
        <v>1830</v>
      </c>
      <c r="AW451" s="2" t="s">
        <v>1831</v>
      </c>
      <c r="AX451" s="2" t="s">
        <v>1829</v>
      </c>
      <c r="AY451" s="2" t="s">
        <v>79</v>
      </c>
    </row>
    <row r="452" spans="1:51" x14ac:dyDescent="0.2">
      <c r="A452" s="2" t="s">
        <v>1168</v>
      </c>
      <c r="B452" s="2" t="s">
        <v>1169</v>
      </c>
      <c r="C452" s="2" t="s">
        <v>1170</v>
      </c>
      <c r="D452" s="2">
        <v>2016</v>
      </c>
      <c r="E452" s="2" t="s">
        <v>1315</v>
      </c>
      <c r="F452" s="2" t="s">
        <v>1387</v>
      </c>
      <c r="G452" s="2" t="s">
        <v>1469</v>
      </c>
      <c r="H452" s="2" t="s">
        <v>1634</v>
      </c>
      <c r="I452" s="2" t="s">
        <v>1171</v>
      </c>
      <c r="J452" s="2" t="s">
        <v>85</v>
      </c>
      <c r="K452" s="2" t="s">
        <v>37</v>
      </c>
      <c r="P452" s="2" t="s">
        <v>22</v>
      </c>
      <c r="Q452" s="2" t="s">
        <v>30</v>
      </c>
      <c r="R452" s="2" t="s">
        <v>40</v>
      </c>
      <c r="S452" s="2" t="s">
        <v>42</v>
      </c>
      <c r="T452" s="2" t="s">
        <v>50</v>
      </c>
      <c r="U452" s="2" t="s">
        <v>52</v>
      </c>
      <c r="V452" s="2">
        <v>105</v>
      </c>
      <c r="W452" s="2" t="s">
        <v>671</v>
      </c>
      <c r="X452" s="2">
        <v>16</v>
      </c>
      <c r="Y452" s="2">
        <v>15</v>
      </c>
      <c r="AB452" s="2">
        <v>1.34904661016949E-2</v>
      </c>
      <c r="AC452" s="2">
        <v>4.1102752808444701E-3</v>
      </c>
      <c r="AD452" s="2">
        <v>3.2939618644067803E-2</v>
      </c>
      <c r="AE452" s="2">
        <v>2.8819915146067201E-3</v>
      </c>
      <c r="AF452" s="2" t="s">
        <v>74</v>
      </c>
      <c r="AG452" s="2" t="s">
        <v>64</v>
      </c>
      <c r="AH452" s="2" t="str">
        <f>IF(AF452="mean", "mean", "")</f>
        <v>mean</v>
      </c>
      <c r="AR452" s="2" t="s">
        <v>849</v>
      </c>
      <c r="AS452" s="2" t="s">
        <v>849</v>
      </c>
      <c r="AU452" s="2" t="s">
        <v>1825</v>
      </c>
      <c r="AV452" s="2" t="s">
        <v>1822</v>
      </c>
      <c r="AW452" s="2" t="s">
        <v>1823</v>
      </c>
      <c r="AX452" s="2" t="s">
        <v>1821</v>
      </c>
      <c r="AY452" s="2" t="s">
        <v>79</v>
      </c>
    </row>
    <row r="453" spans="1:51" x14ac:dyDescent="0.2">
      <c r="A453" s="2" t="s">
        <v>1168</v>
      </c>
      <c r="B453" s="2" t="s">
        <v>1169</v>
      </c>
      <c r="C453" s="2" t="s">
        <v>1170</v>
      </c>
      <c r="D453" s="2">
        <v>2016</v>
      </c>
      <c r="E453" s="2" t="s">
        <v>1315</v>
      </c>
      <c r="F453" s="2" t="s">
        <v>1387</v>
      </c>
      <c r="G453" s="2" t="s">
        <v>1469</v>
      </c>
      <c r="H453" s="2" t="s">
        <v>1635</v>
      </c>
      <c r="I453" s="2" t="s">
        <v>1171</v>
      </c>
      <c r="J453" s="2" t="s">
        <v>85</v>
      </c>
      <c r="K453" s="2" t="s">
        <v>37</v>
      </c>
      <c r="P453" s="2" t="s">
        <v>22</v>
      </c>
      <c r="Q453" s="2" t="s">
        <v>30</v>
      </c>
      <c r="R453" s="2" t="s">
        <v>40</v>
      </c>
      <c r="S453" s="2" t="s">
        <v>42</v>
      </c>
      <c r="T453" s="2" t="s">
        <v>50</v>
      </c>
      <c r="U453" s="2" t="s">
        <v>52</v>
      </c>
      <c r="V453" s="2">
        <v>105</v>
      </c>
      <c r="W453" s="2" t="s">
        <v>672</v>
      </c>
      <c r="X453" s="2">
        <v>16</v>
      </c>
      <c r="Y453" s="2">
        <v>15</v>
      </c>
      <c r="AB453" s="2">
        <v>1.06778169014085E-2</v>
      </c>
      <c r="AC453" s="2">
        <v>4.0426573753952E-3</v>
      </c>
      <c r="AD453" s="2">
        <v>5.6954225352112697E-3</v>
      </c>
      <c r="AE453" s="2">
        <v>1.9920694971713201E-3</v>
      </c>
      <c r="AF453" s="2" t="s">
        <v>74</v>
      </c>
      <c r="AG453" s="2" t="s">
        <v>64</v>
      </c>
      <c r="AH453" s="2" t="str">
        <f>IF(AF453="mean", "mean", "")</f>
        <v>mean</v>
      </c>
      <c r="AR453" s="2" t="s">
        <v>849</v>
      </c>
      <c r="AS453" s="2" t="s">
        <v>849</v>
      </c>
      <c r="AU453" s="2" t="s">
        <v>1825</v>
      </c>
      <c r="AV453" s="2" t="s">
        <v>1822</v>
      </c>
      <c r="AW453" s="2" t="s">
        <v>1823</v>
      </c>
      <c r="AX453" s="2" t="s">
        <v>1821</v>
      </c>
      <c r="AY453" s="2" t="s">
        <v>79</v>
      </c>
    </row>
    <row r="454" spans="1:51" x14ac:dyDescent="0.2">
      <c r="A454" s="2" t="s">
        <v>1168</v>
      </c>
      <c r="B454" s="2" t="s">
        <v>1169</v>
      </c>
      <c r="C454" s="2" t="s">
        <v>1170</v>
      </c>
      <c r="D454" s="2">
        <v>2016</v>
      </c>
      <c r="E454" s="2" t="s">
        <v>1315</v>
      </c>
      <c r="F454" s="2" t="s">
        <v>1387</v>
      </c>
      <c r="G454" s="2" t="s">
        <v>1469</v>
      </c>
      <c r="H454" s="2" t="s">
        <v>1636</v>
      </c>
      <c r="I454" s="2" t="s">
        <v>1171</v>
      </c>
      <c r="J454" s="2" t="s">
        <v>85</v>
      </c>
      <c r="K454" s="2" t="s">
        <v>37</v>
      </c>
      <c r="P454" s="2" t="s">
        <v>22</v>
      </c>
      <c r="Q454" s="2" t="s">
        <v>30</v>
      </c>
      <c r="R454" s="2" t="s">
        <v>40</v>
      </c>
      <c r="S454" s="2" t="s">
        <v>43</v>
      </c>
      <c r="T454" s="2" t="s">
        <v>50</v>
      </c>
      <c r="U454" s="2" t="s">
        <v>52</v>
      </c>
      <c r="V454" s="2">
        <v>106</v>
      </c>
      <c r="W454" s="2">
        <v>2</v>
      </c>
      <c r="X454" s="2">
        <v>16</v>
      </c>
      <c r="Y454" s="2">
        <v>15</v>
      </c>
      <c r="AB454" s="2">
        <v>1.8644494636376699E-2</v>
      </c>
      <c r="AC454" s="2">
        <v>2.3596263627286098E-3</v>
      </c>
      <c r="AD454" s="2">
        <v>8.1241678630237704E-3</v>
      </c>
      <c r="AE454" s="2">
        <v>7.1659010543193699E-3</v>
      </c>
      <c r="AF454" s="2" t="s">
        <v>74</v>
      </c>
      <c r="AG454" s="2" t="s">
        <v>64</v>
      </c>
      <c r="AH454" s="2" t="str">
        <f>IF(AF454="mean", "mean", "")</f>
        <v>mean</v>
      </c>
      <c r="AR454" s="2" t="s">
        <v>849</v>
      </c>
      <c r="AS454" s="2" t="s">
        <v>849</v>
      </c>
      <c r="AU454" s="2" t="s">
        <v>1825</v>
      </c>
      <c r="AV454" s="2" t="s">
        <v>1822</v>
      </c>
      <c r="AW454" s="2" t="s">
        <v>1823</v>
      </c>
      <c r="AX454" s="2" t="s">
        <v>1821</v>
      </c>
      <c r="AY454" s="2" t="s">
        <v>79</v>
      </c>
    </row>
    <row r="455" spans="1:51" x14ac:dyDescent="0.2">
      <c r="A455" s="2" t="s">
        <v>1172</v>
      </c>
      <c r="B455" s="2" t="s">
        <v>1173</v>
      </c>
      <c r="C455" s="2" t="s">
        <v>1174</v>
      </c>
      <c r="D455" s="2">
        <v>2016</v>
      </c>
      <c r="E455" s="2" t="s">
        <v>1316</v>
      </c>
      <c r="F455" s="2" t="s">
        <v>1388</v>
      </c>
      <c r="G455" s="2" t="s">
        <v>1470</v>
      </c>
      <c r="H455" s="2" t="s">
        <v>1637</v>
      </c>
      <c r="I455" s="2" t="s">
        <v>1175</v>
      </c>
      <c r="J455" s="2" t="s">
        <v>36</v>
      </c>
      <c r="K455" s="2" t="s">
        <v>38</v>
      </c>
      <c r="L455" s="2" t="s">
        <v>11</v>
      </c>
      <c r="M455" s="2" t="s">
        <v>14</v>
      </c>
      <c r="N455" s="2" t="s">
        <v>17</v>
      </c>
      <c r="O455" s="2">
        <v>1</v>
      </c>
      <c r="P455" s="2" t="s">
        <v>22</v>
      </c>
      <c r="Q455" s="2" t="s">
        <v>28</v>
      </c>
      <c r="T455" s="2" t="s">
        <v>51</v>
      </c>
      <c r="U455" s="2" t="s">
        <v>52</v>
      </c>
      <c r="V455" s="2">
        <v>951</v>
      </c>
      <c r="W455" s="2" t="s">
        <v>1140</v>
      </c>
      <c r="X455" s="2">
        <v>31</v>
      </c>
      <c r="Y455" s="2">
        <v>34</v>
      </c>
      <c r="AB455" s="2">
        <v>0.133333333333333</v>
      </c>
      <c r="AC455" s="2">
        <v>0.233315839966211</v>
      </c>
      <c r="AD455" s="2">
        <v>0.75047619047619096</v>
      </c>
      <c r="AE455" s="2">
        <v>1.1995101040824601</v>
      </c>
      <c r="AF455" s="2" t="s">
        <v>74</v>
      </c>
      <c r="AG455" s="2" t="s">
        <v>64</v>
      </c>
      <c r="AH455" s="2" t="str">
        <f>IF(AF455="mean", "mean", "")</f>
        <v>mean</v>
      </c>
      <c r="AR455" s="2" t="s">
        <v>849</v>
      </c>
      <c r="AS455" s="2" t="s">
        <v>222</v>
      </c>
      <c r="AU455" s="2" t="s">
        <v>1827</v>
      </c>
      <c r="AV455" s="2" t="s">
        <v>1822</v>
      </c>
      <c r="AW455" s="2" t="s">
        <v>1823</v>
      </c>
      <c r="AY455" s="2" t="s">
        <v>1828</v>
      </c>
    </row>
    <row r="456" spans="1:51" x14ac:dyDescent="0.2">
      <c r="A456" s="2" t="s">
        <v>1172</v>
      </c>
      <c r="B456" s="2" t="s">
        <v>1173</v>
      </c>
      <c r="C456" s="2" t="s">
        <v>1174</v>
      </c>
      <c r="D456" s="2">
        <v>2016</v>
      </c>
      <c r="E456" s="2" t="s">
        <v>1316</v>
      </c>
      <c r="F456" s="2" t="s">
        <v>1388</v>
      </c>
      <c r="G456" s="2" t="s">
        <v>1470</v>
      </c>
      <c r="H456" s="2" t="s">
        <v>1638</v>
      </c>
      <c r="I456" s="2" t="s">
        <v>1175</v>
      </c>
      <c r="J456" s="2" t="s">
        <v>36</v>
      </c>
      <c r="K456" s="2" t="s">
        <v>38</v>
      </c>
      <c r="L456" s="2" t="s">
        <v>11</v>
      </c>
      <c r="M456" s="2" t="s">
        <v>14</v>
      </c>
      <c r="N456" s="2" t="s">
        <v>17</v>
      </c>
      <c r="O456" s="2">
        <v>1</v>
      </c>
      <c r="P456" s="2" t="s">
        <v>22</v>
      </c>
      <c r="Q456" s="2" t="s">
        <v>30</v>
      </c>
      <c r="T456" s="2" t="s">
        <v>51</v>
      </c>
      <c r="U456" s="2" t="s">
        <v>54</v>
      </c>
      <c r="V456" s="2">
        <v>949</v>
      </c>
      <c r="X456" s="2">
        <v>25</v>
      </c>
      <c r="Y456" s="2">
        <v>25</v>
      </c>
      <c r="Z456" s="2">
        <v>20</v>
      </c>
      <c r="AA456" s="2">
        <v>10</v>
      </c>
      <c r="AH456" s="2" t="s">
        <v>1804</v>
      </c>
      <c r="AR456" s="2" t="s">
        <v>849</v>
      </c>
      <c r="AS456" s="2" t="s">
        <v>849</v>
      </c>
      <c r="AU456" s="2" t="s">
        <v>1827</v>
      </c>
      <c r="AV456" s="2" t="s">
        <v>1822</v>
      </c>
      <c r="AW456" s="2" t="s">
        <v>1823</v>
      </c>
      <c r="AY456" s="2" t="s">
        <v>1828</v>
      </c>
    </row>
    <row r="457" spans="1:51" x14ac:dyDescent="0.2">
      <c r="A457" s="2" t="s">
        <v>1176</v>
      </c>
      <c r="B457" s="2" t="s">
        <v>1177</v>
      </c>
      <c r="C457" s="2" t="s">
        <v>1178</v>
      </c>
      <c r="D457" s="2">
        <v>2018</v>
      </c>
      <c r="E457" s="2" t="s">
        <v>1317</v>
      </c>
      <c r="F457" s="2" t="s">
        <v>1389</v>
      </c>
      <c r="G457" s="2" t="s">
        <v>1471</v>
      </c>
      <c r="H457" s="2" t="s">
        <v>1639</v>
      </c>
      <c r="I457" s="2" t="s">
        <v>1799</v>
      </c>
      <c r="J457" s="2" t="s">
        <v>86</v>
      </c>
      <c r="K457" s="2" t="s">
        <v>37</v>
      </c>
      <c r="P457" s="2" t="s">
        <v>22</v>
      </c>
      <c r="Q457" s="2" t="s">
        <v>30</v>
      </c>
      <c r="R457" s="2" t="s">
        <v>41</v>
      </c>
      <c r="S457" s="2" t="s">
        <v>44</v>
      </c>
      <c r="T457" s="2" t="s">
        <v>50</v>
      </c>
      <c r="U457" s="2" t="s">
        <v>52</v>
      </c>
      <c r="V457" s="2">
        <v>9</v>
      </c>
      <c r="W457" s="2">
        <v>4</v>
      </c>
      <c r="X457" s="2">
        <v>15</v>
      </c>
      <c r="Y457" s="2">
        <v>15</v>
      </c>
      <c r="AB457" s="2">
        <v>95</v>
      </c>
      <c r="AC457" s="2">
        <v>4.8</v>
      </c>
      <c r="AD457" s="2">
        <v>19.91</v>
      </c>
      <c r="AE457" s="2">
        <v>2.12</v>
      </c>
      <c r="AF457" s="2" t="s">
        <v>74</v>
      </c>
      <c r="AG457" s="2" t="s">
        <v>65</v>
      </c>
      <c r="AH457" s="2" t="str">
        <f t="shared" ref="AH457:AH468" si="14">IF(AF457="mean", "mean", "")</f>
        <v>mean</v>
      </c>
      <c r="AR457" s="2" t="s">
        <v>222</v>
      </c>
      <c r="AS457" s="2" t="s">
        <v>849</v>
      </c>
      <c r="AU457" s="2" t="s">
        <v>1825</v>
      </c>
      <c r="AV457" s="2" t="s">
        <v>1819</v>
      </c>
      <c r="AW457" s="2" t="s">
        <v>26</v>
      </c>
      <c r="AX457" s="2" t="s">
        <v>1826</v>
      </c>
      <c r="AY457" s="2" t="s">
        <v>79</v>
      </c>
    </row>
    <row r="458" spans="1:51" x14ac:dyDescent="0.2">
      <c r="A458" s="2" t="s">
        <v>1179</v>
      </c>
      <c r="B458" s="2" t="s">
        <v>1180</v>
      </c>
      <c r="C458" s="2" t="s">
        <v>1181</v>
      </c>
      <c r="D458" s="2">
        <v>2018</v>
      </c>
      <c r="E458" s="2" t="s">
        <v>1318</v>
      </c>
      <c r="F458" s="2" t="s">
        <v>1390</v>
      </c>
      <c r="G458" s="2" t="s">
        <v>1472</v>
      </c>
      <c r="H458" s="2" t="s">
        <v>1640</v>
      </c>
      <c r="I458" s="2" t="s">
        <v>1773</v>
      </c>
      <c r="J458" s="2" t="s">
        <v>84</v>
      </c>
      <c r="K458" s="2" t="s">
        <v>38</v>
      </c>
      <c r="L458" s="2" t="s">
        <v>11</v>
      </c>
      <c r="M458" s="2" t="s">
        <v>14</v>
      </c>
      <c r="N458" s="2" t="s">
        <v>16</v>
      </c>
      <c r="O458" s="2">
        <v>1</v>
      </c>
      <c r="P458" s="2" t="s">
        <v>22</v>
      </c>
      <c r="Q458" s="2" t="s">
        <v>1056</v>
      </c>
      <c r="T458" s="2" t="s">
        <v>50</v>
      </c>
      <c r="U458" s="2" t="s">
        <v>52</v>
      </c>
      <c r="V458" s="2">
        <v>19</v>
      </c>
      <c r="W458" s="2">
        <v>3</v>
      </c>
      <c r="X458" s="2">
        <v>37</v>
      </c>
      <c r="Y458" s="2">
        <v>35</v>
      </c>
      <c r="AB458" s="2">
        <v>8.94444444444445</v>
      </c>
      <c r="AC458" s="2">
        <v>7.8850625392755003</v>
      </c>
      <c r="AD458" s="2">
        <v>11.2777777777778</v>
      </c>
      <c r="AE458" s="2">
        <v>7.6689923114254599</v>
      </c>
      <c r="AF458" s="2" t="s">
        <v>74</v>
      </c>
      <c r="AG458" s="2" t="s">
        <v>64</v>
      </c>
      <c r="AH458" s="2" t="str">
        <f t="shared" si="14"/>
        <v>mean</v>
      </c>
      <c r="AR458" s="2" t="s">
        <v>849</v>
      </c>
      <c r="AS458" s="2" t="s">
        <v>849</v>
      </c>
      <c r="AU458" s="2" t="s">
        <v>1818</v>
      </c>
      <c r="AV458" s="2" t="s">
        <v>1822</v>
      </c>
      <c r="AW458" s="2" t="s">
        <v>1823</v>
      </c>
      <c r="AX458" s="2" t="s">
        <v>1821</v>
      </c>
      <c r="AY458" s="2" t="s">
        <v>1824</v>
      </c>
    </row>
    <row r="459" spans="1:51" x14ac:dyDescent="0.2">
      <c r="A459" s="2" t="s">
        <v>1179</v>
      </c>
      <c r="B459" s="2" t="s">
        <v>1180</v>
      </c>
      <c r="C459" s="2" t="s">
        <v>1181</v>
      </c>
      <c r="D459" s="2">
        <v>2018</v>
      </c>
      <c r="E459" s="2" t="s">
        <v>1318</v>
      </c>
      <c r="F459" s="2" t="s">
        <v>1390</v>
      </c>
      <c r="G459" s="2" t="s">
        <v>1472</v>
      </c>
      <c r="H459" s="2" t="s">
        <v>1641</v>
      </c>
      <c r="I459" s="2" t="s">
        <v>1773</v>
      </c>
      <c r="J459" s="2" t="s">
        <v>84</v>
      </c>
      <c r="K459" s="2" t="s">
        <v>38</v>
      </c>
      <c r="L459" s="2" t="s">
        <v>11</v>
      </c>
      <c r="M459" s="2" t="s">
        <v>14</v>
      </c>
      <c r="N459" s="2" t="s">
        <v>16</v>
      </c>
      <c r="O459" s="2">
        <v>1</v>
      </c>
      <c r="P459" s="2" t="s">
        <v>22</v>
      </c>
      <c r="Q459" s="2" t="s">
        <v>1056</v>
      </c>
      <c r="T459" s="2" t="s">
        <v>50</v>
      </c>
      <c r="U459" s="2" t="s">
        <v>52</v>
      </c>
      <c r="V459" s="2">
        <v>19</v>
      </c>
      <c r="W459" s="2">
        <v>3</v>
      </c>
      <c r="X459" s="2">
        <v>34</v>
      </c>
      <c r="Y459" s="2">
        <v>30</v>
      </c>
      <c r="AB459" s="2">
        <v>10.1111111111111</v>
      </c>
      <c r="AC459" s="2">
        <v>6.04691307613587</v>
      </c>
      <c r="AD459" s="2">
        <v>5.8981481481481604</v>
      </c>
      <c r="AE459" s="2">
        <v>4.6150696974972298</v>
      </c>
      <c r="AF459" s="2" t="s">
        <v>74</v>
      </c>
      <c r="AG459" s="2" t="s">
        <v>64</v>
      </c>
      <c r="AH459" s="2" t="str">
        <f t="shared" si="14"/>
        <v>mean</v>
      </c>
      <c r="AR459" s="2" t="s">
        <v>849</v>
      </c>
      <c r="AS459" s="2" t="s">
        <v>849</v>
      </c>
      <c r="AU459" s="2" t="s">
        <v>1818</v>
      </c>
      <c r="AV459" s="2" t="s">
        <v>1822</v>
      </c>
      <c r="AW459" s="2" t="s">
        <v>1823</v>
      </c>
      <c r="AX459" s="2" t="s">
        <v>1821</v>
      </c>
      <c r="AY459" s="2" t="s">
        <v>1824</v>
      </c>
    </row>
    <row r="460" spans="1:51" x14ac:dyDescent="0.2">
      <c r="A460" s="2" t="s">
        <v>1179</v>
      </c>
      <c r="B460" s="2" t="s">
        <v>1180</v>
      </c>
      <c r="C460" s="2" t="s">
        <v>1181</v>
      </c>
      <c r="D460" s="2">
        <v>2018</v>
      </c>
      <c r="E460" s="2" t="s">
        <v>1318</v>
      </c>
      <c r="F460" s="2" t="s">
        <v>1390</v>
      </c>
      <c r="G460" s="2" t="s">
        <v>1472</v>
      </c>
      <c r="H460" s="2" t="s">
        <v>1642</v>
      </c>
      <c r="I460" s="2" t="s">
        <v>1773</v>
      </c>
      <c r="J460" s="2" t="s">
        <v>84</v>
      </c>
      <c r="K460" s="2" t="s">
        <v>38</v>
      </c>
      <c r="L460" s="2" t="s">
        <v>11</v>
      </c>
      <c r="M460" s="2" t="s">
        <v>14</v>
      </c>
      <c r="N460" s="2" t="s">
        <v>16</v>
      </c>
      <c r="O460" s="2">
        <v>1</v>
      </c>
      <c r="P460" s="2" t="s">
        <v>22</v>
      </c>
      <c r="Q460" s="2" t="s">
        <v>1056</v>
      </c>
      <c r="T460" s="2" t="s">
        <v>50</v>
      </c>
      <c r="U460" s="2" t="s">
        <v>52</v>
      </c>
      <c r="V460" s="2">
        <v>19</v>
      </c>
      <c r="W460" s="2">
        <v>3</v>
      </c>
      <c r="X460" s="2">
        <v>37</v>
      </c>
      <c r="Y460" s="2">
        <v>19</v>
      </c>
      <c r="AB460" s="2">
        <v>9.7023255813953497</v>
      </c>
      <c r="AC460" s="2">
        <v>5.9413029365703602</v>
      </c>
      <c r="AD460" s="2">
        <v>5.1441860465116296</v>
      </c>
      <c r="AE460" s="2">
        <v>4.8251997607566599</v>
      </c>
      <c r="AF460" s="2" t="s">
        <v>74</v>
      </c>
      <c r="AG460" s="2" t="s">
        <v>64</v>
      </c>
      <c r="AH460" s="2" t="str">
        <f t="shared" si="14"/>
        <v>mean</v>
      </c>
      <c r="AR460" s="2" t="s">
        <v>849</v>
      </c>
      <c r="AS460" s="2" t="s">
        <v>849</v>
      </c>
      <c r="AU460" s="2" t="s">
        <v>1818</v>
      </c>
      <c r="AV460" s="2" t="s">
        <v>1822</v>
      </c>
      <c r="AW460" s="2" t="s">
        <v>1823</v>
      </c>
      <c r="AX460" s="2" t="s">
        <v>1821</v>
      </c>
      <c r="AY460" s="2" t="s">
        <v>1824</v>
      </c>
    </row>
    <row r="461" spans="1:51" x14ac:dyDescent="0.2">
      <c r="A461" s="2" t="s">
        <v>1179</v>
      </c>
      <c r="B461" s="2" t="s">
        <v>1180</v>
      </c>
      <c r="C461" s="2" t="s">
        <v>1181</v>
      </c>
      <c r="D461" s="2">
        <v>2018</v>
      </c>
      <c r="E461" s="2" t="s">
        <v>1318</v>
      </c>
      <c r="F461" s="2" t="s">
        <v>1391</v>
      </c>
      <c r="G461" s="2" t="s">
        <v>1473</v>
      </c>
      <c r="H461" s="2" t="s">
        <v>1643</v>
      </c>
      <c r="I461" s="2" t="s">
        <v>1773</v>
      </c>
      <c r="J461" s="2" t="s">
        <v>84</v>
      </c>
      <c r="K461" s="2" t="s">
        <v>38</v>
      </c>
      <c r="L461" s="2" t="s">
        <v>11</v>
      </c>
      <c r="M461" s="2" t="s">
        <v>14</v>
      </c>
      <c r="N461" s="2" t="s">
        <v>16</v>
      </c>
      <c r="O461" s="2">
        <v>1</v>
      </c>
      <c r="P461" s="2" t="s">
        <v>23</v>
      </c>
      <c r="Q461" s="2" t="s">
        <v>81</v>
      </c>
      <c r="T461" s="2" t="s">
        <v>50</v>
      </c>
      <c r="U461" s="2" t="s">
        <v>54</v>
      </c>
      <c r="V461" s="2">
        <v>20</v>
      </c>
      <c r="X461" s="2">
        <v>19</v>
      </c>
      <c r="Y461" s="2">
        <v>15</v>
      </c>
      <c r="AB461" s="2">
        <v>4300000</v>
      </c>
      <c r="AC461" s="2">
        <v>230000</v>
      </c>
      <c r="AD461" s="2">
        <v>4400000</v>
      </c>
      <c r="AE461" s="2">
        <v>360000</v>
      </c>
      <c r="AF461" s="2" t="s">
        <v>74</v>
      </c>
      <c r="AG461" s="2" t="s">
        <v>65</v>
      </c>
      <c r="AH461" s="2" t="str">
        <f t="shared" si="14"/>
        <v>mean</v>
      </c>
      <c r="AR461" s="2" t="s">
        <v>849</v>
      </c>
      <c r="AS461" s="2" t="s">
        <v>849</v>
      </c>
      <c r="AU461" s="2" t="s">
        <v>1818</v>
      </c>
      <c r="AV461" s="2" t="s">
        <v>1822</v>
      </c>
      <c r="AW461" s="2" t="s">
        <v>1823</v>
      </c>
      <c r="AX461" s="2" t="s">
        <v>1821</v>
      </c>
      <c r="AY461" s="2" t="s">
        <v>1824</v>
      </c>
    </row>
    <row r="462" spans="1:51" x14ac:dyDescent="0.2">
      <c r="A462" s="2" t="s">
        <v>1179</v>
      </c>
      <c r="B462" s="2" t="s">
        <v>1180</v>
      </c>
      <c r="C462" s="2" t="s">
        <v>1181</v>
      </c>
      <c r="D462" s="2">
        <v>2018</v>
      </c>
      <c r="E462" s="2" t="s">
        <v>1318</v>
      </c>
      <c r="F462" s="2" t="s">
        <v>1391</v>
      </c>
      <c r="G462" s="2" t="s">
        <v>1473</v>
      </c>
      <c r="H462" s="2" t="s">
        <v>1644</v>
      </c>
      <c r="I462" s="2" t="s">
        <v>1773</v>
      </c>
      <c r="J462" s="2" t="s">
        <v>84</v>
      </c>
      <c r="K462" s="2" t="s">
        <v>38</v>
      </c>
      <c r="L462" s="2" t="s">
        <v>11</v>
      </c>
      <c r="M462" s="2" t="s">
        <v>14</v>
      </c>
      <c r="N462" s="2" t="s">
        <v>16</v>
      </c>
      <c r="O462" s="2">
        <v>1</v>
      </c>
      <c r="P462" s="2" t="s">
        <v>23</v>
      </c>
      <c r="Q462" s="2" t="s">
        <v>81</v>
      </c>
      <c r="T462" s="2" t="s">
        <v>50</v>
      </c>
      <c r="U462" s="2" t="s">
        <v>54</v>
      </c>
      <c r="V462" s="2">
        <v>20</v>
      </c>
      <c r="X462" s="2">
        <v>19</v>
      </c>
      <c r="Y462" s="2">
        <v>20</v>
      </c>
      <c r="AB462" s="2">
        <v>4600000</v>
      </c>
      <c r="AC462" s="2">
        <v>250000</v>
      </c>
      <c r="AD462" s="2">
        <v>4300000</v>
      </c>
      <c r="AE462" s="2">
        <v>150000</v>
      </c>
      <c r="AF462" s="2" t="s">
        <v>74</v>
      </c>
      <c r="AG462" s="2" t="s">
        <v>65</v>
      </c>
      <c r="AH462" s="2" t="str">
        <f t="shared" si="14"/>
        <v>mean</v>
      </c>
      <c r="AR462" s="2" t="s">
        <v>849</v>
      </c>
      <c r="AS462" s="2" t="s">
        <v>849</v>
      </c>
      <c r="AU462" s="2" t="s">
        <v>1818</v>
      </c>
      <c r="AV462" s="2" t="s">
        <v>1822</v>
      </c>
      <c r="AW462" s="2" t="s">
        <v>1823</v>
      </c>
      <c r="AX462" s="2" t="s">
        <v>1821</v>
      </c>
      <c r="AY462" s="2" t="s">
        <v>1824</v>
      </c>
    </row>
    <row r="463" spans="1:51" x14ac:dyDescent="0.2">
      <c r="A463" s="2" t="s">
        <v>1179</v>
      </c>
      <c r="B463" s="2" t="s">
        <v>1180</v>
      </c>
      <c r="C463" s="2" t="s">
        <v>1181</v>
      </c>
      <c r="D463" s="2">
        <v>2018</v>
      </c>
      <c r="E463" s="2" t="s">
        <v>1318</v>
      </c>
      <c r="F463" s="2" t="s">
        <v>1390</v>
      </c>
      <c r="G463" s="2" t="s">
        <v>1472</v>
      </c>
      <c r="H463" s="2" t="s">
        <v>1645</v>
      </c>
      <c r="I463" s="2" t="s">
        <v>1773</v>
      </c>
      <c r="J463" s="2" t="s">
        <v>84</v>
      </c>
      <c r="K463" s="2" t="s">
        <v>38</v>
      </c>
      <c r="L463" s="2" t="s">
        <v>11</v>
      </c>
      <c r="M463" s="2" t="s">
        <v>14</v>
      </c>
      <c r="N463" s="2" t="s">
        <v>16</v>
      </c>
      <c r="O463" s="2">
        <v>1</v>
      </c>
      <c r="P463" s="2" t="s">
        <v>22</v>
      </c>
      <c r="Q463" s="2" t="s">
        <v>1056</v>
      </c>
      <c r="T463" s="2" t="s">
        <v>50</v>
      </c>
      <c r="U463" s="2" t="s">
        <v>52</v>
      </c>
      <c r="V463" s="2" t="s">
        <v>1182</v>
      </c>
      <c r="W463" s="2" t="s">
        <v>1064</v>
      </c>
      <c r="X463" s="2">
        <v>8</v>
      </c>
      <c r="Y463" s="2">
        <v>4</v>
      </c>
      <c r="AB463" s="2">
        <v>13.8688524590164</v>
      </c>
      <c r="AC463" s="2">
        <v>3.8948832537488398</v>
      </c>
      <c r="AD463" s="2">
        <v>18.393442622950801</v>
      </c>
      <c r="AE463" s="2">
        <v>2.1639344262294999</v>
      </c>
      <c r="AF463" s="2" t="s">
        <v>74</v>
      </c>
      <c r="AG463" s="2" t="s">
        <v>64</v>
      </c>
      <c r="AH463" s="2" t="str">
        <f t="shared" si="14"/>
        <v>mean</v>
      </c>
      <c r="AR463" s="2" t="s">
        <v>849</v>
      </c>
      <c r="AS463" s="2" t="s">
        <v>849</v>
      </c>
      <c r="AU463" s="2" t="s">
        <v>1818</v>
      </c>
      <c r="AV463" s="2" t="s">
        <v>1822</v>
      </c>
      <c r="AW463" s="2" t="s">
        <v>1823</v>
      </c>
      <c r="AX463" s="2" t="s">
        <v>1821</v>
      </c>
      <c r="AY463" s="2" t="s">
        <v>1824</v>
      </c>
    </row>
    <row r="464" spans="1:51" x14ac:dyDescent="0.2">
      <c r="A464" s="2" t="s">
        <v>1179</v>
      </c>
      <c r="B464" s="2" t="s">
        <v>1180</v>
      </c>
      <c r="C464" s="2" t="s">
        <v>1181</v>
      </c>
      <c r="D464" s="2">
        <v>2018</v>
      </c>
      <c r="E464" s="2" t="s">
        <v>1318</v>
      </c>
      <c r="F464" s="2" t="s">
        <v>1390</v>
      </c>
      <c r="G464" s="2" t="s">
        <v>1472</v>
      </c>
      <c r="H464" s="2" t="s">
        <v>1646</v>
      </c>
      <c r="I464" s="2" t="s">
        <v>1773</v>
      </c>
      <c r="J464" s="2" t="s">
        <v>84</v>
      </c>
      <c r="K464" s="2" t="s">
        <v>38</v>
      </c>
      <c r="L464" s="2" t="s">
        <v>11</v>
      </c>
      <c r="M464" s="2" t="s">
        <v>14</v>
      </c>
      <c r="N464" s="2" t="s">
        <v>16</v>
      </c>
      <c r="O464" s="2">
        <v>1</v>
      </c>
      <c r="P464" s="2" t="s">
        <v>22</v>
      </c>
      <c r="Q464" s="2" t="s">
        <v>1056</v>
      </c>
      <c r="T464" s="2" t="s">
        <v>50</v>
      </c>
      <c r="U464" s="2" t="s">
        <v>52</v>
      </c>
      <c r="V464" s="2" t="s">
        <v>1182</v>
      </c>
      <c r="W464" s="2" t="s">
        <v>528</v>
      </c>
      <c r="X464" s="2">
        <v>86</v>
      </c>
      <c r="Y464" s="2">
        <v>47</v>
      </c>
      <c r="AB464" s="2">
        <v>25.066666666666698</v>
      </c>
      <c r="AC464" s="2">
        <v>8.6553772624625598</v>
      </c>
      <c r="AD464" s="2">
        <v>17.866666666666699</v>
      </c>
      <c r="AE464" s="2">
        <v>9.1408728005347193</v>
      </c>
      <c r="AF464" s="2" t="s">
        <v>74</v>
      </c>
      <c r="AG464" s="2" t="s">
        <v>64</v>
      </c>
      <c r="AH464" s="2" t="str">
        <f t="shared" si="14"/>
        <v>mean</v>
      </c>
      <c r="AR464" s="2" t="s">
        <v>849</v>
      </c>
      <c r="AS464" s="2" t="s">
        <v>849</v>
      </c>
      <c r="AU464" s="2" t="s">
        <v>1818</v>
      </c>
      <c r="AV464" s="2" t="s">
        <v>1822</v>
      </c>
      <c r="AW464" s="2" t="s">
        <v>1823</v>
      </c>
      <c r="AX464" s="2" t="s">
        <v>1821</v>
      </c>
      <c r="AY464" s="2" t="s">
        <v>1824</v>
      </c>
    </row>
    <row r="465" spans="1:51" x14ac:dyDescent="0.2">
      <c r="A465" s="2" t="s">
        <v>1179</v>
      </c>
      <c r="B465" s="2" t="s">
        <v>1180</v>
      </c>
      <c r="C465" s="2" t="s">
        <v>1181</v>
      </c>
      <c r="D465" s="2">
        <v>2018</v>
      </c>
      <c r="E465" s="2" t="s">
        <v>1318</v>
      </c>
      <c r="F465" s="2" t="s">
        <v>1390</v>
      </c>
      <c r="G465" s="2" t="s">
        <v>1472</v>
      </c>
      <c r="H465" s="2" t="s">
        <v>1647</v>
      </c>
      <c r="I465" s="2" t="s">
        <v>1773</v>
      </c>
      <c r="J465" s="2" t="s">
        <v>84</v>
      </c>
      <c r="K465" s="2" t="s">
        <v>38</v>
      </c>
      <c r="L465" s="2" t="s">
        <v>11</v>
      </c>
      <c r="M465" s="2" t="s">
        <v>14</v>
      </c>
      <c r="N465" s="2" t="s">
        <v>16</v>
      </c>
      <c r="O465" s="2">
        <v>1</v>
      </c>
      <c r="P465" s="2" t="s">
        <v>22</v>
      </c>
      <c r="Q465" s="2" t="s">
        <v>1056</v>
      </c>
      <c r="T465" s="2" t="s">
        <v>50</v>
      </c>
      <c r="U465" s="2" t="s">
        <v>52</v>
      </c>
      <c r="V465" s="2" t="s">
        <v>1182</v>
      </c>
      <c r="W465" s="2" t="s">
        <v>170</v>
      </c>
      <c r="X465" s="2">
        <v>107</v>
      </c>
      <c r="Y465" s="2">
        <v>24</v>
      </c>
      <c r="AB465" s="2">
        <v>24.040404040403999</v>
      </c>
      <c r="AC465" s="2">
        <v>8.5329956432094001</v>
      </c>
      <c r="AD465" s="2">
        <v>15.6734006734007</v>
      </c>
      <c r="AE465" s="2">
        <v>5.1958873331764304</v>
      </c>
      <c r="AF465" s="2" t="s">
        <v>74</v>
      </c>
      <c r="AG465" s="2" t="s">
        <v>64</v>
      </c>
      <c r="AH465" s="2" t="str">
        <f t="shared" si="14"/>
        <v>mean</v>
      </c>
      <c r="AR465" s="2" t="s">
        <v>849</v>
      </c>
      <c r="AS465" s="2" t="s">
        <v>849</v>
      </c>
      <c r="AU465" s="2" t="s">
        <v>1818</v>
      </c>
      <c r="AV465" s="2" t="s">
        <v>1822</v>
      </c>
      <c r="AW465" s="2" t="s">
        <v>1823</v>
      </c>
      <c r="AX465" s="2" t="s">
        <v>1821</v>
      </c>
      <c r="AY465" s="2" t="s">
        <v>1824</v>
      </c>
    </row>
    <row r="466" spans="1:51" x14ac:dyDescent="0.2">
      <c r="A466" s="2" t="s">
        <v>1179</v>
      </c>
      <c r="B466" s="2" t="s">
        <v>1180</v>
      </c>
      <c r="C466" s="2" t="s">
        <v>1181</v>
      </c>
      <c r="D466" s="2">
        <v>2018</v>
      </c>
      <c r="E466" s="2" t="s">
        <v>1318</v>
      </c>
      <c r="F466" s="2" t="s">
        <v>1390</v>
      </c>
      <c r="G466" s="2" t="s">
        <v>1472</v>
      </c>
      <c r="H466" s="2" t="s">
        <v>1648</v>
      </c>
      <c r="I466" s="2" t="s">
        <v>1773</v>
      </c>
      <c r="J466" s="2" t="s">
        <v>84</v>
      </c>
      <c r="K466" s="2" t="s">
        <v>38</v>
      </c>
      <c r="L466" s="2" t="s">
        <v>11</v>
      </c>
      <c r="M466" s="2" t="s">
        <v>14</v>
      </c>
      <c r="N466" s="2" t="s">
        <v>16</v>
      </c>
      <c r="O466" s="2">
        <v>1</v>
      </c>
      <c r="P466" s="2" t="s">
        <v>22</v>
      </c>
      <c r="Q466" s="2" t="s">
        <v>1056</v>
      </c>
      <c r="T466" s="2" t="s">
        <v>50</v>
      </c>
      <c r="U466" s="2" t="s">
        <v>52</v>
      </c>
      <c r="V466" s="2" t="s">
        <v>1182</v>
      </c>
      <c r="W466" s="2" t="s">
        <v>1183</v>
      </c>
      <c r="X466" s="2">
        <v>25</v>
      </c>
      <c r="Y466" s="2">
        <v>24</v>
      </c>
      <c r="AB466" s="2">
        <v>13.031161473087799</v>
      </c>
      <c r="AC466" s="2">
        <v>15.9348441926346</v>
      </c>
      <c r="AD466" s="2">
        <v>20.3257790368272</v>
      </c>
      <c r="AE466" s="2">
        <v>17.0007078465121</v>
      </c>
      <c r="AF466" s="2" t="s">
        <v>74</v>
      </c>
      <c r="AG466" s="2" t="s">
        <v>64</v>
      </c>
      <c r="AH466" s="2" t="str">
        <f t="shared" si="14"/>
        <v>mean</v>
      </c>
      <c r="AR466" s="2" t="s">
        <v>849</v>
      </c>
      <c r="AS466" s="2" t="s">
        <v>222</v>
      </c>
      <c r="AU466" s="2" t="s">
        <v>1818</v>
      </c>
      <c r="AV466" s="2" t="s">
        <v>1822</v>
      </c>
      <c r="AW466" s="2" t="s">
        <v>1823</v>
      </c>
      <c r="AX466" s="2" t="s">
        <v>1821</v>
      </c>
      <c r="AY466" s="2" t="s">
        <v>1824</v>
      </c>
    </row>
    <row r="467" spans="1:51" x14ac:dyDescent="0.2">
      <c r="A467" s="2" t="s">
        <v>1179</v>
      </c>
      <c r="B467" s="2" t="s">
        <v>1180</v>
      </c>
      <c r="C467" s="2" t="s">
        <v>1181</v>
      </c>
      <c r="D467" s="2">
        <v>2018</v>
      </c>
      <c r="E467" s="2" t="s">
        <v>1318</v>
      </c>
      <c r="F467" s="2" t="s">
        <v>1390</v>
      </c>
      <c r="G467" s="2" t="s">
        <v>1472</v>
      </c>
      <c r="H467" s="2" t="s">
        <v>1649</v>
      </c>
      <c r="I467" s="2" t="s">
        <v>1773</v>
      </c>
      <c r="J467" s="2" t="s">
        <v>84</v>
      </c>
      <c r="K467" s="2" t="s">
        <v>38</v>
      </c>
      <c r="L467" s="2" t="s">
        <v>11</v>
      </c>
      <c r="M467" s="2" t="s">
        <v>14</v>
      </c>
      <c r="N467" s="2" t="s">
        <v>16</v>
      </c>
      <c r="O467" s="2">
        <v>1</v>
      </c>
      <c r="P467" s="2" t="s">
        <v>22</v>
      </c>
      <c r="Q467" s="2" t="s">
        <v>1056</v>
      </c>
      <c r="T467" s="2" t="s">
        <v>50</v>
      </c>
      <c r="U467" s="2" t="s">
        <v>52</v>
      </c>
      <c r="V467" s="2" t="s">
        <v>1182</v>
      </c>
      <c r="W467" s="2" t="s">
        <v>1184</v>
      </c>
      <c r="X467" s="2">
        <v>5</v>
      </c>
      <c r="Y467" s="2">
        <v>6</v>
      </c>
      <c r="AB467" s="2">
        <v>7</v>
      </c>
      <c r="AC467" s="2">
        <v>3.1943828249997002</v>
      </c>
      <c r="AD467" s="2">
        <v>29.857142857142801</v>
      </c>
      <c r="AE467" s="2">
        <v>22.045407685048598</v>
      </c>
      <c r="AF467" s="2" t="s">
        <v>74</v>
      </c>
      <c r="AG467" s="2" t="s">
        <v>64</v>
      </c>
      <c r="AH467" s="2" t="str">
        <f t="shared" si="14"/>
        <v>mean</v>
      </c>
      <c r="AR467" s="2" t="s">
        <v>849</v>
      </c>
      <c r="AS467" s="2" t="s">
        <v>222</v>
      </c>
      <c r="AU467" s="2" t="s">
        <v>1818</v>
      </c>
      <c r="AV467" s="2" t="s">
        <v>1822</v>
      </c>
      <c r="AW467" s="2" t="s">
        <v>1823</v>
      </c>
      <c r="AX467" s="2" t="s">
        <v>1821</v>
      </c>
      <c r="AY467" s="2" t="s">
        <v>1824</v>
      </c>
    </row>
    <row r="468" spans="1:51" x14ac:dyDescent="0.2">
      <c r="A468" s="2" t="s">
        <v>1179</v>
      </c>
      <c r="B468" s="2" t="s">
        <v>1180</v>
      </c>
      <c r="C468" s="2" t="s">
        <v>1181</v>
      </c>
      <c r="D468" s="2">
        <v>2018</v>
      </c>
      <c r="E468" s="2" t="s">
        <v>1318</v>
      </c>
      <c r="F468" s="2" t="s">
        <v>1390</v>
      </c>
      <c r="G468" s="2" t="s">
        <v>1472</v>
      </c>
      <c r="H468" s="2" t="s">
        <v>1650</v>
      </c>
      <c r="I468" s="2" t="s">
        <v>1773</v>
      </c>
      <c r="J468" s="2" t="s">
        <v>84</v>
      </c>
      <c r="K468" s="2" t="s">
        <v>38</v>
      </c>
      <c r="L468" s="2" t="s">
        <v>11</v>
      </c>
      <c r="M468" s="2" t="s">
        <v>14</v>
      </c>
      <c r="N468" s="2" t="s">
        <v>16</v>
      </c>
      <c r="O468" s="2">
        <v>1</v>
      </c>
      <c r="P468" s="2" t="s">
        <v>22</v>
      </c>
      <c r="Q468" s="2" t="s">
        <v>1056</v>
      </c>
      <c r="T468" s="2" t="s">
        <v>50</v>
      </c>
      <c r="U468" s="2" t="s">
        <v>52</v>
      </c>
      <c r="V468" s="2" t="s">
        <v>1182</v>
      </c>
      <c r="W468" s="2" t="s">
        <v>1185</v>
      </c>
      <c r="X468" s="2">
        <v>3</v>
      </c>
      <c r="Y468" s="2">
        <v>4</v>
      </c>
      <c r="AB468" s="2">
        <v>17.468354430379701</v>
      </c>
      <c r="AC468" s="2">
        <v>12.6615106502662</v>
      </c>
      <c r="AD468" s="2">
        <v>22.5</v>
      </c>
      <c r="AE468" s="2">
        <v>8.7341772151898809</v>
      </c>
      <c r="AF468" s="2" t="s">
        <v>74</v>
      </c>
      <c r="AG468" s="2" t="s">
        <v>64</v>
      </c>
      <c r="AH468" s="2" t="str">
        <f t="shared" si="14"/>
        <v>mean</v>
      </c>
      <c r="AR468" s="2" t="s">
        <v>849</v>
      </c>
      <c r="AS468" s="2" t="s">
        <v>222</v>
      </c>
      <c r="AU468" s="2" t="s">
        <v>1818</v>
      </c>
      <c r="AV468" s="2" t="s">
        <v>1822</v>
      </c>
      <c r="AW468" s="2" t="s">
        <v>1823</v>
      </c>
      <c r="AX468" s="2" t="s">
        <v>1821</v>
      </c>
      <c r="AY468" s="2" t="s">
        <v>1824</v>
      </c>
    </row>
    <row r="469" spans="1:51" x14ac:dyDescent="0.2">
      <c r="A469" s="2" t="s">
        <v>1186</v>
      </c>
      <c r="B469" s="2" t="s">
        <v>1187</v>
      </c>
      <c r="C469" s="2" t="s">
        <v>1188</v>
      </c>
      <c r="D469" s="2">
        <v>2019</v>
      </c>
      <c r="E469" s="2" t="s">
        <v>1319</v>
      </c>
      <c r="F469" s="2" t="s">
        <v>2308</v>
      </c>
      <c r="G469" s="2" t="s">
        <v>2307</v>
      </c>
      <c r="H469" s="2" t="s">
        <v>1651</v>
      </c>
      <c r="I469" s="2" t="s">
        <v>512</v>
      </c>
      <c r="J469" s="2" t="s">
        <v>86</v>
      </c>
      <c r="K469" s="2" t="s">
        <v>38</v>
      </c>
      <c r="L469" s="2" t="s">
        <v>11</v>
      </c>
      <c r="M469" s="2" t="s">
        <v>14</v>
      </c>
      <c r="N469" s="2" t="s">
        <v>16</v>
      </c>
      <c r="O469" s="2">
        <v>1</v>
      </c>
      <c r="P469" s="2" t="s">
        <v>22</v>
      </c>
      <c r="Q469" s="2" t="s">
        <v>30</v>
      </c>
      <c r="T469" s="2" t="s">
        <v>50</v>
      </c>
      <c r="U469" s="2" t="s">
        <v>54</v>
      </c>
      <c r="V469" s="2">
        <v>5</v>
      </c>
      <c r="X469" s="2">
        <v>21</v>
      </c>
      <c r="Y469" s="2">
        <v>21</v>
      </c>
      <c r="Z469" s="2">
        <v>17</v>
      </c>
      <c r="AA469" s="2">
        <v>15</v>
      </c>
      <c r="AH469" s="2" t="s">
        <v>1804</v>
      </c>
      <c r="AR469" s="2" t="s">
        <v>849</v>
      </c>
      <c r="AS469" s="2" t="s">
        <v>849</v>
      </c>
      <c r="AU469" s="2" t="s">
        <v>1818</v>
      </c>
      <c r="AV469" s="2" t="s">
        <v>1830</v>
      </c>
      <c r="AW469" s="2" t="s">
        <v>1831</v>
      </c>
      <c r="AX469" s="2" t="s">
        <v>1829</v>
      </c>
      <c r="AY469" s="2" t="s">
        <v>79</v>
      </c>
    </row>
    <row r="470" spans="1:51" x14ac:dyDescent="0.2">
      <c r="A470" s="2" t="s">
        <v>1186</v>
      </c>
      <c r="B470" s="2" t="s">
        <v>1187</v>
      </c>
      <c r="C470" s="2" t="s">
        <v>1188</v>
      </c>
      <c r="D470" s="2">
        <v>2019</v>
      </c>
      <c r="E470" s="2" t="s">
        <v>1319</v>
      </c>
      <c r="F470" s="2" t="s">
        <v>2308</v>
      </c>
      <c r="G470" s="2" t="s">
        <v>2307</v>
      </c>
      <c r="H470" s="2" t="s">
        <v>1652</v>
      </c>
      <c r="I470" s="2" t="s">
        <v>512</v>
      </c>
      <c r="J470" s="2" t="s">
        <v>86</v>
      </c>
      <c r="K470" s="2" t="s">
        <v>38</v>
      </c>
      <c r="L470" s="2" t="s">
        <v>11</v>
      </c>
      <c r="M470" s="2" t="s">
        <v>14</v>
      </c>
      <c r="N470" s="2" t="s">
        <v>16</v>
      </c>
      <c r="O470" s="2">
        <v>1</v>
      </c>
      <c r="P470" s="2" t="s">
        <v>22</v>
      </c>
      <c r="Q470" s="2" t="s">
        <v>30</v>
      </c>
      <c r="T470" s="2" t="s">
        <v>50</v>
      </c>
      <c r="U470" s="2" t="s">
        <v>52</v>
      </c>
      <c r="V470" s="2">
        <v>5</v>
      </c>
      <c r="W470" s="2">
        <v>2</v>
      </c>
      <c r="X470" s="2">
        <v>17</v>
      </c>
      <c r="Y470" s="2">
        <v>15</v>
      </c>
      <c r="AB470" s="2">
        <v>611.45320197044396</v>
      </c>
      <c r="AC470" s="2">
        <v>480.93642280713902</v>
      </c>
      <c r="AD470" s="2">
        <v>352.83251231527203</v>
      </c>
      <c r="AE470" s="2">
        <v>180.67376851317701</v>
      </c>
      <c r="AF470" s="2" t="s">
        <v>74</v>
      </c>
      <c r="AG470" s="2" t="s">
        <v>64</v>
      </c>
      <c r="AH470" s="2" t="str">
        <f>IF(AF470="mean", "mean", "")</f>
        <v>mean</v>
      </c>
      <c r="AR470" s="2" t="s">
        <v>849</v>
      </c>
      <c r="AS470" s="2" t="s">
        <v>222</v>
      </c>
      <c r="AU470" s="2" t="s">
        <v>1818</v>
      </c>
      <c r="AV470" s="2" t="s">
        <v>1830</v>
      </c>
      <c r="AW470" s="2" t="s">
        <v>1831</v>
      </c>
      <c r="AX470" s="2" t="s">
        <v>1829</v>
      </c>
      <c r="AY470" s="2" t="s">
        <v>79</v>
      </c>
    </row>
    <row r="471" spans="1:51" x14ac:dyDescent="0.2">
      <c r="A471" s="2" t="s">
        <v>1189</v>
      </c>
      <c r="B471" s="2" t="s">
        <v>1190</v>
      </c>
      <c r="C471" s="2" t="s">
        <v>1191</v>
      </c>
      <c r="D471" s="2">
        <v>2015</v>
      </c>
      <c r="E471" s="2" t="s">
        <v>1320</v>
      </c>
      <c r="F471" s="2" t="s">
        <v>1392</v>
      </c>
      <c r="G471" s="2" t="s">
        <v>1474</v>
      </c>
      <c r="H471" s="2" t="s">
        <v>1653</v>
      </c>
      <c r="I471" s="2" t="s">
        <v>1120</v>
      </c>
      <c r="J471" s="2" t="s">
        <v>34</v>
      </c>
      <c r="K471" s="2" t="s">
        <v>38</v>
      </c>
      <c r="L471" s="2" t="s">
        <v>11</v>
      </c>
      <c r="M471" s="2" t="s">
        <v>14</v>
      </c>
      <c r="N471" s="2" t="s">
        <v>20</v>
      </c>
      <c r="O471" s="2">
        <v>0</v>
      </c>
      <c r="P471" s="2" t="s">
        <v>22</v>
      </c>
      <c r="Q471" s="2" t="s">
        <v>27</v>
      </c>
      <c r="T471" s="2" t="s">
        <v>50</v>
      </c>
      <c r="U471" s="2" t="s">
        <v>56</v>
      </c>
      <c r="X471" s="2">
        <v>28</v>
      </c>
      <c r="Y471" s="2">
        <v>26</v>
      </c>
      <c r="AB471" s="2">
        <v>5.9642857142857144</v>
      </c>
      <c r="AC471" s="2">
        <v>10.057177804773335</v>
      </c>
      <c r="AD471" s="2">
        <v>6.9615384615384617</v>
      </c>
      <c r="AE471" s="2">
        <v>10.835057062076856</v>
      </c>
      <c r="AF471" s="2" t="s">
        <v>74</v>
      </c>
      <c r="AG471" s="2" t="s">
        <v>64</v>
      </c>
      <c r="AH471" s="2" t="str">
        <f>IF(AF471="mean", "mean", "")</f>
        <v>mean</v>
      </c>
      <c r="AR471" s="2" t="s">
        <v>849</v>
      </c>
      <c r="AS471" s="2" t="s">
        <v>849</v>
      </c>
      <c r="AU471" s="2" t="s">
        <v>1818</v>
      </c>
      <c r="AV471" s="2" t="s">
        <v>1830</v>
      </c>
      <c r="AW471" s="2" t="s">
        <v>1820</v>
      </c>
      <c r="AX471" s="2" t="s">
        <v>1821</v>
      </c>
      <c r="AY471" s="2" t="s">
        <v>79</v>
      </c>
    </row>
    <row r="472" spans="1:51" x14ac:dyDescent="0.2">
      <c r="A472" s="2" t="s">
        <v>1192</v>
      </c>
      <c r="B472" s="2" t="s">
        <v>1193</v>
      </c>
      <c r="D472" s="2">
        <v>2009</v>
      </c>
      <c r="E472" s="2" t="s">
        <v>1321</v>
      </c>
      <c r="F472" s="2" t="s">
        <v>1393</v>
      </c>
      <c r="G472" s="2" t="s">
        <v>1475</v>
      </c>
      <c r="H472" s="2" t="s">
        <v>1654</v>
      </c>
      <c r="I472" s="2" t="s">
        <v>440</v>
      </c>
      <c r="J472" s="2" t="s">
        <v>34</v>
      </c>
      <c r="K472" s="2" t="s">
        <v>37</v>
      </c>
      <c r="P472" s="2" t="s">
        <v>22</v>
      </c>
      <c r="Q472" s="2" t="s">
        <v>27</v>
      </c>
      <c r="R472" s="2" t="s">
        <v>40</v>
      </c>
      <c r="S472" s="2" t="s">
        <v>43</v>
      </c>
      <c r="T472" s="2" t="s">
        <v>50</v>
      </c>
      <c r="U472" s="2" t="s">
        <v>53</v>
      </c>
      <c r="V472" s="2">
        <v>1135</v>
      </c>
      <c r="W472" s="2">
        <v>1</v>
      </c>
      <c r="AH472" s="2" t="s">
        <v>4</v>
      </c>
      <c r="AN472" s="2">
        <v>100</v>
      </c>
      <c r="AO472" s="2">
        <v>2.5999999999999999E-2</v>
      </c>
      <c r="AR472" s="2" t="s">
        <v>849</v>
      </c>
      <c r="AS472" s="2" t="s">
        <v>849</v>
      </c>
      <c r="AU472" s="2" t="s">
        <v>1818</v>
      </c>
      <c r="AV472" s="2" t="s">
        <v>1830</v>
      </c>
      <c r="AW472" s="2" t="s">
        <v>1820</v>
      </c>
      <c r="AX472" s="2" t="s">
        <v>1821</v>
      </c>
      <c r="AY472" s="2" t="s">
        <v>79</v>
      </c>
    </row>
    <row r="473" spans="1:51" x14ac:dyDescent="0.2">
      <c r="A473" s="2" t="s">
        <v>1194</v>
      </c>
      <c r="B473" s="2" t="s">
        <v>1195</v>
      </c>
      <c r="C473" s="2" t="s">
        <v>1196</v>
      </c>
      <c r="D473" s="2">
        <v>2010</v>
      </c>
      <c r="E473" s="2" t="s">
        <v>1322</v>
      </c>
      <c r="F473" s="2" t="s">
        <v>1394</v>
      </c>
      <c r="G473" s="2" t="s">
        <v>1476</v>
      </c>
      <c r="H473" s="2" t="s">
        <v>1655</v>
      </c>
      <c r="I473" s="2" t="s">
        <v>1104</v>
      </c>
      <c r="J473" s="2" t="s">
        <v>85</v>
      </c>
      <c r="K473" s="2" t="s">
        <v>38</v>
      </c>
      <c r="L473" s="2" t="s">
        <v>11</v>
      </c>
      <c r="M473" s="2" t="s">
        <v>14</v>
      </c>
      <c r="N473" s="2" t="s">
        <v>21</v>
      </c>
      <c r="O473" s="2">
        <v>0</v>
      </c>
      <c r="P473" s="2" t="s">
        <v>22</v>
      </c>
      <c r="Q473" s="2" t="s">
        <v>30</v>
      </c>
      <c r="T473" s="2" t="s">
        <v>50</v>
      </c>
      <c r="U473" s="2" t="s">
        <v>52</v>
      </c>
      <c r="V473" s="2">
        <v>1019</v>
      </c>
      <c r="W473" s="2">
        <v>3</v>
      </c>
      <c r="X473" s="2">
        <v>50</v>
      </c>
      <c r="Y473" s="2">
        <v>50</v>
      </c>
      <c r="Z473" s="2">
        <v>48</v>
      </c>
      <c r="AA473" s="2">
        <v>2</v>
      </c>
      <c r="AH473" s="2" t="s">
        <v>1804</v>
      </c>
      <c r="AR473" s="2" t="s">
        <v>849</v>
      </c>
      <c r="AS473" s="2" t="s">
        <v>849</v>
      </c>
      <c r="AU473" s="2" t="s">
        <v>1818</v>
      </c>
      <c r="AV473" s="2" t="s">
        <v>1822</v>
      </c>
      <c r="AW473" s="2" t="s">
        <v>1823</v>
      </c>
      <c r="AX473" s="2" t="s">
        <v>1826</v>
      </c>
      <c r="AY473" s="2" t="s">
        <v>79</v>
      </c>
    </row>
    <row r="474" spans="1:51" x14ac:dyDescent="0.2">
      <c r="A474" s="2" t="s">
        <v>1194</v>
      </c>
      <c r="B474" s="2" t="s">
        <v>1195</v>
      </c>
      <c r="C474" s="2" t="s">
        <v>1196</v>
      </c>
      <c r="D474" s="2">
        <v>2010</v>
      </c>
      <c r="E474" s="2" t="s">
        <v>1322</v>
      </c>
      <c r="F474" s="2" t="s">
        <v>1394</v>
      </c>
      <c r="G474" s="2" t="s">
        <v>1476</v>
      </c>
      <c r="H474" s="2" t="s">
        <v>1656</v>
      </c>
      <c r="I474" s="2" t="s">
        <v>1104</v>
      </c>
      <c r="J474" s="2" t="s">
        <v>85</v>
      </c>
      <c r="K474" s="2" t="s">
        <v>38</v>
      </c>
      <c r="L474" s="2" t="s">
        <v>11</v>
      </c>
      <c r="M474" s="2" t="s">
        <v>14</v>
      </c>
      <c r="N474" s="2" t="s">
        <v>21</v>
      </c>
      <c r="O474" s="2">
        <v>0</v>
      </c>
      <c r="P474" s="2" t="s">
        <v>22</v>
      </c>
      <c r="Q474" s="2" t="s">
        <v>30</v>
      </c>
      <c r="T474" s="2" t="s">
        <v>50</v>
      </c>
      <c r="U474" s="2" t="s">
        <v>52</v>
      </c>
      <c r="V474" s="2">
        <v>1019</v>
      </c>
      <c r="W474" s="2">
        <v>3</v>
      </c>
      <c r="X474" s="2">
        <v>50</v>
      </c>
      <c r="Y474" s="2">
        <v>50</v>
      </c>
      <c r="Z474" s="2">
        <v>11</v>
      </c>
      <c r="AA474" s="2">
        <v>39</v>
      </c>
      <c r="AH474" s="2" t="s">
        <v>1804</v>
      </c>
      <c r="AR474" s="2" t="s">
        <v>849</v>
      </c>
      <c r="AS474" s="2" t="s">
        <v>849</v>
      </c>
      <c r="AU474" s="2" t="s">
        <v>1818</v>
      </c>
      <c r="AV474" s="2" t="s">
        <v>1822</v>
      </c>
      <c r="AW474" s="2" t="s">
        <v>1823</v>
      </c>
      <c r="AX474" s="2" t="s">
        <v>1826</v>
      </c>
      <c r="AY474" s="2" t="s">
        <v>79</v>
      </c>
    </row>
    <row r="475" spans="1:51" x14ac:dyDescent="0.2">
      <c r="A475" s="2" t="s">
        <v>1197</v>
      </c>
      <c r="B475" s="2" t="s">
        <v>1198</v>
      </c>
      <c r="C475" s="2" t="s">
        <v>1199</v>
      </c>
      <c r="D475" s="2">
        <v>2015</v>
      </c>
      <c r="E475" s="2" t="s">
        <v>1323</v>
      </c>
      <c r="F475" s="2" t="s">
        <v>1395</v>
      </c>
      <c r="G475" s="2" t="s">
        <v>1477</v>
      </c>
      <c r="H475" s="2" t="s">
        <v>1657</v>
      </c>
      <c r="I475" s="2" t="s">
        <v>1104</v>
      </c>
      <c r="J475" s="2" t="s">
        <v>85</v>
      </c>
      <c r="K475" s="2" t="s">
        <v>38</v>
      </c>
      <c r="L475" s="2" t="s">
        <v>11</v>
      </c>
      <c r="M475" s="2" t="s">
        <v>14</v>
      </c>
      <c r="N475" s="2" t="s">
        <v>21</v>
      </c>
      <c r="O475" s="2">
        <v>0</v>
      </c>
      <c r="P475" s="2" t="s">
        <v>22</v>
      </c>
      <c r="Q475" s="2" t="s">
        <v>26</v>
      </c>
      <c r="T475" s="2" t="s">
        <v>50</v>
      </c>
      <c r="U475" s="2" t="s">
        <v>52</v>
      </c>
      <c r="V475" s="2">
        <v>4</v>
      </c>
      <c r="W475" s="2">
        <v>3</v>
      </c>
      <c r="X475" s="2">
        <v>40</v>
      </c>
      <c r="Y475" s="2">
        <v>40</v>
      </c>
      <c r="AB475" s="2">
        <v>113.763440860215</v>
      </c>
      <c r="AC475" s="2">
        <v>32.642866169480101</v>
      </c>
      <c r="AD475" s="2">
        <v>231.32616487455201</v>
      </c>
      <c r="AE475" s="2">
        <v>65.285732338960202</v>
      </c>
      <c r="AF475" s="2" t="s">
        <v>74</v>
      </c>
      <c r="AG475" s="2" t="s">
        <v>64</v>
      </c>
      <c r="AH475" s="2" t="str">
        <f>IF(AF475="mean", "mean", "")</f>
        <v>mean</v>
      </c>
      <c r="AR475" s="2" t="s">
        <v>849</v>
      </c>
      <c r="AS475" s="2" t="s">
        <v>849</v>
      </c>
      <c r="AU475" s="2" t="s">
        <v>1818</v>
      </c>
      <c r="AV475" s="2" t="s">
        <v>1822</v>
      </c>
      <c r="AW475" s="2" t="s">
        <v>1823</v>
      </c>
      <c r="AX475" s="2" t="s">
        <v>1826</v>
      </c>
      <c r="AY475" s="2" t="s">
        <v>79</v>
      </c>
    </row>
    <row r="476" spans="1:51" x14ac:dyDescent="0.2">
      <c r="A476" s="2" t="s">
        <v>1200</v>
      </c>
      <c r="B476" s="2" t="s">
        <v>1201</v>
      </c>
      <c r="C476" s="2" t="s">
        <v>1202</v>
      </c>
      <c r="D476" s="2">
        <v>2007</v>
      </c>
      <c r="E476" s="2" t="s">
        <v>1324</v>
      </c>
      <c r="F476" s="2" t="s">
        <v>1396</v>
      </c>
      <c r="G476" s="2" t="s">
        <v>1478</v>
      </c>
      <c r="H476" s="2" t="s">
        <v>1658</v>
      </c>
      <c r="I476" s="2" t="s">
        <v>1800</v>
      </c>
      <c r="J476" s="2" t="s">
        <v>1203</v>
      </c>
      <c r="K476" s="2" t="s">
        <v>37</v>
      </c>
      <c r="P476" s="2" t="s">
        <v>23</v>
      </c>
      <c r="Q476" s="2" t="s">
        <v>78</v>
      </c>
      <c r="R476" s="2" t="s">
        <v>40</v>
      </c>
      <c r="S476" s="2" t="s">
        <v>2287</v>
      </c>
      <c r="T476" s="2" t="s">
        <v>50</v>
      </c>
      <c r="U476" s="2" t="s">
        <v>53</v>
      </c>
      <c r="V476" s="2">
        <v>339</v>
      </c>
      <c r="W476" s="2">
        <v>1</v>
      </c>
      <c r="AH476" s="2" t="s">
        <v>4</v>
      </c>
      <c r="AN476" s="2">
        <v>23</v>
      </c>
      <c r="AO476" s="2">
        <v>2.5999999999999999E-2</v>
      </c>
      <c r="AR476" s="2" t="s">
        <v>849</v>
      </c>
      <c r="AS476" s="2" t="s">
        <v>849</v>
      </c>
      <c r="AU476" s="2" t="s">
        <v>1818</v>
      </c>
      <c r="AV476" s="2" t="s">
        <v>1830</v>
      </c>
      <c r="AW476" s="2" t="s">
        <v>26</v>
      </c>
      <c r="AX476" s="2" t="s">
        <v>1821</v>
      </c>
      <c r="AY476" s="2" t="s">
        <v>79</v>
      </c>
    </row>
    <row r="477" spans="1:51" x14ac:dyDescent="0.2">
      <c r="A477" s="2" t="s">
        <v>1200</v>
      </c>
      <c r="B477" s="2" t="s">
        <v>1201</v>
      </c>
      <c r="C477" s="2" t="s">
        <v>1202</v>
      </c>
      <c r="D477" s="2">
        <v>2007</v>
      </c>
      <c r="E477" s="2" t="s">
        <v>1324</v>
      </c>
      <c r="F477" s="2" t="s">
        <v>1396</v>
      </c>
      <c r="G477" s="2" t="s">
        <v>1478</v>
      </c>
      <c r="H477" s="2" t="s">
        <v>1659</v>
      </c>
      <c r="I477" s="2" t="s">
        <v>1800</v>
      </c>
      <c r="J477" s="2" t="s">
        <v>1203</v>
      </c>
      <c r="K477" s="2" t="s">
        <v>37</v>
      </c>
      <c r="P477" s="2" t="s">
        <v>23</v>
      </c>
      <c r="Q477" s="2" t="s">
        <v>78</v>
      </c>
      <c r="R477" s="2" t="s">
        <v>40</v>
      </c>
      <c r="S477" s="2" t="s">
        <v>2288</v>
      </c>
      <c r="T477" s="2" t="s">
        <v>50</v>
      </c>
      <c r="U477" s="2" t="s">
        <v>53</v>
      </c>
      <c r="V477" s="2">
        <v>339</v>
      </c>
      <c r="W477" s="2">
        <v>1</v>
      </c>
      <c r="AH477" s="2" t="s">
        <v>4</v>
      </c>
      <c r="AN477" s="2">
        <v>23</v>
      </c>
      <c r="AO477" s="2">
        <v>-7.0000000000000001E-3</v>
      </c>
      <c r="AR477" s="2" t="s">
        <v>849</v>
      </c>
      <c r="AS477" s="2" t="s">
        <v>849</v>
      </c>
      <c r="AU477" s="2" t="s">
        <v>1818</v>
      </c>
      <c r="AV477" s="2" t="s">
        <v>1830</v>
      </c>
      <c r="AW477" s="2" t="s">
        <v>26</v>
      </c>
      <c r="AX477" s="2" t="s">
        <v>1821</v>
      </c>
      <c r="AY477" s="2" t="s">
        <v>79</v>
      </c>
    </row>
    <row r="478" spans="1:51" x14ac:dyDescent="0.2">
      <c r="A478" s="2" t="s">
        <v>1200</v>
      </c>
      <c r="B478" s="2" t="s">
        <v>1201</v>
      </c>
      <c r="C478" s="2" t="s">
        <v>1202</v>
      </c>
      <c r="D478" s="2">
        <v>2007</v>
      </c>
      <c r="E478" s="2" t="s">
        <v>1324</v>
      </c>
      <c r="F478" s="2" t="s">
        <v>1396</v>
      </c>
      <c r="G478" s="2" t="s">
        <v>1478</v>
      </c>
      <c r="H478" s="2" t="s">
        <v>1660</v>
      </c>
      <c r="I478" s="2" t="s">
        <v>1800</v>
      </c>
      <c r="J478" s="2" t="s">
        <v>1203</v>
      </c>
      <c r="K478" s="2" t="s">
        <v>37</v>
      </c>
      <c r="P478" s="2" t="s">
        <v>23</v>
      </c>
      <c r="Q478" s="2" t="s">
        <v>78</v>
      </c>
      <c r="R478" s="2" t="s">
        <v>40</v>
      </c>
      <c r="S478" s="2" t="s">
        <v>2289</v>
      </c>
      <c r="T478" s="2" t="s">
        <v>50</v>
      </c>
      <c r="U478" s="2" t="s">
        <v>53</v>
      </c>
      <c r="V478" s="2">
        <v>339</v>
      </c>
      <c r="W478" s="2">
        <v>1</v>
      </c>
      <c r="AH478" s="2" t="s">
        <v>4</v>
      </c>
      <c r="AN478" s="2">
        <v>23</v>
      </c>
      <c r="AO478" s="2">
        <v>8.2000000000000003E-2</v>
      </c>
      <c r="AR478" s="2" t="s">
        <v>849</v>
      </c>
      <c r="AS478" s="2" t="s">
        <v>849</v>
      </c>
      <c r="AU478" s="2" t="s">
        <v>1818</v>
      </c>
      <c r="AV478" s="2" t="s">
        <v>1830</v>
      </c>
      <c r="AW478" s="2" t="s">
        <v>26</v>
      </c>
      <c r="AX478" s="2" t="s">
        <v>1821</v>
      </c>
      <c r="AY478" s="2" t="s">
        <v>79</v>
      </c>
    </row>
    <row r="479" spans="1:51" x14ac:dyDescent="0.2">
      <c r="A479" s="2" t="s">
        <v>1200</v>
      </c>
      <c r="B479" s="2" t="s">
        <v>1201</v>
      </c>
      <c r="C479" s="2" t="s">
        <v>1202</v>
      </c>
      <c r="D479" s="2">
        <v>2007</v>
      </c>
      <c r="E479" s="2" t="s">
        <v>1324</v>
      </c>
      <c r="F479" s="2" t="s">
        <v>1396</v>
      </c>
      <c r="G479" s="2" t="s">
        <v>1478</v>
      </c>
      <c r="H479" s="2" t="s">
        <v>1661</v>
      </c>
      <c r="I479" s="2" t="s">
        <v>1800</v>
      </c>
      <c r="J479" s="2" t="s">
        <v>1203</v>
      </c>
      <c r="K479" s="2" t="s">
        <v>37</v>
      </c>
      <c r="P479" s="2" t="s">
        <v>23</v>
      </c>
      <c r="Q479" s="2" t="s">
        <v>78</v>
      </c>
      <c r="R479" s="2" t="s">
        <v>40</v>
      </c>
      <c r="S479" s="2" t="s">
        <v>2286</v>
      </c>
      <c r="T479" s="2" t="s">
        <v>50</v>
      </c>
      <c r="U479" s="2" t="s">
        <v>53</v>
      </c>
      <c r="V479" s="2">
        <v>339</v>
      </c>
      <c r="W479" s="2">
        <v>1</v>
      </c>
      <c r="AH479" s="2" t="s">
        <v>4</v>
      </c>
      <c r="AN479" s="2">
        <v>23</v>
      </c>
      <c r="AO479" s="2">
        <v>-8.7999999999999995E-2</v>
      </c>
      <c r="AR479" s="2" t="s">
        <v>849</v>
      </c>
      <c r="AS479" s="2" t="s">
        <v>849</v>
      </c>
      <c r="AU479" s="2" t="s">
        <v>1818</v>
      </c>
      <c r="AV479" s="2" t="s">
        <v>1830</v>
      </c>
      <c r="AW479" s="2" t="s">
        <v>26</v>
      </c>
      <c r="AX479" s="2" t="s">
        <v>1821</v>
      </c>
      <c r="AY479" s="2" t="s">
        <v>79</v>
      </c>
    </row>
    <row r="480" spans="1:51" x14ac:dyDescent="0.2">
      <c r="A480" s="2" t="s">
        <v>1200</v>
      </c>
      <c r="B480" s="2" t="s">
        <v>1201</v>
      </c>
      <c r="C480" s="2" t="s">
        <v>1202</v>
      </c>
      <c r="D480" s="2">
        <v>2007</v>
      </c>
      <c r="E480" s="2" t="s">
        <v>1324</v>
      </c>
      <c r="F480" s="2" t="s">
        <v>1396</v>
      </c>
      <c r="G480" s="2" t="s">
        <v>1478</v>
      </c>
      <c r="H480" s="2" t="s">
        <v>1662</v>
      </c>
      <c r="I480" s="2" t="s">
        <v>1800</v>
      </c>
      <c r="J480" s="2" t="s">
        <v>1203</v>
      </c>
      <c r="K480" s="2" t="s">
        <v>37</v>
      </c>
      <c r="P480" s="2" t="s">
        <v>23</v>
      </c>
      <c r="Q480" s="2" t="s">
        <v>78</v>
      </c>
      <c r="R480" s="2" t="s">
        <v>40</v>
      </c>
      <c r="S480" s="2" t="s">
        <v>2287</v>
      </c>
      <c r="T480" s="2" t="s">
        <v>50</v>
      </c>
      <c r="U480" s="2" t="s">
        <v>53</v>
      </c>
      <c r="V480" s="2">
        <v>339</v>
      </c>
      <c r="W480" s="2">
        <v>1</v>
      </c>
      <c r="AH480" s="2" t="s">
        <v>4</v>
      </c>
      <c r="AN480" s="2">
        <v>28</v>
      </c>
      <c r="AO480" s="2">
        <v>0.61299999999999999</v>
      </c>
      <c r="AR480" s="2" t="s">
        <v>849</v>
      </c>
      <c r="AS480" s="2" t="s">
        <v>849</v>
      </c>
      <c r="AU480" s="2" t="s">
        <v>1818</v>
      </c>
      <c r="AV480" s="2" t="s">
        <v>1830</v>
      </c>
      <c r="AW480" s="2" t="s">
        <v>26</v>
      </c>
      <c r="AX480" s="2" t="s">
        <v>1821</v>
      </c>
      <c r="AY480" s="2" t="s">
        <v>79</v>
      </c>
    </row>
    <row r="481" spans="1:51" x14ac:dyDescent="0.2">
      <c r="A481" s="2" t="s">
        <v>1200</v>
      </c>
      <c r="B481" s="2" t="s">
        <v>1201</v>
      </c>
      <c r="C481" s="2" t="s">
        <v>1202</v>
      </c>
      <c r="D481" s="2">
        <v>2007</v>
      </c>
      <c r="E481" s="2" t="s">
        <v>1324</v>
      </c>
      <c r="F481" s="2" t="s">
        <v>1396</v>
      </c>
      <c r="G481" s="2" t="s">
        <v>1478</v>
      </c>
      <c r="H481" s="2" t="s">
        <v>1663</v>
      </c>
      <c r="I481" s="2" t="s">
        <v>1800</v>
      </c>
      <c r="J481" s="2" t="s">
        <v>1203</v>
      </c>
      <c r="K481" s="2" t="s">
        <v>37</v>
      </c>
      <c r="P481" s="2" t="s">
        <v>23</v>
      </c>
      <c r="Q481" s="2" t="s">
        <v>78</v>
      </c>
      <c r="R481" s="2" t="s">
        <v>40</v>
      </c>
      <c r="S481" s="2" t="s">
        <v>2288</v>
      </c>
      <c r="T481" s="2" t="s">
        <v>50</v>
      </c>
      <c r="U481" s="2" t="s">
        <v>53</v>
      </c>
      <c r="V481" s="2">
        <v>339</v>
      </c>
      <c r="W481" s="2">
        <v>1</v>
      </c>
      <c r="AH481" s="2" t="s">
        <v>4</v>
      </c>
      <c r="AN481" s="2">
        <v>28</v>
      </c>
      <c r="AO481" s="2">
        <v>0.61699999999999999</v>
      </c>
      <c r="AR481" s="2" t="s">
        <v>849</v>
      </c>
      <c r="AS481" s="2" t="s">
        <v>849</v>
      </c>
      <c r="AU481" s="2" t="s">
        <v>1818</v>
      </c>
      <c r="AV481" s="2" t="s">
        <v>1830</v>
      </c>
      <c r="AW481" s="2" t="s">
        <v>26</v>
      </c>
      <c r="AX481" s="2" t="s">
        <v>1821</v>
      </c>
      <c r="AY481" s="2" t="s">
        <v>79</v>
      </c>
    </row>
    <row r="482" spans="1:51" x14ac:dyDescent="0.2">
      <c r="A482" s="2" t="s">
        <v>1200</v>
      </c>
      <c r="B482" s="2" t="s">
        <v>1201</v>
      </c>
      <c r="C482" s="2" t="s">
        <v>1202</v>
      </c>
      <c r="D482" s="2">
        <v>2007</v>
      </c>
      <c r="E482" s="2" t="s">
        <v>1324</v>
      </c>
      <c r="F482" s="2" t="s">
        <v>1396</v>
      </c>
      <c r="G482" s="2" t="s">
        <v>1478</v>
      </c>
      <c r="H482" s="2" t="s">
        <v>1664</v>
      </c>
      <c r="I482" s="2" t="s">
        <v>1800</v>
      </c>
      <c r="J482" s="2" t="s">
        <v>1203</v>
      </c>
      <c r="K482" s="2" t="s">
        <v>37</v>
      </c>
      <c r="P482" s="2" t="s">
        <v>23</v>
      </c>
      <c r="Q482" s="2" t="s">
        <v>78</v>
      </c>
      <c r="R482" s="2" t="s">
        <v>40</v>
      </c>
      <c r="S482" s="2" t="s">
        <v>2289</v>
      </c>
      <c r="T482" s="2" t="s">
        <v>50</v>
      </c>
      <c r="U482" s="2" t="s">
        <v>53</v>
      </c>
      <c r="V482" s="2">
        <v>339</v>
      </c>
      <c r="W482" s="2">
        <v>1</v>
      </c>
      <c r="AH482" s="2" t="s">
        <v>4</v>
      </c>
      <c r="AN482" s="2">
        <v>28</v>
      </c>
      <c r="AO482" s="2">
        <v>0.371</v>
      </c>
      <c r="AR482" s="2" t="s">
        <v>849</v>
      </c>
      <c r="AS482" s="2" t="s">
        <v>849</v>
      </c>
      <c r="AU482" s="2" t="s">
        <v>1818</v>
      </c>
      <c r="AV482" s="2" t="s">
        <v>1830</v>
      </c>
      <c r="AW482" s="2" t="s">
        <v>26</v>
      </c>
      <c r="AX482" s="2" t="s">
        <v>1821</v>
      </c>
      <c r="AY482" s="2" t="s">
        <v>79</v>
      </c>
    </row>
    <row r="483" spans="1:51" x14ac:dyDescent="0.2">
      <c r="A483" s="2" t="s">
        <v>1200</v>
      </c>
      <c r="B483" s="2" t="s">
        <v>1201</v>
      </c>
      <c r="C483" s="2" t="s">
        <v>1202</v>
      </c>
      <c r="D483" s="2">
        <v>2007</v>
      </c>
      <c r="E483" s="2" t="s">
        <v>1324</v>
      </c>
      <c r="F483" s="2" t="s">
        <v>1396</v>
      </c>
      <c r="G483" s="2" t="s">
        <v>1478</v>
      </c>
      <c r="H483" s="2" t="s">
        <v>1665</v>
      </c>
      <c r="I483" s="2" t="s">
        <v>1800</v>
      </c>
      <c r="J483" s="2" t="s">
        <v>1203</v>
      </c>
      <c r="K483" s="2" t="s">
        <v>37</v>
      </c>
      <c r="P483" s="2" t="s">
        <v>23</v>
      </c>
      <c r="Q483" s="2" t="s">
        <v>78</v>
      </c>
      <c r="R483" s="2" t="s">
        <v>40</v>
      </c>
      <c r="S483" s="2" t="s">
        <v>2286</v>
      </c>
      <c r="T483" s="2" t="s">
        <v>50</v>
      </c>
      <c r="U483" s="2" t="s">
        <v>53</v>
      </c>
      <c r="V483" s="2">
        <v>339</v>
      </c>
      <c r="W483" s="2">
        <v>1</v>
      </c>
      <c r="AH483" s="2" t="s">
        <v>4</v>
      </c>
      <c r="AN483" s="2">
        <v>28</v>
      </c>
      <c r="AO483" s="2">
        <v>0.29799999999999999</v>
      </c>
      <c r="AR483" s="2" t="s">
        <v>849</v>
      </c>
      <c r="AS483" s="2" t="s">
        <v>849</v>
      </c>
      <c r="AU483" s="2" t="s">
        <v>1818</v>
      </c>
      <c r="AV483" s="2" t="s">
        <v>1830</v>
      </c>
      <c r="AW483" s="2" t="s">
        <v>26</v>
      </c>
      <c r="AX483" s="2" t="s">
        <v>1821</v>
      </c>
      <c r="AY483" s="2" t="s">
        <v>79</v>
      </c>
    </row>
    <row r="484" spans="1:51" x14ac:dyDescent="0.2">
      <c r="A484" s="2" t="s">
        <v>1204</v>
      </c>
      <c r="B484" s="2" t="s">
        <v>1205</v>
      </c>
      <c r="C484" s="2" t="s">
        <v>1206</v>
      </c>
      <c r="D484" s="2">
        <v>2014</v>
      </c>
      <c r="E484" s="2" t="s">
        <v>1325</v>
      </c>
      <c r="F484" s="2" t="s">
        <v>1397</v>
      </c>
      <c r="G484" s="2" t="s">
        <v>1479</v>
      </c>
      <c r="H484" s="2" t="s">
        <v>1666</v>
      </c>
      <c r="I484" s="2" t="s">
        <v>1108</v>
      </c>
      <c r="J484" s="2" t="s">
        <v>34</v>
      </c>
      <c r="K484" s="2" t="s">
        <v>38</v>
      </c>
      <c r="L484" s="2" t="s">
        <v>11</v>
      </c>
      <c r="M484" s="2" t="s">
        <v>14</v>
      </c>
      <c r="N484" s="2" t="s">
        <v>17</v>
      </c>
      <c r="O484" s="2">
        <v>1</v>
      </c>
      <c r="P484" s="2" t="s">
        <v>22</v>
      </c>
      <c r="Q484" s="2" t="s">
        <v>30</v>
      </c>
      <c r="T484" s="2" t="s">
        <v>50</v>
      </c>
      <c r="U484" s="2" t="s">
        <v>56</v>
      </c>
      <c r="X484" s="2">
        <v>21</v>
      </c>
      <c r="Y484" s="2">
        <v>28</v>
      </c>
      <c r="Z484" s="2">
        <v>19</v>
      </c>
      <c r="AA484" s="2">
        <v>19</v>
      </c>
      <c r="AH484" s="2" t="s">
        <v>1804</v>
      </c>
      <c r="AR484" s="2" t="s">
        <v>849</v>
      </c>
      <c r="AS484" s="2" t="s">
        <v>849</v>
      </c>
      <c r="AU484" s="2" t="s">
        <v>1818</v>
      </c>
      <c r="AV484" s="2" t="s">
        <v>1830</v>
      </c>
      <c r="AW484" s="2" t="s">
        <v>1836</v>
      </c>
      <c r="AX484" s="2" t="s">
        <v>1821</v>
      </c>
      <c r="AY484" s="2" t="s">
        <v>79</v>
      </c>
    </row>
    <row r="485" spans="1:51" x14ac:dyDescent="0.2">
      <c r="A485" s="2" t="s">
        <v>1207</v>
      </c>
      <c r="B485" s="2" t="s">
        <v>1208</v>
      </c>
      <c r="C485" s="2" t="s">
        <v>1209</v>
      </c>
      <c r="D485" s="2">
        <v>2018</v>
      </c>
      <c r="E485" s="2" t="s">
        <v>1326</v>
      </c>
      <c r="F485" s="2" t="s">
        <v>1398</v>
      </c>
      <c r="G485" s="2" t="s">
        <v>1480</v>
      </c>
      <c r="H485" s="2" t="s">
        <v>1667</v>
      </c>
      <c r="I485" s="2" t="s">
        <v>1789</v>
      </c>
      <c r="J485" s="2" t="s">
        <v>32</v>
      </c>
      <c r="K485" s="2" t="s">
        <v>38</v>
      </c>
      <c r="L485" s="2" t="s">
        <v>11</v>
      </c>
      <c r="M485" s="2" t="s">
        <v>14</v>
      </c>
      <c r="N485" s="2" t="s">
        <v>21</v>
      </c>
      <c r="O485" s="2">
        <v>0</v>
      </c>
      <c r="P485" s="2" t="s">
        <v>22</v>
      </c>
      <c r="Q485" s="2" t="s">
        <v>28</v>
      </c>
      <c r="T485" s="2" t="s">
        <v>51</v>
      </c>
      <c r="U485" s="2" t="s">
        <v>56</v>
      </c>
      <c r="X485" s="2">
        <v>10</v>
      </c>
      <c r="Y485" s="2">
        <v>7</v>
      </c>
      <c r="AB485" s="2">
        <v>0.26302373869344314</v>
      </c>
      <c r="AC485" s="2">
        <v>0.11050190759502501</v>
      </c>
      <c r="AD485" s="2">
        <v>0.19281955816328486</v>
      </c>
      <c r="AE485" s="2">
        <v>5.6819867212345811E-2</v>
      </c>
      <c r="AF485" s="2" t="s">
        <v>74</v>
      </c>
      <c r="AG485" s="2" t="s">
        <v>64</v>
      </c>
      <c r="AH485" s="2" t="str">
        <f t="shared" ref="AH485:AH491" si="15">IF(AF485="mean", "mean", "")</f>
        <v>mean</v>
      </c>
      <c r="AR485" s="2" t="s">
        <v>849</v>
      </c>
      <c r="AS485" s="2" t="s">
        <v>849</v>
      </c>
      <c r="AU485" s="2" t="s">
        <v>1818</v>
      </c>
      <c r="AV485" s="2" t="s">
        <v>1830</v>
      </c>
      <c r="AW485" s="2" t="s">
        <v>1823</v>
      </c>
      <c r="AX485" s="2" t="s">
        <v>1829</v>
      </c>
      <c r="AY485" s="2" t="s">
        <v>79</v>
      </c>
    </row>
    <row r="486" spans="1:51" x14ac:dyDescent="0.2">
      <c r="A486" s="2" t="s">
        <v>1207</v>
      </c>
      <c r="B486" s="2" t="s">
        <v>1208</v>
      </c>
      <c r="C486" s="2" t="s">
        <v>1209</v>
      </c>
      <c r="D486" s="2">
        <v>2018</v>
      </c>
      <c r="E486" s="2" t="s">
        <v>1326</v>
      </c>
      <c r="F486" s="2" t="s">
        <v>1398</v>
      </c>
      <c r="G486" s="2" t="s">
        <v>1480</v>
      </c>
      <c r="H486" s="2" t="s">
        <v>1668</v>
      </c>
      <c r="I486" s="2" t="s">
        <v>1789</v>
      </c>
      <c r="J486" s="2" t="s">
        <v>32</v>
      </c>
      <c r="K486" s="2" t="s">
        <v>38</v>
      </c>
      <c r="L486" s="2" t="s">
        <v>11</v>
      </c>
      <c r="M486" s="2" t="s">
        <v>14</v>
      </c>
      <c r="N486" s="2" t="s">
        <v>21</v>
      </c>
      <c r="O486" s="2">
        <v>0</v>
      </c>
      <c r="P486" s="2" t="s">
        <v>22</v>
      </c>
      <c r="Q486" s="2" t="s">
        <v>28</v>
      </c>
      <c r="T486" s="2" t="s">
        <v>51</v>
      </c>
      <c r="U486" s="2" t="s">
        <v>56</v>
      </c>
      <c r="X486" s="2">
        <v>10</v>
      </c>
      <c r="Y486" s="2">
        <v>8</v>
      </c>
      <c r="AB486" s="2">
        <v>0.26302373869344314</v>
      </c>
      <c r="AC486" s="2">
        <v>0.11050190759502501</v>
      </c>
      <c r="AD486" s="2">
        <v>0.16789168197566948</v>
      </c>
      <c r="AE486" s="2">
        <v>7.3463049210421447E-2</v>
      </c>
      <c r="AF486" s="2" t="s">
        <v>74</v>
      </c>
      <c r="AG486" s="2" t="s">
        <v>64</v>
      </c>
      <c r="AH486" s="2" t="str">
        <f t="shared" si="15"/>
        <v>mean</v>
      </c>
      <c r="AR486" s="2" t="s">
        <v>849</v>
      </c>
      <c r="AS486" s="2" t="s">
        <v>849</v>
      </c>
      <c r="AU486" s="2" t="s">
        <v>1818</v>
      </c>
      <c r="AV486" s="2" t="s">
        <v>1830</v>
      </c>
      <c r="AW486" s="2" t="s">
        <v>1823</v>
      </c>
      <c r="AX486" s="2" t="s">
        <v>1829</v>
      </c>
      <c r="AY486" s="2" t="s">
        <v>79</v>
      </c>
    </row>
    <row r="487" spans="1:51" x14ac:dyDescent="0.2">
      <c r="A487" s="2" t="s">
        <v>1210</v>
      </c>
      <c r="B487" s="2" t="s">
        <v>1211</v>
      </c>
      <c r="C487" s="2" t="s">
        <v>1212</v>
      </c>
      <c r="D487" s="2">
        <v>2014</v>
      </c>
      <c r="E487" s="2" t="s">
        <v>1327</v>
      </c>
      <c r="F487" s="2" t="s">
        <v>1399</v>
      </c>
      <c r="G487" s="2" t="s">
        <v>1481</v>
      </c>
      <c r="H487" s="2" t="s">
        <v>1669</v>
      </c>
      <c r="I487" s="2" t="s">
        <v>512</v>
      </c>
      <c r="J487" s="2" t="s">
        <v>86</v>
      </c>
      <c r="K487" s="2" t="s">
        <v>38</v>
      </c>
      <c r="L487" s="2" t="s">
        <v>11</v>
      </c>
      <c r="M487" s="2" t="s">
        <v>14</v>
      </c>
      <c r="N487" s="2" t="s">
        <v>20</v>
      </c>
      <c r="O487" s="2">
        <v>0</v>
      </c>
      <c r="P487" s="2" t="s">
        <v>23</v>
      </c>
      <c r="Q487" s="2" t="s">
        <v>77</v>
      </c>
      <c r="T487" s="2" t="s">
        <v>50</v>
      </c>
      <c r="U487" s="2" t="s">
        <v>56</v>
      </c>
      <c r="X487" s="2">
        <v>192</v>
      </c>
      <c r="Y487" s="2">
        <v>211</v>
      </c>
      <c r="AB487" s="2">
        <v>0.65855436279289237</v>
      </c>
      <c r="AC487" s="2">
        <v>0.33305948792947726</v>
      </c>
      <c r="AD487" s="2">
        <v>0.61836027876753974</v>
      </c>
      <c r="AE487" s="2">
        <v>0.3252924428992286</v>
      </c>
      <c r="AF487" s="2" t="s">
        <v>74</v>
      </c>
      <c r="AG487" s="2" t="s">
        <v>64</v>
      </c>
      <c r="AH487" s="2" t="str">
        <f t="shared" si="15"/>
        <v>mean</v>
      </c>
      <c r="AR487" s="2" t="s">
        <v>849</v>
      </c>
      <c r="AS487" s="2" t="s">
        <v>849</v>
      </c>
      <c r="AU487" s="2" t="s">
        <v>1818</v>
      </c>
      <c r="AV487" s="2" t="s">
        <v>1830</v>
      </c>
      <c r="AW487" s="2" t="s">
        <v>1831</v>
      </c>
      <c r="AX487" s="2" t="s">
        <v>1829</v>
      </c>
      <c r="AY487" s="2" t="s">
        <v>79</v>
      </c>
    </row>
    <row r="488" spans="1:51" x14ac:dyDescent="0.2">
      <c r="A488" s="2" t="s">
        <v>1210</v>
      </c>
      <c r="B488" s="2" t="s">
        <v>1211</v>
      </c>
      <c r="C488" s="2" t="s">
        <v>1212</v>
      </c>
      <c r="D488" s="2">
        <v>2014</v>
      </c>
      <c r="E488" s="2" t="s">
        <v>1327</v>
      </c>
      <c r="F488" s="2" t="s">
        <v>1399</v>
      </c>
      <c r="G488" s="2" t="s">
        <v>1481</v>
      </c>
      <c r="H488" s="2" t="s">
        <v>1670</v>
      </c>
      <c r="I488" s="2" t="s">
        <v>512</v>
      </c>
      <c r="J488" s="2" t="s">
        <v>86</v>
      </c>
      <c r="K488" s="2" t="s">
        <v>38</v>
      </c>
      <c r="L488" s="2" t="s">
        <v>11</v>
      </c>
      <c r="M488" s="2" t="s">
        <v>14</v>
      </c>
      <c r="N488" s="2" t="s">
        <v>20</v>
      </c>
      <c r="O488" s="2">
        <v>0</v>
      </c>
      <c r="P488" s="2" t="s">
        <v>23</v>
      </c>
      <c r="Q488" s="2" t="s">
        <v>77</v>
      </c>
      <c r="T488" s="2" t="s">
        <v>50</v>
      </c>
      <c r="U488" s="2" t="s">
        <v>56</v>
      </c>
      <c r="X488" s="2">
        <v>192</v>
      </c>
      <c r="Y488" s="2">
        <v>214</v>
      </c>
      <c r="AB488" s="2">
        <v>0.65855436279289237</v>
      </c>
      <c r="AC488" s="2">
        <v>0.33305948792947726</v>
      </c>
      <c r="AD488" s="2">
        <v>0.67461407910617199</v>
      </c>
      <c r="AE488" s="2">
        <v>0.32526684150323609</v>
      </c>
      <c r="AF488" s="2" t="s">
        <v>74</v>
      </c>
      <c r="AG488" s="2" t="s">
        <v>64</v>
      </c>
      <c r="AH488" s="2" t="str">
        <f t="shared" si="15"/>
        <v>mean</v>
      </c>
      <c r="AR488" s="2" t="s">
        <v>849</v>
      </c>
      <c r="AS488" s="2" t="s">
        <v>849</v>
      </c>
      <c r="AU488" s="2" t="s">
        <v>1818</v>
      </c>
      <c r="AV488" s="2" t="s">
        <v>1830</v>
      </c>
      <c r="AW488" s="2" t="s">
        <v>1831</v>
      </c>
      <c r="AX488" s="2" t="s">
        <v>1829</v>
      </c>
      <c r="AY488" s="2" t="s">
        <v>79</v>
      </c>
    </row>
    <row r="489" spans="1:51" x14ac:dyDescent="0.2">
      <c r="A489" s="2" t="s">
        <v>1210</v>
      </c>
      <c r="B489" s="2" t="s">
        <v>1211</v>
      </c>
      <c r="C489" s="2" t="s">
        <v>1212</v>
      </c>
      <c r="D489" s="2">
        <v>2014</v>
      </c>
      <c r="E489" s="2" t="s">
        <v>1327</v>
      </c>
      <c r="F489" s="2" t="s">
        <v>1399</v>
      </c>
      <c r="G489" s="2" t="s">
        <v>1481</v>
      </c>
      <c r="H489" s="2" t="s">
        <v>1671</v>
      </c>
      <c r="I489" s="2" t="s">
        <v>512</v>
      </c>
      <c r="J489" s="2" t="s">
        <v>86</v>
      </c>
      <c r="K489" s="2" t="s">
        <v>38</v>
      </c>
      <c r="L489" s="2" t="s">
        <v>11</v>
      </c>
      <c r="M489" s="2" t="s">
        <v>14</v>
      </c>
      <c r="N489" s="2" t="s">
        <v>20</v>
      </c>
      <c r="O489" s="2">
        <v>0</v>
      </c>
      <c r="P489" s="2" t="s">
        <v>23</v>
      </c>
      <c r="Q489" s="2" t="s">
        <v>77</v>
      </c>
      <c r="T489" s="2" t="s">
        <v>50</v>
      </c>
      <c r="U489" s="2" t="s">
        <v>56</v>
      </c>
      <c r="X489" s="2">
        <v>192</v>
      </c>
      <c r="Y489" s="2">
        <v>183</v>
      </c>
      <c r="AB489" s="2">
        <v>0.65855436279289237</v>
      </c>
      <c r="AC489" s="2">
        <v>0.33305948792947726</v>
      </c>
      <c r="AD489" s="2">
        <v>0.68877426003917197</v>
      </c>
      <c r="AE489" s="2">
        <v>0.29803162957839952</v>
      </c>
      <c r="AF489" s="2" t="s">
        <v>74</v>
      </c>
      <c r="AG489" s="2" t="s">
        <v>64</v>
      </c>
      <c r="AH489" s="2" t="str">
        <f t="shared" si="15"/>
        <v>mean</v>
      </c>
      <c r="AR489" s="2" t="s">
        <v>849</v>
      </c>
      <c r="AS489" s="2" t="s">
        <v>849</v>
      </c>
      <c r="AU489" s="2" t="s">
        <v>1818</v>
      </c>
      <c r="AV489" s="2" t="s">
        <v>1830</v>
      </c>
      <c r="AW489" s="2" t="s">
        <v>1831</v>
      </c>
      <c r="AX489" s="2" t="s">
        <v>1829</v>
      </c>
      <c r="AY489" s="2" t="s">
        <v>79</v>
      </c>
    </row>
    <row r="490" spans="1:51" x14ac:dyDescent="0.2">
      <c r="A490" s="2" t="s">
        <v>1210</v>
      </c>
      <c r="B490" s="2" t="s">
        <v>1211</v>
      </c>
      <c r="C490" s="2" t="s">
        <v>1212</v>
      </c>
      <c r="D490" s="2">
        <v>2014</v>
      </c>
      <c r="E490" s="2" t="s">
        <v>1327</v>
      </c>
      <c r="F490" s="2" t="s">
        <v>1399</v>
      </c>
      <c r="G490" s="2" t="s">
        <v>1481</v>
      </c>
      <c r="H490" s="2" t="s">
        <v>1672</v>
      </c>
      <c r="I490" s="2" t="s">
        <v>512</v>
      </c>
      <c r="J490" s="2" t="s">
        <v>86</v>
      </c>
      <c r="K490" s="2" t="s">
        <v>38</v>
      </c>
      <c r="L490" s="2" t="s">
        <v>11</v>
      </c>
      <c r="M490" s="2" t="s">
        <v>14</v>
      </c>
      <c r="N490" s="2" t="s">
        <v>20</v>
      </c>
      <c r="O490" s="2">
        <v>0</v>
      </c>
      <c r="P490" s="2" t="s">
        <v>23</v>
      </c>
      <c r="Q490" s="2" t="s">
        <v>77</v>
      </c>
      <c r="T490" s="2" t="s">
        <v>50</v>
      </c>
      <c r="U490" s="2" t="s">
        <v>56</v>
      </c>
      <c r="X490" s="2">
        <v>192</v>
      </c>
      <c r="Y490" s="2">
        <v>213</v>
      </c>
      <c r="AB490" s="2">
        <v>0.65855436279289237</v>
      </c>
      <c r="AC490" s="2">
        <v>0.33305948792947726</v>
      </c>
      <c r="AD490" s="2">
        <v>0.69191114318359803</v>
      </c>
      <c r="AE490" s="2">
        <v>0.3147331746788723</v>
      </c>
      <c r="AF490" s="2" t="s">
        <v>74</v>
      </c>
      <c r="AG490" s="2" t="s">
        <v>64</v>
      </c>
      <c r="AH490" s="2" t="str">
        <f t="shared" si="15"/>
        <v>mean</v>
      </c>
      <c r="AR490" s="2" t="s">
        <v>849</v>
      </c>
      <c r="AS490" s="2" t="s">
        <v>849</v>
      </c>
      <c r="AU490" s="2" t="s">
        <v>1818</v>
      </c>
      <c r="AV490" s="2" t="s">
        <v>1830</v>
      </c>
      <c r="AW490" s="2" t="s">
        <v>1831</v>
      </c>
      <c r="AX490" s="2" t="s">
        <v>1829</v>
      </c>
      <c r="AY490" s="2" t="s">
        <v>79</v>
      </c>
    </row>
    <row r="491" spans="1:51" x14ac:dyDescent="0.2">
      <c r="A491" s="2" t="s">
        <v>1213</v>
      </c>
      <c r="B491" s="2" t="s">
        <v>1214</v>
      </c>
      <c r="C491" s="2" t="s">
        <v>1215</v>
      </c>
      <c r="D491" s="2">
        <v>2015</v>
      </c>
      <c r="E491" s="2" t="s">
        <v>1328</v>
      </c>
      <c r="F491" s="2" t="s">
        <v>1400</v>
      </c>
      <c r="G491" s="2" t="s">
        <v>1482</v>
      </c>
      <c r="H491" s="2" t="s">
        <v>1673</v>
      </c>
      <c r="I491" s="2" t="s">
        <v>1773</v>
      </c>
      <c r="J491" s="2" t="s">
        <v>84</v>
      </c>
      <c r="K491" s="2" t="s">
        <v>38</v>
      </c>
      <c r="L491" s="2" t="s">
        <v>11</v>
      </c>
      <c r="M491" s="2" t="s">
        <v>14</v>
      </c>
      <c r="N491" s="2" t="s">
        <v>16</v>
      </c>
      <c r="O491" s="2">
        <v>1</v>
      </c>
      <c r="P491" s="2" t="s">
        <v>23</v>
      </c>
      <c r="Q491" s="2" t="s">
        <v>81</v>
      </c>
      <c r="T491" s="2" t="s">
        <v>51</v>
      </c>
      <c r="U491" s="2" t="s">
        <v>52</v>
      </c>
      <c r="V491" s="2">
        <v>8</v>
      </c>
      <c r="W491" s="2" t="s">
        <v>1216</v>
      </c>
      <c r="X491" s="2">
        <v>60</v>
      </c>
      <c r="Y491" s="2">
        <v>49</v>
      </c>
      <c r="AB491" s="2">
        <v>73.138297872340402</v>
      </c>
      <c r="AC491" s="2">
        <v>5.1502438114459297</v>
      </c>
      <c r="AD491" s="2">
        <v>56.648936170212799</v>
      </c>
      <c r="AE491" s="2">
        <v>26.0353187524973</v>
      </c>
      <c r="AF491" s="2" t="s">
        <v>74</v>
      </c>
      <c r="AG491" s="2" t="s">
        <v>64</v>
      </c>
      <c r="AH491" s="2" t="str">
        <f t="shared" si="15"/>
        <v>mean</v>
      </c>
      <c r="AR491" s="2" t="s">
        <v>849</v>
      </c>
      <c r="AS491" s="2" t="s">
        <v>849</v>
      </c>
      <c r="AU491" s="2" t="s">
        <v>1818</v>
      </c>
      <c r="AV491" s="2" t="s">
        <v>1822</v>
      </c>
      <c r="AW491" s="2" t="s">
        <v>1823</v>
      </c>
      <c r="AX491" s="2" t="s">
        <v>1821</v>
      </c>
      <c r="AY491" s="2" t="s">
        <v>1824</v>
      </c>
    </row>
    <row r="492" spans="1:51" x14ac:dyDescent="0.2">
      <c r="A492" s="2" t="s">
        <v>1217</v>
      </c>
      <c r="B492" s="2" t="s">
        <v>1218</v>
      </c>
      <c r="C492" s="2" t="s">
        <v>1219</v>
      </c>
      <c r="D492" s="2">
        <v>2013</v>
      </c>
      <c r="E492" s="2" t="s">
        <v>1329</v>
      </c>
      <c r="F492" s="2" t="s">
        <v>1401</v>
      </c>
      <c r="G492" s="2" t="s">
        <v>1483</v>
      </c>
      <c r="H492" s="2" t="s">
        <v>1674</v>
      </c>
      <c r="I492" s="2" t="s">
        <v>1220</v>
      </c>
      <c r="J492" s="2" t="s">
        <v>34</v>
      </c>
      <c r="K492" s="2" t="s">
        <v>38</v>
      </c>
      <c r="L492" s="2" t="s">
        <v>11</v>
      </c>
      <c r="M492" s="2" t="s">
        <v>14</v>
      </c>
      <c r="N492" s="2" t="s">
        <v>21</v>
      </c>
      <c r="O492" s="2">
        <v>0</v>
      </c>
      <c r="P492" s="2" t="s">
        <v>22</v>
      </c>
      <c r="Q492" s="2" t="s">
        <v>29</v>
      </c>
      <c r="T492" s="2" t="s">
        <v>50</v>
      </c>
      <c r="U492" s="2" t="s">
        <v>54</v>
      </c>
      <c r="X492" s="2">
        <v>34</v>
      </c>
      <c r="Y492" s="2">
        <v>63</v>
      </c>
      <c r="Z492" s="2">
        <v>16</v>
      </c>
      <c r="AA492" s="2">
        <v>46</v>
      </c>
      <c r="AH492" s="2" t="s">
        <v>1804</v>
      </c>
      <c r="AR492" s="2" t="s">
        <v>849</v>
      </c>
      <c r="AS492" s="2" t="s">
        <v>849</v>
      </c>
      <c r="AU492" s="2" t="s">
        <v>1818</v>
      </c>
      <c r="AV492" s="2" t="s">
        <v>1830</v>
      </c>
      <c r="AW492" s="2" t="s">
        <v>1820</v>
      </c>
      <c r="AX492" s="2" t="s">
        <v>1826</v>
      </c>
      <c r="AY492" s="2" t="s">
        <v>79</v>
      </c>
    </row>
    <row r="493" spans="1:51" x14ac:dyDescent="0.2">
      <c r="A493" s="2" t="s">
        <v>1217</v>
      </c>
      <c r="B493" s="2" t="s">
        <v>1218</v>
      </c>
      <c r="C493" s="2" t="s">
        <v>1219</v>
      </c>
      <c r="D493" s="2">
        <v>2013</v>
      </c>
      <c r="E493" s="2" t="s">
        <v>1329</v>
      </c>
      <c r="F493" s="2" t="s">
        <v>1401</v>
      </c>
      <c r="G493" s="2" t="s">
        <v>1483</v>
      </c>
      <c r="H493" s="2" t="s">
        <v>1675</v>
      </c>
      <c r="I493" s="2" t="s">
        <v>1220</v>
      </c>
      <c r="J493" s="2" t="s">
        <v>34</v>
      </c>
      <c r="K493" s="2" t="s">
        <v>38</v>
      </c>
      <c r="L493" s="2" t="s">
        <v>11</v>
      </c>
      <c r="M493" s="2" t="s">
        <v>14</v>
      </c>
      <c r="N493" s="2" t="s">
        <v>21</v>
      </c>
      <c r="O493" s="2">
        <v>0</v>
      </c>
      <c r="P493" s="2" t="s">
        <v>22</v>
      </c>
      <c r="Q493" s="2" t="s">
        <v>30</v>
      </c>
      <c r="T493" s="2" t="s">
        <v>50</v>
      </c>
      <c r="U493" s="2" t="s">
        <v>54</v>
      </c>
      <c r="X493" s="2">
        <v>30</v>
      </c>
      <c r="Y493" s="2">
        <v>37</v>
      </c>
      <c r="Z493" s="2">
        <v>15</v>
      </c>
      <c r="AA493" s="2">
        <v>16</v>
      </c>
      <c r="AH493" s="2" t="s">
        <v>1804</v>
      </c>
      <c r="AR493" s="2" t="s">
        <v>849</v>
      </c>
      <c r="AS493" s="2" t="s">
        <v>849</v>
      </c>
      <c r="AU493" s="2" t="s">
        <v>1818</v>
      </c>
      <c r="AV493" s="2" t="s">
        <v>1830</v>
      </c>
      <c r="AW493" s="2" t="s">
        <v>1820</v>
      </c>
      <c r="AX493" s="2" t="s">
        <v>1826</v>
      </c>
      <c r="AY493" s="2" t="s">
        <v>79</v>
      </c>
    </row>
    <row r="494" spans="1:51" x14ac:dyDescent="0.2">
      <c r="A494" s="2" t="s">
        <v>1221</v>
      </c>
      <c r="B494" s="2" t="s">
        <v>1222</v>
      </c>
      <c r="C494" s="2" t="s">
        <v>1223</v>
      </c>
      <c r="D494" s="2">
        <v>2000</v>
      </c>
      <c r="E494" s="2" t="s">
        <v>1330</v>
      </c>
      <c r="F494" s="2" t="s">
        <v>1402</v>
      </c>
      <c r="G494" s="2" t="s">
        <v>1484</v>
      </c>
      <c r="H494" s="2" t="s">
        <v>1676</v>
      </c>
      <c r="I494" s="2" t="s">
        <v>1068</v>
      </c>
      <c r="J494" s="2" t="s">
        <v>32</v>
      </c>
      <c r="K494" s="2" t="s">
        <v>37</v>
      </c>
      <c r="P494" s="2" t="s">
        <v>22</v>
      </c>
      <c r="Q494" s="2" t="s">
        <v>28</v>
      </c>
      <c r="R494" s="2" t="s">
        <v>41</v>
      </c>
      <c r="S494" s="2" t="s">
        <v>46</v>
      </c>
      <c r="T494" s="2" t="s">
        <v>50</v>
      </c>
      <c r="U494" s="2" t="s">
        <v>53</v>
      </c>
      <c r="V494" s="2">
        <v>2455</v>
      </c>
      <c r="W494" s="2">
        <v>1</v>
      </c>
      <c r="AH494" s="2" t="s">
        <v>4</v>
      </c>
      <c r="AN494" s="2">
        <v>82</v>
      </c>
      <c r="AO494" s="2">
        <v>0.62</v>
      </c>
      <c r="AR494" s="2" t="s">
        <v>849</v>
      </c>
      <c r="AS494" s="2" t="s">
        <v>849</v>
      </c>
      <c r="AU494" s="2" t="s">
        <v>1818</v>
      </c>
      <c r="AV494" s="2" t="s">
        <v>1819</v>
      </c>
      <c r="AW494" s="2" t="s">
        <v>1823</v>
      </c>
      <c r="AX494" s="2" t="s">
        <v>1829</v>
      </c>
      <c r="AY494" s="2" t="s">
        <v>79</v>
      </c>
    </row>
    <row r="495" spans="1:51" x14ac:dyDescent="0.2">
      <c r="A495" s="2" t="s">
        <v>1221</v>
      </c>
      <c r="B495" s="2" t="s">
        <v>1222</v>
      </c>
      <c r="C495" s="2" t="s">
        <v>1223</v>
      </c>
      <c r="D495" s="2">
        <v>2000</v>
      </c>
      <c r="E495" s="2" t="s">
        <v>1330</v>
      </c>
      <c r="F495" s="2" t="s">
        <v>1402</v>
      </c>
      <c r="G495" s="2" t="s">
        <v>1484</v>
      </c>
      <c r="H495" s="2" t="s">
        <v>1677</v>
      </c>
      <c r="I495" s="2" t="s">
        <v>1068</v>
      </c>
      <c r="J495" s="2" t="s">
        <v>32</v>
      </c>
      <c r="K495" s="2" t="s">
        <v>37</v>
      </c>
      <c r="P495" s="2" t="s">
        <v>22</v>
      </c>
      <c r="Q495" s="2" t="s">
        <v>28</v>
      </c>
      <c r="R495" s="2" t="s">
        <v>41</v>
      </c>
      <c r="S495" s="2" t="s">
        <v>46</v>
      </c>
      <c r="T495" s="2" t="s">
        <v>50</v>
      </c>
      <c r="U495" s="2" t="s">
        <v>53</v>
      </c>
      <c r="V495" s="2">
        <v>2455</v>
      </c>
      <c r="W495" s="2">
        <v>1</v>
      </c>
      <c r="AH495" s="2" t="s">
        <v>4</v>
      </c>
      <c r="AN495" s="2">
        <v>82</v>
      </c>
      <c r="AO495" s="2">
        <v>-0.22</v>
      </c>
      <c r="AR495" s="2" t="s">
        <v>849</v>
      </c>
      <c r="AS495" s="2" t="s">
        <v>222</v>
      </c>
      <c r="AU495" s="2" t="s">
        <v>1818</v>
      </c>
      <c r="AV495" s="2" t="s">
        <v>1819</v>
      </c>
      <c r="AW495" s="2" t="s">
        <v>1823</v>
      </c>
      <c r="AX495" s="2" t="s">
        <v>1829</v>
      </c>
      <c r="AY495" s="2" t="s">
        <v>79</v>
      </c>
    </row>
    <row r="496" spans="1:51" x14ac:dyDescent="0.2">
      <c r="A496" s="2" t="s">
        <v>1221</v>
      </c>
      <c r="B496" s="2" t="s">
        <v>1222</v>
      </c>
      <c r="C496" s="2" t="s">
        <v>1223</v>
      </c>
      <c r="D496" s="2">
        <v>2000</v>
      </c>
      <c r="E496" s="2" t="s">
        <v>1330</v>
      </c>
      <c r="F496" s="2" t="s">
        <v>1402</v>
      </c>
      <c r="G496" s="2" t="s">
        <v>1484</v>
      </c>
      <c r="H496" s="2" t="s">
        <v>1678</v>
      </c>
      <c r="I496" s="2" t="s">
        <v>1068</v>
      </c>
      <c r="J496" s="2" t="s">
        <v>32</v>
      </c>
      <c r="K496" s="2" t="s">
        <v>37</v>
      </c>
      <c r="P496" s="2" t="s">
        <v>22</v>
      </c>
      <c r="Q496" s="2" t="s">
        <v>28</v>
      </c>
      <c r="R496" s="2" t="s">
        <v>41</v>
      </c>
      <c r="S496" s="2" t="s">
        <v>46</v>
      </c>
      <c r="T496" s="2" t="s">
        <v>50</v>
      </c>
      <c r="U496" s="2" t="s">
        <v>53</v>
      </c>
      <c r="V496" s="2">
        <v>2455</v>
      </c>
      <c r="W496" s="2">
        <v>1</v>
      </c>
      <c r="AH496" s="2" t="s">
        <v>4</v>
      </c>
      <c r="AN496" s="2">
        <v>78</v>
      </c>
      <c r="AO496" s="2">
        <v>-0.23</v>
      </c>
      <c r="AR496" s="2" t="s">
        <v>849</v>
      </c>
      <c r="AS496" s="2" t="s">
        <v>222</v>
      </c>
      <c r="AU496" s="2" t="s">
        <v>1818</v>
      </c>
      <c r="AV496" s="2" t="s">
        <v>1819</v>
      </c>
      <c r="AW496" s="2" t="s">
        <v>1823</v>
      </c>
      <c r="AX496" s="2" t="s">
        <v>1829</v>
      </c>
      <c r="AY496" s="2" t="s">
        <v>79</v>
      </c>
    </row>
    <row r="497" spans="1:51" x14ac:dyDescent="0.2">
      <c r="A497" s="2" t="s">
        <v>1221</v>
      </c>
      <c r="B497" s="2" t="s">
        <v>1222</v>
      </c>
      <c r="C497" s="2" t="s">
        <v>1223</v>
      </c>
      <c r="D497" s="2">
        <v>2000</v>
      </c>
      <c r="E497" s="2" t="s">
        <v>1330</v>
      </c>
      <c r="F497" s="2" t="s">
        <v>1402</v>
      </c>
      <c r="G497" s="2" t="s">
        <v>1484</v>
      </c>
      <c r="H497" s="2" t="s">
        <v>1679</v>
      </c>
      <c r="I497" s="2" t="s">
        <v>1068</v>
      </c>
      <c r="J497" s="2" t="s">
        <v>32</v>
      </c>
      <c r="K497" s="2" t="s">
        <v>37</v>
      </c>
      <c r="P497" s="2" t="s">
        <v>22</v>
      </c>
      <c r="Q497" s="2" t="s">
        <v>28</v>
      </c>
      <c r="R497" s="2" t="s">
        <v>40</v>
      </c>
      <c r="S497" s="2" t="s">
        <v>45</v>
      </c>
      <c r="T497" s="2" t="s">
        <v>50</v>
      </c>
      <c r="U497" s="2" t="s">
        <v>53</v>
      </c>
      <c r="V497" s="2">
        <v>2455</v>
      </c>
      <c r="W497" s="2">
        <v>1</v>
      </c>
      <c r="AH497" s="2" t="s">
        <v>4</v>
      </c>
      <c r="AN497" s="2">
        <v>81</v>
      </c>
      <c r="AO497" s="2">
        <v>0.02</v>
      </c>
      <c r="AR497" s="2" t="s">
        <v>849</v>
      </c>
      <c r="AS497" s="2" t="s">
        <v>849</v>
      </c>
      <c r="AU497" s="2" t="s">
        <v>1818</v>
      </c>
      <c r="AV497" s="2" t="s">
        <v>1819</v>
      </c>
      <c r="AW497" s="2" t="s">
        <v>1823</v>
      </c>
      <c r="AX497" s="2" t="s">
        <v>1829</v>
      </c>
      <c r="AY497" s="2" t="s">
        <v>79</v>
      </c>
    </row>
    <row r="498" spans="1:51" x14ac:dyDescent="0.2">
      <c r="A498" s="2" t="s">
        <v>1221</v>
      </c>
      <c r="B498" s="2" t="s">
        <v>1222</v>
      </c>
      <c r="C498" s="2" t="s">
        <v>1223</v>
      </c>
      <c r="D498" s="2">
        <v>2000</v>
      </c>
      <c r="E498" s="2" t="s">
        <v>1330</v>
      </c>
      <c r="F498" s="2" t="s">
        <v>1402</v>
      </c>
      <c r="G498" s="2" t="s">
        <v>1484</v>
      </c>
      <c r="H498" s="2" t="s">
        <v>1680</v>
      </c>
      <c r="I498" s="2" t="s">
        <v>1068</v>
      </c>
      <c r="J498" s="2" t="s">
        <v>32</v>
      </c>
      <c r="K498" s="2" t="s">
        <v>37</v>
      </c>
      <c r="P498" s="2" t="s">
        <v>22</v>
      </c>
      <c r="Q498" s="2" t="s">
        <v>28</v>
      </c>
      <c r="R498" s="2" t="s">
        <v>40</v>
      </c>
      <c r="S498" s="2" t="s">
        <v>45</v>
      </c>
      <c r="T498" s="2" t="s">
        <v>50</v>
      </c>
      <c r="U498" s="2" t="s">
        <v>53</v>
      </c>
      <c r="V498" s="2">
        <v>2455</v>
      </c>
      <c r="W498" s="2">
        <v>1</v>
      </c>
      <c r="AH498" s="2" t="s">
        <v>4</v>
      </c>
      <c r="AN498" s="2">
        <v>83</v>
      </c>
      <c r="AO498" s="2">
        <v>-0.08</v>
      </c>
      <c r="AR498" s="2" t="s">
        <v>849</v>
      </c>
      <c r="AS498" s="2" t="s">
        <v>222</v>
      </c>
      <c r="AU498" s="2" t="s">
        <v>1818</v>
      </c>
      <c r="AV498" s="2" t="s">
        <v>1819</v>
      </c>
      <c r="AW498" s="2" t="s">
        <v>1823</v>
      </c>
      <c r="AX498" s="2" t="s">
        <v>1829</v>
      </c>
      <c r="AY498" s="2" t="s">
        <v>79</v>
      </c>
    </row>
    <row r="499" spans="1:51" x14ac:dyDescent="0.2">
      <c r="A499" s="2" t="s">
        <v>1221</v>
      </c>
      <c r="B499" s="2" t="s">
        <v>1222</v>
      </c>
      <c r="C499" s="2" t="s">
        <v>1223</v>
      </c>
      <c r="D499" s="2">
        <v>2000</v>
      </c>
      <c r="E499" s="2" t="s">
        <v>1330</v>
      </c>
      <c r="F499" s="2" t="s">
        <v>1402</v>
      </c>
      <c r="G499" s="2" t="s">
        <v>1484</v>
      </c>
      <c r="H499" s="2" t="s">
        <v>1681</v>
      </c>
      <c r="I499" s="2" t="s">
        <v>1068</v>
      </c>
      <c r="J499" s="2" t="s">
        <v>32</v>
      </c>
      <c r="K499" s="2" t="s">
        <v>37</v>
      </c>
      <c r="P499" s="2" t="s">
        <v>22</v>
      </c>
      <c r="Q499" s="2" t="s">
        <v>28</v>
      </c>
      <c r="R499" s="2" t="s">
        <v>40</v>
      </c>
      <c r="S499" s="2" t="s">
        <v>45</v>
      </c>
      <c r="T499" s="2" t="s">
        <v>50</v>
      </c>
      <c r="U499" s="2" t="s">
        <v>53</v>
      </c>
      <c r="V499" s="2">
        <v>2455</v>
      </c>
      <c r="W499" s="2">
        <v>1</v>
      </c>
      <c r="AH499" s="2" t="s">
        <v>4</v>
      </c>
      <c r="AN499" s="2">
        <v>79</v>
      </c>
      <c r="AO499" s="2">
        <v>0.05</v>
      </c>
      <c r="AR499" s="2" t="s">
        <v>849</v>
      </c>
      <c r="AS499" s="2" t="s">
        <v>222</v>
      </c>
      <c r="AU499" s="2" t="s">
        <v>1818</v>
      </c>
      <c r="AV499" s="2" t="s">
        <v>1819</v>
      </c>
      <c r="AW499" s="2" t="s">
        <v>1823</v>
      </c>
      <c r="AX499" s="2" t="s">
        <v>1829</v>
      </c>
      <c r="AY499" s="2" t="s">
        <v>79</v>
      </c>
    </row>
    <row r="500" spans="1:51" x14ac:dyDescent="0.2">
      <c r="A500" s="2" t="s">
        <v>1224</v>
      </c>
      <c r="B500" s="2" t="s">
        <v>665</v>
      </c>
      <c r="C500" s="2" t="s">
        <v>1225</v>
      </c>
      <c r="D500" s="2">
        <v>2003</v>
      </c>
      <c r="E500" s="2" t="s">
        <v>1331</v>
      </c>
      <c r="F500" s="2" t="s">
        <v>1403</v>
      </c>
      <c r="G500" s="2" t="s">
        <v>1485</v>
      </c>
      <c r="H500" s="2" t="s">
        <v>1682</v>
      </c>
      <c r="I500" s="2" t="s">
        <v>230</v>
      </c>
      <c r="J500" s="2" t="s">
        <v>34</v>
      </c>
      <c r="K500" s="2" t="s">
        <v>37</v>
      </c>
      <c r="P500" s="2" t="s">
        <v>22</v>
      </c>
      <c r="Q500" s="2" t="s">
        <v>27</v>
      </c>
      <c r="R500" s="2" t="s">
        <v>41</v>
      </c>
      <c r="S500" s="2" t="s">
        <v>46</v>
      </c>
      <c r="T500" s="2" t="s">
        <v>50</v>
      </c>
      <c r="U500" s="2" t="s">
        <v>52</v>
      </c>
      <c r="V500" s="2">
        <v>506</v>
      </c>
      <c r="W500" s="2">
        <v>2</v>
      </c>
      <c r="X500" s="2">
        <v>19</v>
      </c>
      <c r="Y500" s="2">
        <v>19</v>
      </c>
      <c r="AB500" s="2">
        <v>46.291793313069903</v>
      </c>
      <c r="AC500" s="2">
        <v>15.501251562135501</v>
      </c>
      <c r="AD500" s="2">
        <v>60.607902735562298</v>
      </c>
      <c r="AE500" s="2">
        <v>12.718975640726599</v>
      </c>
      <c r="AF500" s="2" t="s">
        <v>74</v>
      </c>
      <c r="AG500" s="2" t="s">
        <v>64</v>
      </c>
      <c r="AH500" s="2" t="str">
        <f>IF(AF500="mean", "mean", "")</f>
        <v>mean</v>
      </c>
      <c r="AR500" s="2" t="s">
        <v>849</v>
      </c>
      <c r="AS500" s="2" t="s">
        <v>849</v>
      </c>
      <c r="AU500" s="2" t="s">
        <v>1818</v>
      </c>
      <c r="AV500" s="2" t="s">
        <v>1830</v>
      </c>
      <c r="AW500" s="2" t="s">
        <v>1820</v>
      </c>
      <c r="AX500" s="2" t="s">
        <v>1821</v>
      </c>
      <c r="AY500" s="2" t="s">
        <v>79</v>
      </c>
    </row>
    <row r="501" spans="1:51" x14ac:dyDescent="0.2">
      <c r="A501" s="2" t="s">
        <v>1224</v>
      </c>
      <c r="B501" s="2" t="s">
        <v>665</v>
      </c>
      <c r="C501" s="2" t="s">
        <v>1225</v>
      </c>
      <c r="D501" s="2">
        <v>2003</v>
      </c>
      <c r="E501" s="2" t="s">
        <v>1331</v>
      </c>
      <c r="F501" s="2" t="s">
        <v>1403</v>
      </c>
      <c r="G501" s="2" t="s">
        <v>1485</v>
      </c>
      <c r="H501" s="2" t="s">
        <v>1683</v>
      </c>
      <c r="I501" s="2" t="s">
        <v>230</v>
      </c>
      <c r="J501" s="2" t="s">
        <v>34</v>
      </c>
      <c r="K501" s="2" t="s">
        <v>37</v>
      </c>
      <c r="P501" s="2" t="s">
        <v>22</v>
      </c>
      <c r="Q501" s="2" t="s">
        <v>27</v>
      </c>
      <c r="R501" s="2" t="s">
        <v>40</v>
      </c>
      <c r="S501" s="2" t="s">
        <v>43</v>
      </c>
      <c r="T501" s="2" t="s">
        <v>50</v>
      </c>
      <c r="U501" s="2" t="s">
        <v>52</v>
      </c>
      <c r="V501" s="2">
        <v>506</v>
      </c>
      <c r="W501" s="2">
        <v>3</v>
      </c>
      <c r="X501" s="2">
        <v>19</v>
      </c>
      <c r="Y501" s="2">
        <v>19</v>
      </c>
      <c r="AB501" s="2">
        <v>0.18052147239263799</v>
      </c>
      <c r="AC501" s="2">
        <v>0.15643901116388301</v>
      </c>
      <c r="AD501" s="2">
        <v>0.16211656441717801</v>
      </c>
      <c r="AE501" s="2">
        <v>0.112315187502275</v>
      </c>
      <c r="AF501" s="2" t="s">
        <v>74</v>
      </c>
      <c r="AG501" s="2" t="s">
        <v>64</v>
      </c>
      <c r="AH501" s="2" t="str">
        <f>IF(AF501="mean", "mean", "")</f>
        <v>mean</v>
      </c>
      <c r="AR501" s="2" t="s">
        <v>849</v>
      </c>
      <c r="AS501" s="2" t="s">
        <v>849</v>
      </c>
      <c r="AU501" s="2" t="s">
        <v>1818</v>
      </c>
      <c r="AV501" s="2" t="s">
        <v>1830</v>
      </c>
      <c r="AW501" s="2" t="s">
        <v>1820</v>
      </c>
      <c r="AX501" s="2" t="s">
        <v>1821</v>
      </c>
      <c r="AY501" s="2" t="s">
        <v>79</v>
      </c>
    </row>
    <row r="502" spans="1:51" x14ac:dyDescent="0.2">
      <c r="A502" s="2" t="s">
        <v>1224</v>
      </c>
      <c r="B502" s="2" t="s">
        <v>665</v>
      </c>
      <c r="C502" s="2" t="s">
        <v>1225</v>
      </c>
      <c r="D502" s="2">
        <v>2003</v>
      </c>
      <c r="E502" s="2" t="s">
        <v>1331</v>
      </c>
      <c r="F502" s="2" t="s">
        <v>1403</v>
      </c>
      <c r="G502" s="2" t="s">
        <v>1485</v>
      </c>
      <c r="H502" s="2" t="s">
        <v>1684</v>
      </c>
      <c r="I502" s="2" t="s">
        <v>230</v>
      </c>
      <c r="J502" s="2" t="s">
        <v>34</v>
      </c>
      <c r="K502" s="2" t="s">
        <v>37</v>
      </c>
      <c r="P502" s="2" t="s">
        <v>22</v>
      </c>
      <c r="Q502" s="2" t="s">
        <v>27</v>
      </c>
      <c r="R502" s="2" t="s">
        <v>41</v>
      </c>
      <c r="S502" s="2" t="s">
        <v>46</v>
      </c>
      <c r="T502" s="2" t="s">
        <v>50</v>
      </c>
      <c r="U502" s="2" t="s">
        <v>53</v>
      </c>
      <c r="V502" s="2">
        <v>507</v>
      </c>
      <c r="W502" s="2">
        <v>1</v>
      </c>
      <c r="AH502" s="2" t="s">
        <v>4</v>
      </c>
      <c r="AN502" s="2">
        <v>38</v>
      </c>
      <c r="AO502" s="2">
        <v>0.34</v>
      </c>
      <c r="AR502" s="2" t="s">
        <v>849</v>
      </c>
      <c r="AS502" s="2" t="s">
        <v>849</v>
      </c>
      <c r="AU502" s="2" t="s">
        <v>1818</v>
      </c>
      <c r="AV502" s="2" t="s">
        <v>1830</v>
      </c>
      <c r="AW502" s="2" t="s">
        <v>1820</v>
      </c>
      <c r="AX502" s="2" t="s">
        <v>1821</v>
      </c>
      <c r="AY502" s="2" t="s">
        <v>79</v>
      </c>
    </row>
    <row r="503" spans="1:51" x14ac:dyDescent="0.2">
      <c r="A503" s="2" t="s">
        <v>1224</v>
      </c>
      <c r="B503" s="2" t="s">
        <v>665</v>
      </c>
      <c r="C503" s="2" t="s">
        <v>1225</v>
      </c>
      <c r="D503" s="2">
        <v>2003</v>
      </c>
      <c r="E503" s="2" t="s">
        <v>1331</v>
      </c>
      <c r="F503" s="2" t="s">
        <v>1403</v>
      </c>
      <c r="G503" s="2" t="s">
        <v>1485</v>
      </c>
      <c r="H503" s="2" t="s">
        <v>1685</v>
      </c>
      <c r="I503" s="2" t="s">
        <v>230</v>
      </c>
      <c r="J503" s="2" t="s">
        <v>34</v>
      </c>
      <c r="K503" s="2" t="s">
        <v>37</v>
      </c>
      <c r="P503" s="2" t="s">
        <v>22</v>
      </c>
      <c r="Q503" s="2" t="s">
        <v>27</v>
      </c>
      <c r="R503" s="2" t="s">
        <v>41</v>
      </c>
      <c r="S503" s="2" t="s">
        <v>46</v>
      </c>
      <c r="T503" s="2" t="s">
        <v>50</v>
      </c>
      <c r="U503" s="2" t="s">
        <v>53</v>
      </c>
      <c r="V503" s="2">
        <v>507</v>
      </c>
      <c r="W503" s="2">
        <v>1</v>
      </c>
      <c r="AH503" s="2" t="s">
        <v>4</v>
      </c>
      <c r="AN503" s="2">
        <v>38</v>
      </c>
      <c r="AO503" s="2">
        <v>0.32</v>
      </c>
      <c r="AR503" s="2" t="s">
        <v>849</v>
      </c>
      <c r="AS503" s="2" t="s">
        <v>849</v>
      </c>
      <c r="AU503" s="2" t="s">
        <v>1818</v>
      </c>
      <c r="AV503" s="2" t="s">
        <v>1830</v>
      </c>
      <c r="AW503" s="2" t="s">
        <v>1820</v>
      </c>
      <c r="AX503" s="2" t="s">
        <v>1821</v>
      </c>
      <c r="AY503" s="2" t="s">
        <v>79</v>
      </c>
    </row>
    <row r="504" spans="1:51" x14ac:dyDescent="0.2">
      <c r="A504" s="2" t="s">
        <v>1224</v>
      </c>
      <c r="B504" s="2" t="s">
        <v>665</v>
      </c>
      <c r="C504" s="2" t="s">
        <v>1225</v>
      </c>
      <c r="D504" s="2">
        <v>2003</v>
      </c>
      <c r="E504" s="2" t="s">
        <v>1331</v>
      </c>
      <c r="F504" s="2" t="s">
        <v>1403</v>
      </c>
      <c r="G504" s="2" t="s">
        <v>1485</v>
      </c>
      <c r="H504" s="2" t="s">
        <v>1686</v>
      </c>
      <c r="I504" s="2" t="s">
        <v>230</v>
      </c>
      <c r="J504" s="2" t="s">
        <v>34</v>
      </c>
      <c r="K504" s="2" t="s">
        <v>37</v>
      </c>
      <c r="P504" s="2" t="s">
        <v>22</v>
      </c>
      <c r="Q504" s="2" t="s">
        <v>27</v>
      </c>
      <c r="R504" s="2" t="s">
        <v>41</v>
      </c>
      <c r="S504" s="2" t="s">
        <v>46</v>
      </c>
      <c r="T504" s="2" t="s">
        <v>50</v>
      </c>
      <c r="U504" s="2" t="s">
        <v>53</v>
      </c>
      <c r="V504" s="2">
        <v>507</v>
      </c>
      <c r="W504" s="2">
        <v>1</v>
      </c>
      <c r="AH504" s="2" t="s">
        <v>4</v>
      </c>
      <c r="AN504" s="2">
        <v>38</v>
      </c>
      <c r="AO504" s="2">
        <v>0.35</v>
      </c>
      <c r="AR504" s="2" t="s">
        <v>849</v>
      </c>
      <c r="AS504" s="2" t="s">
        <v>849</v>
      </c>
      <c r="AU504" s="2" t="s">
        <v>1818</v>
      </c>
      <c r="AV504" s="2" t="s">
        <v>1830</v>
      </c>
      <c r="AW504" s="2" t="s">
        <v>1820</v>
      </c>
      <c r="AX504" s="2" t="s">
        <v>1821</v>
      </c>
      <c r="AY504" s="2" t="s">
        <v>79</v>
      </c>
    </row>
    <row r="505" spans="1:51" x14ac:dyDescent="0.2">
      <c r="A505" s="2" t="s">
        <v>1224</v>
      </c>
      <c r="B505" s="2" t="s">
        <v>665</v>
      </c>
      <c r="C505" s="2" t="s">
        <v>1225</v>
      </c>
      <c r="D505" s="2">
        <v>2003</v>
      </c>
      <c r="E505" s="2" t="s">
        <v>1331</v>
      </c>
      <c r="F505" s="2" t="s">
        <v>1403</v>
      </c>
      <c r="G505" s="2" t="s">
        <v>1485</v>
      </c>
      <c r="H505" s="2" t="s">
        <v>1687</v>
      </c>
      <c r="I505" s="2" t="s">
        <v>230</v>
      </c>
      <c r="J505" s="2" t="s">
        <v>34</v>
      </c>
      <c r="K505" s="2" t="s">
        <v>37</v>
      </c>
      <c r="P505" s="2" t="s">
        <v>22</v>
      </c>
      <c r="Q505" s="2" t="s">
        <v>27</v>
      </c>
      <c r="R505" s="2" t="s">
        <v>41</v>
      </c>
      <c r="S505" s="2" t="s">
        <v>46</v>
      </c>
      <c r="T505" s="2" t="s">
        <v>50</v>
      </c>
      <c r="U505" s="2" t="s">
        <v>53</v>
      </c>
      <c r="V505" s="2">
        <v>507</v>
      </c>
      <c r="W505" s="2">
        <v>1</v>
      </c>
      <c r="AH505" s="2" t="s">
        <v>4</v>
      </c>
      <c r="AN505" s="2">
        <v>38</v>
      </c>
      <c r="AO505" s="2">
        <v>-0.3</v>
      </c>
      <c r="AR505" s="2" t="s">
        <v>849</v>
      </c>
      <c r="AS505" s="2" t="s">
        <v>849</v>
      </c>
      <c r="AU505" s="2" t="s">
        <v>1818</v>
      </c>
      <c r="AV505" s="2" t="s">
        <v>1830</v>
      </c>
      <c r="AW505" s="2" t="s">
        <v>1820</v>
      </c>
      <c r="AX505" s="2" t="s">
        <v>1821</v>
      </c>
      <c r="AY505" s="2" t="s">
        <v>79</v>
      </c>
    </row>
    <row r="506" spans="1:51" x14ac:dyDescent="0.2">
      <c r="A506" s="2" t="s">
        <v>1224</v>
      </c>
      <c r="B506" s="2" t="s">
        <v>665</v>
      </c>
      <c r="C506" s="2" t="s">
        <v>1225</v>
      </c>
      <c r="D506" s="2">
        <v>2003</v>
      </c>
      <c r="E506" s="2" t="s">
        <v>1331</v>
      </c>
      <c r="F506" s="2" t="s">
        <v>1403</v>
      </c>
      <c r="G506" s="2" t="s">
        <v>1485</v>
      </c>
      <c r="H506" s="2" t="s">
        <v>1688</v>
      </c>
      <c r="I506" s="2" t="s">
        <v>230</v>
      </c>
      <c r="J506" s="2" t="s">
        <v>34</v>
      </c>
      <c r="K506" s="2" t="s">
        <v>37</v>
      </c>
      <c r="P506" s="2" t="s">
        <v>22</v>
      </c>
      <c r="Q506" s="2" t="s">
        <v>27</v>
      </c>
      <c r="R506" s="2" t="s">
        <v>40</v>
      </c>
      <c r="S506" s="2" t="s">
        <v>43</v>
      </c>
      <c r="T506" s="2" t="s">
        <v>50</v>
      </c>
      <c r="U506" s="2" t="s">
        <v>53</v>
      </c>
      <c r="V506" s="2">
        <v>507</v>
      </c>
      <c r="W506" s="2">
        <v>1</v>
      </c>
      <c r="AH506" s="2" t="s">
        <v>4</v>
      </c>
      <c r="AN506" s="2">
        <v>38</v>
      </c>
      <c r="AO506" s="2">
        <v>-0.34</v>
      </c>
      <c r="AR506" s="2" t="s">
        <v>849</v>
      </c>
      <c r="AS506" s="2" t="s">
        <v>849</v>
      </c>
      <c r="AU506" s="2" t="s">
        <v>1818</v>
      </c>
      <c r="AV506" s="2" t="s">
        <v>1830</v>
      </c>
      <c r="AW506" s="2" t="s">
        <v>1820</v>
      </c>
      <c r="AX506" s="2" t="s">
        <v>1821</v>
      </c>
      <c r="AY506" s="2" t="s">
        <v>79</v>
      </c>
    </row>
    <row r="507" spans="1:51" x14ac:dyDescent="0.2">
      <c r="A507" s="2" t="s">
        <v>1224</v>
      </c>
      <c r="B507" s="2" t="s">
        <v>665</v>
      </c>
      <c r="C507" s="2" t="s">
        <v>1225</v>
      </c>
      <c r="D507" s="2">
        <v>2003</v>
      </c>
      <c r="E507" s="2" t="s">
        <v>1331</v>
      </c>
      <c r="F507" s="2" t="s">
        <v>1403</v>
      </c>
      <c r="G507" s="2" t="s">
        <v>1485</v>
      </c>
      <c r="H507" s="2" t="s">
        <v>1689</v>
      </c>
      <c r="I507" s="2" t="s">
        <v>230</v>
      </c>
      <c r="J507" s="2" t="s">
        <v>34</v>
      </c>
      <c r="K507" s="2" t="s">
        <v>37</v>
      </c>
      <c r="P507" s="2" t="s">
        <v>22</v>
      </c>
      <c r="Q507" s="2" t="s">
        <v>27</v>
      </c>
      <c r="R507" s="2" t="s">
        <v>40</v>
      </c>
      <c r="S507" s="2" t="s">
        <v>43</v>
      </c>
      <c r="T507" s="2" t="s">
        <v>50</v>
      </c>
      <c r="U507" s="2" t="s">
        <v>53</v>
      </c>
      <c r="V507" s="2">
        <v>507</v>
      </c>
      <c r="W507" s="2">
        <v>1</v>
      </c>
      <c r="AH507" s="2" t="s">
        <v>4</v>
      </c>
      <c r="AN507" s="2">
        <v>38</v>
      </c>
      <c r="AO507" s="2">
        <v>-0.37</v>
      </c>
      <c r="AR507" s="2" t="s">
        <v>849</v>
      </c>
      <c r="AS507" s="2" t="s">
        <v>849</v>
      </c>
      <c r="AU507" s="2" t="s">
        <v>1818</v>
      </c>
      <c r="AV507" s="2" t="s">
        <v>1830</v>
      </c>
      <c r="AW507" s="2" t="s">
        <v>1820</v>
      </c>
      <c r="AX507" s="2" t="s">
        <v>1821</v>
      </c>
      <c r="AY507" s="2" t="s">
        <v>79</v>
      </c>
    </row>
    <row r="508" spans="1:51" x14ac:dyDescent="0.2">
      <c r="A508" s="2" t="s">
        <v>1224</v>
      </c>
      <c r="B508" s="2" t="s">
        <v>665</v>
      </c>
      <c r="C508" s="2" t="s">
        <v>1225</v>
      </c>
      <c r="D508" s="2">
        <v>2003</v>
      </c>
      <c r="E508" s="2" t="s">
        <v>1331</v>
      </c>
      <c r="F508" s="2" t="s">
        <v>1403</v>
      </c>
      <c r="G508" s="2" t="s">
        <v>1485</v>
      </c>
      <c r="H508" s="2" t="s">
        <v>1690</v>
      </c>
      <c r="I508" s="2" t="s">
        <v>230</v>
      </c>
      <c r="J508" s="2" t="s">
        <v>34</v>
      </c>
      <c r="K508" s="2" t="s">
        <v>37</v>
      </c>
      <c r="P508" s="2" t="s">
        <v>22</v>
      </c>
      <c r="Q508" s="2" t="s">
        <v>27</v>
      </c>
      <c r="R508" s="2" t="s">
        <v>40</v>
      </c>
      <c r="S508" s="2" t="s">
        <v>43</v>
      </c>
      <c r="T508" s="2" t="s">
        <v>50</v>
      </c>
      <c r="U508" s="2" t="s">
        <v>53</v>
      </c>
      <c r="V508" s="2">
        <v>507</v>
      </c>
      <c r="W508" s="2">
        <v>1</v>
      </c>
      <c r="AH508" s="2" t="s">
        <v>4</v>
      </c>
      <c r="AN508" s="2">
        <v>38</v>
      </c>
      <c r="AO508" s="2">
        <v>-0.32</v>
      </c>
      <c r="AR508" s="2" t="s">
        <v>849</v>
      </c>
      <c r="AS508" s="2" t="s">
        <v>849</v>
      </c>
      <c r="AU508" s="2" t="s">
        <v>1818</v>
      </c>
      <c r="AV508" s="2" t="s">
        <v>1830</v>
      </c>
      <c r="AW508" s="2" t="s">
        <v>1820</v>
      </c>
      <c r="AX508" s="2" t="s">
        <v>1821</v>
      </c>
      <c r="AY508" s="2" t="s">
        <v>79</v>
      </c>
    </row>
    <row r="509" spans="1:51" x14ac:dyDescent="0.2">
      <c r="A509" s="2" t="s">
        <v>1224</v>
      </c>
      <c r="B509" s="2" t="s">
        <v>665</v>
      </c>
      <c r="C509" s="2" t="s">
        <v>1225</v>
      </c>
      <c r="D509" s="2">
        <v>2003</v>
      </c>
      <c r="E509" s="2" t="s">
        <v>1331</v>
      </c>
      <c r="F509" s="2" t="s">
        <v>1403</v>
      </c>
      <c r="G509" s="2" t="s">
        <v>1485</v>
      </c>
      <c r="H509" s="2" t="s">
        <v>1691</v>
      </c>
      <c r="I509" s="2" t="s">
        <v>230</v>
      </c>
      <c r="J509" s="2" t="s">
        <v>34</v>
      </c>
      <c r="K509" s="2" t="s">
        <v>37</v>
      </c>
      <c r="P509" s="2" t="s">
        <v>22</v>
      </c>
      <c r="Q509" s="2" t="s">
        <v>27</v>
      </c>
      <c r="R509" s="2" t="s">
        <v>40</v>
      </c>
      <c r="S509" s="2" t="s">
        <v>43</v>
      </c>
      <c r="T509" s="2" t="s">
        <v>50</v>
      </c>
      <c r="U509" s="2" t="s">
        <v>53</v>
      </c>
      <c r="V509" s="2">
        <v>507</v>
      </c>
      <c r="W509" s="2">
        <v>1</v>
      </c>
      <c r="AH509" s="2" t="s">
        <v>4</v>
      </c>
      <c r="AN509" s="2">
        <v>38</v>
      </c>
      <c r="AO509" s="2">
        <v>0.38</v>
      </c>
      <c r="AR509" s="2" t="s">
        <v>849</v>
      </c>
      <c r="AS509" s="2" t="s">
        <v>849</v>
      </c>
      <c r="AU509" s="2" t="s">
        <v>1818</v>
      </c>
      <c r="AV509" s="2" t="s">
        <v>1830</v>
      </c>
      <c r="AW509" s="2" t="s">
        <v>1820</v>
      </c>
      <c r="AX509" s="2" t="s">
        <v>1821</v>
      </c>
      <c r="AY509" s="2" t="s">
        <v>79</v>
      </c>
    </row>
    <row r="510" spans="1:51" x14ac:dyDescent="0.2">
      <c r="A510" s="2" t="s">
        <v>1226</v>
      </c>
      <c r="B510" s="2" t="s">
        <v>1227</v>
      </c>
      <c r="C510" s="2" t="s">
        <v>1228</v>
      </c>
      <c r="D510" s="2">
        <v>2002</v>
      </c>
      <c r="E510" s="2" t="s">
        <v>1332</v>
      </c>
      <c r="F510" s="2" t="s">
        <v>1404</v>
      </c>
      <c r="G510" s="2" t="s">
        <v>1486</v>
      </c>
      <c r="H510" s="2" t="s">
        <v>1692</v>
      </c>
      <c r="I510" s="2" t="s">
        <v>1104</v>
      </c>
      <c r="J510" s="2" t="s">
        <v>85</v>
      </c>
      <c r="K510" s="2" t="s">
        <v>38</v>
      </c>
      <c r="L510" s="2" t="s">
        <v>12</v>
      </c>
      <c r="P510" s="2" t="s">
        <v>22</v>
      </c>
      <c r="Q510" s="2" t="s">
        <v>30</v>
      </c>
      <c r="R510" s="2" t="s">
        <v>40</v>
      </c>
      <c r="S510" s="2" t="s">
        <v>42</v>
      </c>
      <c r="T510" s="2" t="s">
        <v>50</v>
      </c>
      <c r="U510" s="2" t="s">
        <v>52</v>
      </c>
      <c r="V510" s="2">
        <v>9917</v>
      </c>
      <c r="W510" s="2">
        <v>1</v>
      </c>
      <c r="X510" s="2">
        <v>17</v>
      </c>
      <c r="Y510" s="2">
        <v>15</v>
      </c>
      <c r="AB510" s="2">
        <v>785.99221789883302</v>
      </c>
      <c r="AC510" s="2">
        <v>437.02924918293797</v>
      </c>
      <c r="AD510" s="2">
        <v>303.501945525292</v>
      </c>
      <c r="AE510" s="2">
        <v>128.34570040833299</v>
      </c>
      <c r="AF510" s="2" t="s">
        <v>74</v>
      </c>
      <c r="AG510" s="2" t="s">
        <v>64</v>
      </c>
      <c r="AH510" s="2" t="str">
        <f t="shared" ref="AH510:AH515" si="16">IF(AF510="mean", "mean", "")</f>
        <v>mean</v>
      </c>
      <c r="AR510" s="2" t="s">
        <v>849</v>
      </c>
      <c r="AS510" s="2" t="s">
        <v>849</v>
      </c>
      <c r="AU510" s="2" t="s">
        <v>1818</v>
      </c>
      <c r="AV510" s="2" t="s">
        <v>1822</v>
      </c>
      <c r="AW510" s="2" t="s">
        <v>1823</v>
      </c>
      <c r="AX510" s="2" t="s">
        <v>1826</v>
      </c>
      <c r="AY510" s="2" t="s">
        <v>79</v>
      </c>
    </row>
    <row r="511" spans="1:51" x14ac:dyDescent="0.2">
      <c r="A511" s="2" t="s">
        <v>1229</v>
      </c>
      <c r="B511" s="2" t="s">
        <v>1230</v>
      </c>
      <c r="C511" s="2" t="s">
        <v>1231</v>
      </c>
      <c r="D511" s="2">
        <v>2013</v>
      </c>
      <c r="E511" s="2" t="s">
        <v>1333</v>
      </c>
      <c r="F511" s="2" t="s">
        <v>1405</v>
      </c>
      <c r="G511" s="2" t="s">
        <v>1487</v>
      </c>
      <c r="H511" s="2" t="s">
        <v>1693</v>
      </c>
      <c r="I511" s="2" t="s">
        <v>1232</v>
      </c>
      <c r="J511" s="2" t="s">
        <v>32</v>
      </c>
      <c r="K511" s="2" t="s">
        <v>37</v>
      </c>
      <c r="P511" s="2" t="s">
        <v>22</v>
      </c>
      <c r="Q511" s="2" t="s">
        <v>29</v>
      </c>
      <c r="R511" s="2" t="s">
        <v>40</v>
      </c>
      <c r="S511" s="2" t="s">
        <v>42</v>
      </c>
      <c r="T511" s="2" t="s">
        <v>50</v>
      </c>
      <c r="U511" s="2" t="s">
        <v>52</v>
      </c>
      <c r="V511" s="2">
        <v>623</v>
      </c>
      <c r="W511" s="2" t="s">
        <v>672</v>
      </c>
      <c r="X511" s="2">
        <v>15</v>
      </c>
      <c r="Y511" s="2">
        <v>15</v>
      </c>
      <c r="AB511" s="2">
        <v>2.61308068459658E-2</v>
      </c>
      <c r="AC511" s="2">
        <v>1.71284651342931E-2</v>
      </c>
      <c r="AD511" s="2">
        <v>9.7570293398533001E-2</v>
      </c>
      <c r="AE511" s="2">
        <v>7.0891188074913597E-2</v>
      </c>
      <c r="AF511" s="2" t="s">
        <v>74</v>
      </c>
      <c r="AG511" s="2" t="s">
        <v>64</v>
      </c>
      <c r="AH511" s="2" t="str">
        <f t="shared" si="16"/>
        <v>mean</v>
      </c>
      <c r="AR511" s="2" t="s">
        <v>849</v>
      </c>
      <c r="AS511" s="2" t="s">
        <v>849</v>
      </c>
      <c r="AU511" s="2" t="s">
        <v>1818</v>
      </c>
      <c r="AV511" s="2" t="s">
        <v>1830</v>
      </c>
      <c r="AW511" s="2" t="s">
        <v>1823</v>
      </c>
      <c r="AX511" s="2" t="s">
        <v>1826</v>
      </c>
      <c r="AY511" s="2" t="s">
        <v>79</v>
      </c>
    </row>
    <row r="512" spans="1:51" x14ac:dyDescent="0.2">
      <c r="A512" s="2" t="s">
        <v>1229</v>
      </c>
      <c r="B512" s="2" t="s">
        <v>1230</v>
      </c>
      <c r="C512" s="2" t="s">
        <v>1231</v>
      </c>
      <c r="D512" s="2">
        <v>2013</v>
      </c>
      <c r="E512" s="2" t="s">
        <v>1333</v>
      </c>
      <c r="F512" s="2" t="s">
        <v>1405</v>
      </c>
      <c r="G512" s="2" t="s">
        <v>1487</v>
      </c>
      <c r="H512" s="2" t="s">
        <v>1694</v>
      </c>
      <c r="I512" s="2" t="s">
        <v>1232</v>
      </c>
      <c r="J512" s="2" t="s">
        <v>32</v>
      </c>
      <c r="K512" s="2" t="s">
        <v>37</v>
      </c>
      <c r="P512" s="2" t="s">
        <v>22</v>
      </c>
      <c r="Q512" s="2" t="s">
        <v>29</v>
      </c>
      <c r="R512" s="2" t="s">
        <v>40</v>
      </c>
      <c r="S512" s="2" t="s">
        <v>1844</v>
      </c>
      <c r="T512" s="2" t="s">
        <v>50</v>
      </c>
      <c r="U512" s="2" t="s">
        <v>52</v>
      </c>
      <c r="V512" s="2">
        <v>623</v>
      </c>
      <c r="W512" s="2" t="s">
        <v>1233</v>
      </c>
      <c r="X512" s="2">
        <v>15</v>
      </c>
      <c r="Y512" s="2">
        <v>15</v>
      </c>
      <c r="AB512" s="2">
        <v>11.4285714285714</v>
      </c>
      <c r="AC512" s="2">
        <v>15.123077828048</v>
      </c>
      <c r="AD512" s="2">
        <v>2.90476190476191</v>
      </c>
      <c r="AE512" s="2">
        <v>1.47542222712664</v>
      </c>
      <c r="AF512" s="2" t="s">
        <v>74</v>
      </c>
      <c r="AG512" s="2" t="s">
        <v>64</v>
      </c>
      <c r="AH512" s="2" t="str">
        <f t="shared" si="16"/>
        <v>mean</v>
      </c>
      <c r="AR512" s="2" t="s">
        <v>849</v>
      </c>
      <c r="AS512" s="2" t="s">
        <v>849</v>
      </c>
      <c r="AU512" s="2" t="s">
        <v>1818</v>
      </c>
      <c r="AV512" s="2" t="s">
        <v>1830</v>
      </c>
      <c r="AW512" s="2" t="s">
        <v>1823</v>
      </c>
      <c r="AX512" s="2" t="s">
        <v>1826</v>
      </c>
      <c r="AY512" s="2" t="s">
        <v>79</v>
      </c>
    </row>
    <row r="513" spans="1:51" x14ac:dyDescent="0.2">
      <c r="A513" s="2" t="s">
        <v>1234</v>
      </c>
      <c r="B513" s="2" t="s">
        <v>1235</v>
      </c>
      <c r="C513" s="2" t="s">
        <v>1236</v>
      </c>
      <c r="D513" s="2">
        <v>2006</v>
      </c>
      <c r="E513" s="2" t="s">
        <v>1334</v>
      </c>
      <c r="F513" s="2" t="s">
        <v>1406</v>
      </c>
      <c r="G513" s="2" t="s">
        <v>1488</v>
      </c>
      <c r="H513" s="2" t="s">
        <v>1695</v>
      </c>
      <c r="I513" s="2" t="s">
        <v>1104</v>
      </c>
      <c r="J513" s="2" t="s">
        <v>85</v>
      </c>
      <c r="K513" s="2" t="s">
        <v>38</v>
      </c>
      <c r="L513" s="2" t="s">
        <v>11</v>
      </c>
      <c r="M513" s="2" t="s">
        <v>14</v>
      </c>
      <c r="N513" s="2" t="s">
        <v>21</v>
      </c>
      <c r="O513" s="2">
        <v>0</v>
      </c>
      <c r="P513" s="2" t="s">
        <v>22</v>
      </c>
      <c r="Q513" s="2" t="s">
        <v>26</v>
      </c>
      <c r="T513" s="2" t="s">
        <v>50</v>
      </c>
      <c r="U513" s="2" t="s">
        <v>52</v>
      </c>
      <c r="V513" s="2">
        <v>323</v>
      </c>
      <c r="W513" s="2" t="s">
        <v>1064</v>
      </c>
      <c r="X513" s="2">
        <v>15</v>
      </c>
      <c r="Y513" s="2">
        <v>15</v>
      </c>
      <c r="AB513" s="2">
        <v>107.425742574258</v>
      </c>
      <c r="AC513" s="2">
        <v>214.739670680807</v>
      </c>
      <c r="AD513" s="2">
        <v>533.663366336634</v>
      </c>
      <c r="AE513" s="2">
        <v>322.10950602121</v>
      </c>
      <c r="AF513" s="2" t="s">
        <v>74</v>
      </c>
      <c r="AG513" s="2" t="s">
        <v>64</v>
      </c>
      <c r="AH513" s="2" t="str">
        <f t="shared" si="16"/>
        <v>mean</v>
      </c>
      <c r="AR513" s="2" t="s">
        <v>849</v>
      </c>
      <c r="AS513" s="2" t="s">
        <v>849</v>
      </c>
      <c r="AU513" s="2" t="s">
        <v>1818</v>
      </c>
      <c r="AV513" s="2" t="s">
        <v>1822</v>
      </c>
      <c r="AW513" s="2" t="s">
        <v>1823</v>
      </c>
      <c r="AX513" s="2" t="s">
        <v>1826</v>
      </c>
      <c r="AY513" s="2" t="s">
        <v>79</v>
      </c>
    </row>
    <row r="514" spans="1:51" x14ac:dyDescent="0.2">
      <c r="A514" s="2" t="s">
        <v>1237</v>
      </c>
      <c r="B514" s="2" t="s">
        <v>1238</v>
      </c>
      <c r="C514" s="2" t="s">
        <v>1239</v>
      </c>
      <c r="D514" s="2">
        <v>2005</v>
      </c>
      <c r="E514" s="2" t="s">
        <v>1335</v>
      </c>
      <c r="F514" s="2" t="s">
        <v>1407</v>
      </c>
      <c r="G514" s="2" t="s">
        <v>1489</v>
      </c>
      <c r="H514" s="2" t="s">
        <v>1696</v>
      </c>
      <c r="I514" s="2" t="s">
        <v>1240</v>
      </c>
      <c r="J514" s="2" t="s">
        <v>86</v>
      </c>
      <c r="K514" s="2" t="s">
        <v>38</v>
      </c>
      <c r="L514" s="2" t="s">
        <v>12</v>
      </c>
      <c r="P514" s="2" t="s">
        <v>22</v>
      </c>
      <c r="Q514" s="2" t="s">
        <v>30</v>
      </c>
      <c r="R514" s="2" t="s">
        <v>40</v>
      </c>
      <c r="S514" s="2" t="s">
        <v>42</v>
      </c>
      <c r="T514" s="2" t="s">
        <v>50</v>
      </c>
      <c r="U514" s="2" t="s">
        <v>54</v>
      </c>
      <c r="V514" s="2">
        <v>457</v>
      </c>
      <c r="X514" s="2">
        <v>52</v>
      </c>
      <c r="Y514" s="2">
        <v>52</v>
      </c>
      <c r="AB514" s="2">
        <v>411.98</v>
      </c>
      <c r="AC514" s="2">
        <v>76.63</v>
      </c>
      <c r="AD514" s="2">
        <v>511.51</v>
      </c>
      <c r="AE514" s="2">
        <v>75.78</v>
      </c>
      <c r="AF514" s="2" t="s">
        <v>74</v>
      </c>
      <c r="AG514" s="2" t="s">
        <v>65</v>
      </c>
      <c r="AH514" s="2" t="str">
        <f t="shared" si="16"/>
        <v>mean</v>
      </c>
      <c r="AR514" s="2" t="s">
        <v>849</v>
      </c>
      <c r="AS514" s="2" t="s">
        <v>849</v>
      </c>
      <c r="AU514" s="2" t="s">
        <v>1818</v>
      </c>
      <c r="AV514" s="2" t="s">
        <v>1830</v>
      </c>
      <c r="AW514" s="2" t="s">
        <v>1823</v>
      </c>
      <c r="AX514" s="2" t="s">
        <v>1826</v>
      </c>
      <c r="AY514" s="2" t="s">
        <v>79</v>
      </c>
    </row>
    <row r="515" spans="1:51" x14ac:dyDescent="0.2">
      <c r="A515" s="2" t="s">
        <v>1237</v>
      </c>
      <c r="B515" s="2" t="s">
        <v>1238</v>
      </c>
      <c r="C515" s="2" t="s">
        <v>1239</v>
      </c>
      <c r="D515" s="2">
        <v>2005</v>
      </c>
      <c r="E515" s="2" t="s">
        <v>1335</v>
      </c>
      <c r="F515" s="2" t="s">
        <v>1407</v>
      </c>
      <c r="G515" s="2" t="s">
        <v>1489</v>
      </c>
      <c r="H515" s="2" t="s">
        <v>1697</v>
      </c>
      <c r="I515" s="2" t="s">
        <v>1240</v>
      </c>
      <c r="J515" s="2" t="s">
        <v>86</v>
      </c>
      <c r="K515" s="2" t="s">
        <v>38</v>
      </c>
      <c r="L515" s="2" t="s">
        <v>12</v>
      </c>
      <c r="P515" s="2" t="s">
        <v>22</v>
      </c>
      <c r="Q515" s="2" t="s">
        <v>30</v>
      </c>
      <c r="R515" s="2" t="s">
        <v>40</v>
      </c>
      <c r="S515" s="2" t="s">
        <v>42</v>
      </c>
      <c r="T515" s="2" t="s">
        <v>50</v>
      </c>
      <c r="U515" s="2" t="s">
        <v>54</v>
      </c>
      <c r="V515" s="2">
        <v>457</v>
      </c>
      <c r="X515" s="2">
        <v>52</v>
      </c>
      <c r="Y515" s="2">
        <v>52</v>
      </c>
      <c r="AB515" s="2">
        <v>411.98</v>
      </c>
      <c r="AC515" s="2">
        <v>76.63</v>
      </c>
      <c r="AD515" s="2">
        <v>383.23</v>
      </c>
      <c r="AE515" s="2">
        <v>91.4</v>
      </c>
      <c r="AF515" s="2" t="s">
        <v>74</v>
      </c>
      <c r="AG515" s="2" t="s">
        <v>65</v>
      </c>
      <c r="AH515" s="2" t="str">
        <f t="shared" si="16"/>
        <v>mean</v>
      </c>
      <c r="AR515" s="2" t="s">
        <v>849</v>
      </c>
      <c r="AS515" s="2" t="s">
        <v>849</v>
      </c>
      <c r="AU515" s="2" t="s">
        <v>1818</v>
      </c>
      <c r="AV515" s="2" t="s">
        <v>1830</v>
      </c>
      <c r="AW515" s="2" t="s">
        <v>1823</v>
      </c>
      <c r="AX515" s="2" t="s">
        <v>1826</v>
      </c>
      <c r="AY515" s="2" t="s">
        <v>79</v>
      </c>
    </row>
    <row r="516" spans="1:51" x14ac:dyDescent="0.2">
      <c r="A516" s="2" t="s">
        <v>1241</v>
      </c>
      <c r="B516" s="2" t="s">
        <v>1242</v>
      </c>
      <c r="C516" s="2" t="s">
        <v>1243</v>
      </c>
      <c r="D516" s="2">
        <v>2005</v>
      </c>
      <c r="E516" s="2" t="s">
        <v>1336</v>
      </c>
      <c r="F516" s="2" t="s">
        <v>1408</v>
      </c>
      <c r="G516" s="2" t="s">
        <v>1490</v>
      </c>
      <c r="H516" s="2" t="s">
        <v>1698</v>
      </c>
      <c r="I516" s="2" t="s">
        <v>1244</v>
      </c>
      <c r="J516" s="2" t="s">
        <v>34</v>
      </c>
      <c r="K516" s="2" t="s">
        <v>37</v>
      </c>
      <c r="P516" s="2" t="s">
        <v>22</v>
      </c>
      <c r="Q516" s="2" t="s">
        <v>27</v>
      </c>
      <c r="R516" s="2" t="s">
        <v>41</v>
      </c>
      <c r="S516" s="2" t="s">
        <v>46</v>
      </c>
      <c r="T516" s="2" t="s">
        <v>50</v>
      </c>
      <c r="U516" s="2" t="s">
        <v>52</v>
      </c>
      <c r="V516" s="2">
        <v>1238</v>
      </c>
      <c r="W516" s="2">
        <v>2</v>
      </c>
      <c r="AH516" s="2" t="s">
        <v>4</v>
      </c>
      <c r="AN516" s="2">
        <v>58</v>
      </c>
      <c r="AO516" s="2">
        <v>-0.31165520269872399</v>
      </c>
      <c r="AR516" s="2" t="s">
        <v>849</v>
      </c>
      <c r="AS516" s="2" t="s">
        <v>849</v>
      </c>
      <c r="AU516" s="2" t="s">
        <v>1818</v>
      </c>
      <c r="AV516" s="2" t="s">
        <v>1830</v>
      </c>
      <c r="AW516" s="2" t="s">
        <v>1820</v>
      </c>
      <c r="AX516" s="2" t="s">
        <v>1821</v>
      </c>
      <c r="AY516" s="2" t="s">
        <v>79</v>
      </c>
    </row>
    <row r="517" spans="1:51" x14ac:dyDescent="0.2">
      <c r="A517" s="2" t="s">
        <v>1245</v>
      </c>
      <c r="B517" s="2" t="s">
        <v>1242</v>
      </c>
      <c r="C517" s="2" t="s">
        <v>1246</v>
      </c>
      <c r="D517" s="2">
        <v>2010</v>
      </c>
      <c r="E517" s="2" t="s">
        <v>1337</v>
      </c>
      <c r="F517" s="2" t="s">
        <v>1409</v>
      </c>
      <c r="G517" s="2" t="s">
        <v>1491</v>
      </c>
      <c r="H517" s="2" t="s">
        <v>1699</v>
      </c>
      <c r="I517" s="2" t="s">
        <v>1108</v>
      </c>
      <c r="J517" s="2" t="s">
        <v>34</v>
      </c>
      <c r="K517" s="2" t="s">
        <v>37</v>
      </c>
      <c r="P517" s="2" t="s">
        <v>22</v>
      </c>
      <c r="Q517" s="2" t="s">
        <v>27</v>
      </c>
      <c r="R517" s="2" t="s">
        <v>41</v>
      </c>
      <c r="S517" s="2" t="s">
        <v>46</v>
      </c>
      <c r="T517" s="2" t="s">
        <v>50</v>
      </c>
      <c r="U517" s="2" t="s">
        <v>53</v>
      </c>
      <c r="V517" s="2">
        <v>1333</v>
      </c>
      <c r="W517" s="2">
        <v>3</v>
      </c>
      <c r="AH517" s="2" t="s">
        <v>4</v>
      </c>
      <c r="AN517" s="2">
        <v>19</v>
      </c>
      <c r="AO517" s="2">
        <v>9.1999999999999998E-2</v>
      </c>
      <c r="AR517" s="2" t="s">
        <v>849</v>
      </c>
      <c r="AS517" s="2" t="s">
        <v>849</v>
      </c>
      <c r="AU517" s="2" t="s">
        <v>1818</v>
      </c>
      <c r="AV517" s="2" t="s">
        <v>1830</v>
      </c>
      <c r="AW517" s="2" t="s">
        <v>1836</v>
      </c>
      <c r="AX517" s="2" t="s">
        <v>1821</v>
      </c>
      <c r="AY517" s="2" t="s">
        <v>79</v>
      </c>
    </row>
    <row r="518" spans="1:51" x14ac:dyDescent="0.2">
      <c r="A518" s="2" t="s">
        <v>1245</v>
      </c>
      <c r="B518" s="2" t="s">
        <v>1242</v>
      </c>
      <c r="C518" s="2" t="s">
        <v>1246</v>
      </c>
      <c r="D518" s="2">
        <v>2010</v>
      </c>
      <c r="E518" s="2" t="s">
        <v>1337</v>
      </c>
      <c r="F518" s="2" t="s">
        <v>1409</v>
      </c>
      <c r="G518" s="2" t="s">
        <v>1491</v>
      </c>
      <c r="H518" s="2" t="s">
        <v>1700</v>
      </c>
      <c r="I518" s="2" t="s">
        <v>1108</v>
      </c>
      <c r="J518" s="2" t="s">
        <v>34</v>
      </c>
      <c r="K518" s="2" t="s">
        <v>37</v>
      </c>
      <c r="P518" s="2" t="s">
        <v>22</v>
      </c>
      <c r="Q518" s="2" t="s">
        <v>27</v>
      </c>
      <c r="R518" s="2" t="s">
        <v>41</v>
      </c>
      <c r="S518" s="2" t="s">
        <v>46</v>
      </c>
      <c r="T518" s="2" t="s">
        <v>50</v>
      </c>
      <c r="U518" s="2" t="s">
        <v>53</v>
      </c>
      <c r="V518" s="2">
        <v>1333</v>
      </c>
      <c r="W518" s="2">
        <v>3</v>
      </c>
      <c r="AH518" s="2" t="s">
        <v>4</v>
      </c>
      <c r="AN518" s="2">
        <v>19</v>
      </c>
      <c r="AO518" s="2">
        <v>-0.215</v>
      </c>
      <c r="AR518" s="2" t="s">
        <v>849</v>
      </c>
      <c r="AS518" s="2" t="s">
        <v>222</v>
      </c>
      <c r="AU518" s="2" t="s">
        <v>1818</v>
      </c>
      <c r="AV518" s="2" t="s">
        <v>1830</v>
      </c>
      <c r="AW518" s="2" t="s">
        <v>1836</v>
      </c>
      <c r="AX518" s="2" t="s">
        <v>1821</v>
      </c>
      <c r="AY518" s="2" t="s">
        <v>79</v>
      </c>
    </row>
    <row r="519" spans="1:51" x14ac:dyDescent="0.2">
      <c r="A519" s="2" t="s">
        <v>1245</v>
      </c>
      <c r="B519" s="2" t="s">
        <v>1242</v>
      </c>
      <c r="C519" s="2" t="s">
        <v>1246</v>
      </c>
      <c r="D519" s="2">
        <v>2010</v>
      </c>
      <c r="E519" s="2" t="s">
        <v>1337</v>
      </c>
      <c r="F519" s="2" t="s">
        <v>1409</v>
      </c>
      <c r="G519" s="2" t="s">
        <v>1491</v>
      </c>
      <c r="H519" s="2" t="s">
        <v>1701</v>
      </c>
      <c r="I519" s="2" t="s">
        <v>1108</v>
      </c>
      <c r="J519" s="2" t="s">
        <v>34</v>
      </c>
      <c r="K519" s="2" t="s">
        <v>37</v>
      </c>
      <c r="P519" s="2" t="s">
        <v>22</v>
      </c>
      <c r="Q519" s="2" t="s">
        <v>27</v>
      </c>
      <c r="R519" s="2" t="s">
        <v>41</v>
      </c>
      <c r="S519" s="2" t="s">
        <v>46</v>
      </c>
      <c r="T519" s="2" t="s">
        <v>50</v>
      </c>
      <c r="U519" s="2" t="s">
        <v>53</v>
      </c>
      <c r="V519" s="2">
        <v>1333</v>
      </c>
      <c r="W519" s="2">
        <v>3</v>
      </c>
      <c r="AH519" s="2" t="s">
        <v>4</v>
      </c>
      <c r="AN519" s="2">
        <v>19</v>
      </c>
      <c r="AO519" s="2">
        <v>-2.1999999999999999E-2</v>
      </c>
      <c r="AR519" s="2" t="s">
        <v>849</v>
      </c>
      <c r="AS519" s="2" t="s">
        <v>849</v>
      </c>
      <c r="AU519" s="2" t="s">
        <v>1818</v>
      </c>
      <c r="AV519" s="2" t="s">
        <v>1830</v>
      </c>
      <c r="AW519" s="2" t="s">
        <v>1836</v>
      </c>
      <c r="AX519" s="2" t="s">
        <v>1821</v>
      </c>
      <c r="AY519" s="2" t="s">
        <v>79</v>
      </c>
    </row>
    <row r="520" spans="1:51" x14ac:dyDescent="0.2">
      <c r="A520" s="2" t="s">
        <v>1245</v>
      </c>
      <c r="B520" s="2" t="s">
        <v>1242</v>
      </c>
      <c r="C520" s="2" t="s">
        <v>1246</v>
      </c>
      <c r="D520" s="2">
        <v>2010</v>
      </c>
      <c r="E520" s="2" t="s">
        <v>1337</v>
      </c>
      <c r="F520" s="2" t="s">
        <v>1409</v>
      </c>
      <c r="G520" s="2" t="s">
        <v>1491</v>
      </c>
      <c r="H520" s="2" t="s">
        <v>1702</v>
      </c>
      <c r="I520" s="2" t="s">
        <v>1108</v>
      </c>
      <c r="J520" s="2" t="s">
        <v>34</v>
      </c>
      <c r="K520" s="2" t="s">
        <v>37</v>
      </c>
      <c r="P520" s="2" t="s">
        <v>22</v>
      </c>
      <c r="Q520" s="2" t="s">
        <v>27</v>
      </c>
      <c r="R520" s="2" t="s">
        <v>41</v>
      </c>
      <c r="S520" s="2" t="s">
        <v>46</v>
      </c>
      <c r="T520" s="2" t="s">
        <v>50</v>
      </c>
      <c r="U520" s="2" t="s">
        <v>53</v>
      </c>
      <c r="V520" s="2">
        <v>1333</v>
      </c>
      <c r="W520" s="2">
        <v>3</v>
      </c>
      <c r="AH520" s="2" t="s">
        <v>4</v>
      </c>
      <c r="AN520" s="2">
        <v>19</v>
      </c>
      <c r="AO520" s="2">
        <v>0.114</v>
      </c>
      <c r="AR520" s="2" t="s">
        <v>849</v>
      </c>
      <c r="AS520" s="2" t="s">
        <v>849</v>
      </c>
      <c r="AU520" s="2" t="s">
        <v>1818</v>
      </c>
      <c r="AV520" s="2" t="s">
        <v>1830</v>
      </c>
      <c r="AW520" s="2" t="s">
        <v>1836</v>
      </c>
      <c r="AX520" s="2" t="s">
        <v>1821</v>
      </c>
      <c r="AY520" s="2" t="s">
        <v>79</v>
      </c>
    </row>
    <row r="521" spans="1:51" x14ac:dyDescent="0.2">
      <c r="A521" s="2" t="s">
        <v>1245</v>
      </c>
      <c r="B521" s="2" t="s">
        <v>1242</v>
      </c>
      <c r="C521" s="2" t="s">
        <v>1246</v>
      </c>
      <c r="D521" s="2">
        <v>2010</v>
      </c>
      <c r="E521" s="2" t="s">
        <v>1337</v>
      </c>
      <c r="F521" s="2" t="s">
        <v>1409</v>
      </c>
      <c r="G521" s="2" t="s">
        <v>1491</v>
      </c>
      <c r="H521" s="2" t="s">
        <v>1703</v>
      </c>
      <c r="I521" s="2" t="s">
        <v>1108</v>
      </c>
      <c r="J521" s="2" t="s">
        <v>34</v>
      </c>
      <c r="K521" s="2" t="s">
        <v>37</v>
      </c>
      <c r="P521" s="2" t="s">
        <v>22</v>
      </c>
      <c r="Q521" s="2" t="s">
        <v>27</v>
      </c>
      <c r="R521" s="2" t="s">
        <v>41</v>
      </c>
      <c r="S521" s="2" t="s">
        <v>46</v>
      </c>
      <c r="T521" s="2" t="s">
        <v>50</v>
      </c>
      <c r="U521" s="2" t="s">
        <v>53</v>
      </c>
      <c r="V521" s="2">
        <v>1333</v>
      </c>
      <c r="W521" s="2">
        <v>3</v>
      </c>
      <c r="AH521" s="2" t="s">
        <v>4</v>
      </c>
      <c r="AN521" s="2">
        <v>19</v>
      </c>
      <c r="AO521" s="2">
        <v>-7.0000000000000001E-3</v>
      </c>
      <c r="AR521" s="2" t="s">
        <v>849</v>
      </c>
      <c r="AS521" s="2" t="s">
        <v>222</v>
      </c>
      <c r="AU521" s="2" t="s">
        <v>1818</v>
      </c>
      <c r="AV521" s="2" t="s">
        <v>1830</v>
      </c>
      <c r="AW521" s="2" t="s">
        <v>1836</v>
      </c>
      <c r="AX521" s="2" t="s">
        <v>1821</v>
      </c>
      <c r="AY521" s="2" t="s">
        <v>79</v>
      </c>
    </row>
    <row r="522" spans="1:51" x14ac:dyDescent="0.2">
      <c r="A522" s="2" t="s">
        <v>1245</v>
      </c>
      <c r="B522" s="2" t="s">
        <v>1242</v>
      </c>
      <c r="C522" s="2" t="s">
        <v>1246</v>
      </c>
      <c r="D522" s="2">
        <v>2010</v>
      </c>
      <c r="E522" s="2" t="s">
        <v>1337</v>
      </c>
      <c r="F522" s="2" t="s">
        <v>1409</v>
      </c>
      <c r="G522" s="2" t="s">
        <v>1491</v>
      </c>
      <c r="H522" s="2" t="s">
        <v>1704</v>
      </c>
      <c r="I522" s="2" t="s">
        <v>1108</v>
      </c>
      <c r="J522" s="2" t="s">
        <v>34</v>
      </c>
      <c r="K522" s="2" t="s">
        <v>37</v>
      </c>
      <c r="P522" s="2" t="s">
        <v>22</v>
      </c>
      <c r="Q522" s="2" t="s">
        <v>27</v>
      </c>
      <c r="R522" s="2" t="s">
        <v>41</v>
      </c>
      <c r="S522" s="2" t="s">
        <v>46</v>
      </c>
      <c r="T522" s="2" t="s">
        <v>50</v>
      </c>
      <c r="U522" s="2" t="s">
        <v>53</v>
      </c>
      <c r="V522" s="2">
        <v>1333</v>
      </c>
      <c r="W522" s="2">
        <v>3</v>
      </c>
      <c r="AH522" s="2" t="s">
        <v>4</v>
      </c>
      <c r="AN522" s="2">
        <v>19</v>
      </c>
      <c r="AO522" s="2">
        <v>-0.38</v>
      </c>
      <c r="AR522" s="2" t="s">
        <v>849</v>
      </c>
      <c r="AS522" s="2" t="s">
        <v>849</v>
      </c>
      <c r="AU522" s="2" t="s">
        <v>1818</v>
      </c>
      <c r="AV522" s="2" t="s">
        <v>1830</v>
      </c>
      <c r="AW522" s="2" t="s">
        <v>1836</v>
      </c>
      <c r="AX522" s="2" t="s">
        <v>1821</v>
      </c>
      <c r="AY522" s="2" t="s">
        <v>79</v>
      </c>
    </row>
    <row r="523" spans="1:51" x14ac:dyDescent="0.2">
      <c r="A523" s="2" t="s">
        <v>1245</v>
      </c>
      <c r="B523" s="2" t="s">
        <v>1242</v>
      </c>
      <c r="C523" s="2" t="s">
        <v>1246</v>
      </c>
      <c r="D523" s="2">
        <v>2010</v>
      </c>
      <c r="E523" s="2" t="s">
        <v>1337</v>
      </c>
      <c r="F523" s="2" t="s">
        <v>1409</v>
      </c>
      <c r="G523" s="2" t="s">
        <v>1491</v>
      </c>
      <c r="H523" s="2" t="s">
        <v>1705</v>
      </c>
      <c r="I523" s="2" t="s">
        <v>1108</v>
      </c>
      <c r="J523" s="2" t="s">
        <v>34</v>
      </c>
      <c r="K523" s="2" t="s">
        <v>37</v>
      </c>
      <c r="P523" s="2" t="s">
        <v>22</v>
      </c>
      <c r="Q523" s="2" t="s">
        <v>27</v>
      </c>
      <c r="R523" s="2" t="s">
        <v>41</v>
      </c>
      <c r="S523" s="2" t="s">
        <v>46</v>
      </c>
      <c r="T523" s="2" t="s">
        <v>50</v>
      </c>
      <c r="U523" s="2" t="s">
        <v>53</v>
      </c>
      <c r="V523" s="2">
        <v>1333</v>
      </c>
      <c r="W523" s="2">
        <v>3</v>
      </c>
      <c r="AH523" s="2" t="s">
        <v>4</v>
      </c>
      <c r="AN523" s="2">
        <v>19</v>
      </c>
      <c r="AO523" s="2">
        <v>-0.11799999999999999</v>
      </c>
      <c r="AR523" s="2" t="s">
        <v>849</v>
      </c>
      <c r="AS523" s="2" t="s">
        <v>222</v>
      </c>
      <c r="AU523" s="2" t="s">
        <v>1818</v>
      </c>
      <c r="AV523" s="2" t="s">
        <v>1830</v>
      </c>
      <c r="AW523" s="2" t="s">
        <v>1836</v>
      </c>
      <c r="AX523" s="2" t="s">
        <v>1821</v>
      </c>
      <c r="AY523" s="2" t="s">
        <v>79</v>
      </c>
    </row>
    <row r="524" spans="1:51" x14ac:dyDescent="0.2">
      <c r="A524" s="2" t="s">
        <v>1245</v>
      </c>
      <c r="B524" s="2" t="s">
        <v>1242</v>
      </c>
      <c r="C524" s="2" t="s">
        <v>1246</v>
      </c>
      <c r="D524" s="2">
        <v>2010</v>
      </c>
      <c r="E524" s="2" t="s">
        <v>1337</v>
      </c>
      <c r="F524" s="2" t="s">
        <v>1409</v>
      </c>
      <c r="G524" s="2" t="s">
        <v>1491</v>
      </c>
      <c r="H524" s="2" t="s">
        <v>1706</v>
      </c>
      <c r="I524" s="2" t="s">
        <v>1108</v>
      </c>
      <c r="J524" s="2" t="s">
        <v>34</v>
      </c>
      <c r="K524" s="2" t="s">
        <v>37</v>
      </c>
      <c r="P524" s="2" t="s">
        <v>22</v>
      </c>
      <c r="Q524" s="2" t="s">
        <v>27</v>
      </c>
      <c r="R524" s="2" t="s">
        <v>41</v>
      </c>
      <c r="S524" s="2" t="s">
        <v>46</v>
      </c>
      <c r="T524" s="2" t="s">
        <v>50</v>
      </c>
      <c r="U524" s="2" t="s">
        <v>53</v>
      </c>
      <c r="V524" s="2">
        <v>1333</v>
      </c>
      <c r="W524" s="2">
        <v>3</v>
      </c>
      <c r="AH524" s="2" t="s">
        <v>4</v>
      </c>
      <c r="AN524" s="2">
        <v>19</v>
      </c>
      <c r="AO524" s="2">
        <v>0.23400000000000001</v>
      </c>
      <c r="AR524" s="2" t="s">
        <v>849</v>
      </c>
      <c r="AS524" s="2" t="s">
        <v>849</v>
      </c>
      <c r="AU524" s="2" t="s">
        <v>1818</v>
      </c>
      <c r="AV524" s="2" t="s">
        <v>1830</v>
      </c>
      <c r="AW524" s="2" t="s">
        <v>1836</v>
      </c>
      <c r="AX524" s="2" t="s">
        <v>1821</v>
      </c>
      <c r="AY524" s="2" t="s">
        <v>79</v>
      </c>
    </row>
    <row r="525" spans="1:51" x14ac:dyDescent="0.2">
      <c r="A525" s="2" t="s">
        <v>1245</v>
      </c>
      <c r="B525" s="2" t="s">
        <v>1242</v>
      </c>
      <c r="C525" s="2" t="s">
        <v>1246</v>
      </c>
      <c r="D525" s="2">
        <v>2010</v>
      </c>
      <c r="E525" s="2" t="s">
        <v>1337</v>
      </c>
      <c r="F525" s="2" t="s">
        <v>1409</v>
      </c>
      <c r="G525" s="2" t="s">
        <v>1491</v>
      </c>
      <c r="H525" s="2" t="s">
        <v>1707</v>
      </c>
      <c r="I525" s="2" t="s">
        <v>1108</v>
      </c>
      <c r="J525" s="2" t="s">
        <v>34</v>
      </c>
      <c r="K525" s="2" t="s">
        <v>37</v>
      </c>
      <c r="P525" s="2" t="s">
        <v>22</v>
      </c>
      <c r="Q525" s="2" t="s">
        <v>27</v>
      </c>
      <c r="R525" s="2" t="s">
        <v>41</v>
      </c>
      <c r="S525" s="2" t="s">
        <v>46</v>
      </c>
      <c r="T525" s="2" t="s">
        <v>50</v>
      </c>
      <c r="U525" s="2" t="s">
        <v>53</v>
      </c>
      <c r="V525" s="2">
        <v>1333</v>
      </c>
      <c r="W525" s="2">
        <v>3</v>
      </c>
      <c r="AH525" s="2" t="s">
        <v>4</v>
      </c>
      <c r="AN525" s="2">
        <v>19</v>
      </c>
      <c r="AO525" s="2">
        <v>-0.47099999999999997</v>
      </c>
      <c r="AR525" s="2" t="s">
        <v>849</v>
      </c>
      <c r="AS525" s="2" t="s">
        <v>849</v>
      </c>
      <c r="AU525" s="2" t="s">
        <v>1818</v>
      </c>
      <c r="AV525" s="2" t="s">
        <v>1830</v>
      </c>
      <c r="AW525" s="2" t="s">
        <v>1836</v>
      </c>
      <c r="AX525" s="2" t="s">
        <v>1821</v>
      </c>
      <c r="AY525" s="2" t="s">
        <v>79</v>
      </c>
    </row>
    <row r="526" spans="1:51" x14ac:dyDescent="0.2">
      <c r="A526" s="2" t="s">
        <v>1245</v>
      </c>
      <c r="B526" s="2" t="s">
        <v>1242</v>
      </c>
      <c r="C526" s="2" t="s">
        <v>1246</v>
      </c>
      <c r="D526" s="2">
        <v>2010</v>
      </c>
      <c r="E526" s="2" t="s">
        <v>1337</v>
      </c>
      <c r="F526" s="2" t="s">
        <v>1409</v>
      </c>
      <c r="G526" s="2" t="s">
        <v>1491</v>
      </c>
      <c r="H526" s="2" t="s">
        <v>1708</v>
      </c>
      <c r="I526" s="2" t="s">
        <v>1108</v>
      </c>
      <c r="J526" s="2" t="s">
        <v>34</v>
      </c>
      <c r="K526" s="2" t="s">
        <v>37</v>
      </c>
      <c r="P526" s="2" t="s">
        <v>22</v>
      </c>
      <c r="Q526" s="2" t="s">
        <v>27</v>
      </c>
      <c r="R526" s="2" t="s">
        <v>40</v>
      </c>
      <c r="S526" s="2" t="s">
        <v>45</v>
      </c>
      <c r="T526" s="2" t="s">
        <v>50</v>
      </c>
      <c r="U526" s="2" t="s">
        <v>53</v>
      </c>
      <c r="V526" s="2">
        <v>1333</v>
      </c>
      <c r="W526" s="2">
        <v>3</v>
      </c>
      <c r="AH526" s="2" t="s">
        <v>4</v>
      </c>
      <c r="AN526" s="2">
        <v>19</v>
      </c>
      <c r="AO526" s="2">
        <v>0.16200000000000001</v>
      </c>
      <c r="AR526" s="2" t="s">
        <v>849</v>
      </c>
      <c r="AS526" s="2" t="s">
        <v>849</v>
      </c>
      <c r="AU526" s="2" t="s">
        <v>1818</v>
      </c>
      <c r="AV526" s="2" t="s">
        <v>1830</v>
      </c>
      <c r="AW526" s="2" t="s">
        <v>1836</v>
      </c>
      <c r="AX526" s="2" t="s">
        <v>1821</v>
      </c>
      <c r="AY526" s="2" t="s">
        <v>79</v>
      </c>
    </row>
    <row r="527" spans="1:51" x14ac:dyDescent="0.2">
      <c r="A527" s="2" t="s">
        <v>1245</v>
      </c>
      <c r="B527" s="2" t="s">
        <v>1242</v>
      </c>
      <c r="C527" s="2" t="s">
        <v>1246</v>
      </c>
      <c r="D527" s="2">
        <v>2010</v>
      </c>
      <c r="E527" s="2" t="s">
        <v>1337</v>
      </c>
      <c r="F527" s="2" t="s">
        <v>1409</v>
      </c>
      <c r="G527" s="2" t="s">
        <v>1491</v>
      </c>
      <c r="H527" s="2" t="s">
        <v>1709</v>
      </c>
      <c r="I527" s="2" t="s">
        <v>1108</v>
      </c>
      <c r="J527" s="2" t="s">
        <v>34</v>
      </c>
      <c r="K527" s="2" t="s">
        <v>37</v>
      </c>
      <c r="P527" s="2" t="s">
        <v>22</v>
      </c>
      <c r="Q527" s="2" t="s">
        <v>27</v>
      </c>
      <c r="R527" s="2" t="s">
        <v>40</v>
      </c>
      <c r="S527" s="2" t="s">
        <v>45</v>
      </c>
      <c r="T527" s="2" t="s">
        <v>50</v>
      </c>
      <c r="U527" s="2" t="s">
        <v>53</v>
      </c>
      <c r="V527" s="2">
        <v>1333</v>
      </c>
      <c r="W527" s="2">
        <v>3</v>
      </c>
      <c r="AH527" s="2" t="s">
        <v>4</v>
      </c>
      <c r="AN527" s="2">
        <v>19</v>
      </c>
      <c r="AO527" s="2">
        <v>-0.17899999999999999</v>
      </c>
      <c r="AR527" s="2" t="s">
        <v>849</v>
      </c>
      <c r="AS527" s="2" t="s">
        <v>222</v>
      </c>
      <c r="AU527" s="2" t="s">
        <v>1818</v>
      </c>
      <c r="AV527" s="2" t="s">
        <v>1830</v>
      </c>
      <c r="AW527" s="2" t="s">
        <v>1836</v>
      </c>
      <c r="AX527" s="2" t="s">
        <v>1821</v>
      </c>
      <c r="AY527" s="2" t="s">
        <v>79</v>
      </c>
    </row>
    <row r="528" spans="1:51" x14ac:dyDescent="0.2">
      <c r="A528" s="2" t="s">
        <v>1245</v>
      </c>
      <c r="B528" s="2" t="s">
        <v>1242</v>
      </c>
      <c r="C528" s="2" t="s">
        <v>1246</v>
      </c>
      <c r="D528" s="2">
        <v>2010</v>
      </c>
      <c r="E528" s="2" t="s">
        <v>1337</v>
      </c>
      <c r="F528" s="2" t="s">
        <v>1409</v>
      </c>
      <c r="G528" s="2" t="s">
        <v>1491</v>
      </c>
      <c r="H528" s="2" t="s">
        <v>1710</v>
      </c>
      <c r="I528" s="2" t="s">
        <v>1108</v>
      </c>
      <c r="J528" s="2" t="s">
        <v>34</v>
      </c>
      <c r="K528" s="2" t="s">
        <v>37</v>
      </c>
      <c r="P528" s="2" t="s">
        <v>22</v>
      </c>
      <c r="Q528" s="2" t="s">
        <v>27</v>
      </c>
      <c r="R528" s="2" t="s">
        <v>40</v>
      </c>
      <c r="S528" s="2" t="s">
        <v>45</v>
      </c>
      <c r="T528" s="2" t="s">
        <v>50</v>
      </c>
      <c r="U528" s="2" t="s">
        <v>53</v>
      </c>
      <c r="V528" s="2">
        <v>1333</v>
      </c>
      <c r="W528" s="2">
        <v>3</v>
      </c>
      <c r="AH528" s="2" t="s">
        <v>4</v>
      </c>
      <c r="AN528" s="2">
        <v>19</v>
      </c>
      <c r="AO528" s="2">
        <v>4.1000000000000002E-2</v>
      </c>
      <c r="AR528" s="2" t="s">
        <v>849</v>
      </c>
      <c r="AS528" s="2" t="s">
        <v>849</v>
      </c>
      <c r="AU528" s="2" t="s">
        <v>1818</v>
      </c>
      <c r="AV528" s="2" t="s">
        <v>1830</v>
      </c>
      <c r="AW528" s="2" t="s">
        <v>1836</v>
      </c>
      <c r="AX528" s="2" t="s">
        <v>1821</v>
      </c>
      <c r="AY528" s="2" t="s">
        <v>79</v>
      </c>
    </row>
    <row r="529" spans="1:51" x14ac:dyDescent="0.2">
      <c r="A529" s="2" t="s">
        <v>1245</v>
      </c>
      <c r="B529" s="2" t="s">
        <v>1242</v>
      </c>
      <c r="C529" s="2" t="s">
        <v>1246</v>
      </c>
      <c r="D529" s="2">
        <v>2010</v>
      </c>
      <c r="E529" s="2" t="s">
        <v>1337</v>
      </c>
      <c r="F529" s="2" t="s">
        <v>1409</v>
      </c>
      <c r="G529" s="2" t="s">
        <v>1491</v>
      </c>
      <c r="H529" s="2" t="s">
        <v>1711</v>
      </c>
      <c r="I529" s="2" t="s">
        <v>1108</v>
      </c>
      <c r="J529" s="2" t="s">
        <v>34</v>
      </c>
      <c r="K529" s="2" t="s">
        <v>37</v>
      </c>
      <c r="P529" s="2" t="s">
        <v>22</v>
      </c>
      <c r="Q529" s="2" t="s">
        <v>27</v>
      </c>
      <c r="R529" s="2" t="s">
        <v>40</v>
      </c>
      <c r="S529" s="2" t="s">
        <v>45</v>
      </c>
      <c r="T529" s="2" t="s">
        <v>50</v>
      </c>
      <c r="U529" s="2" t="s">
        <v>53</v>
      </c>
      <c r="V529" s="2">
        <v>1333</v>
      </c>
      <c r="W529" s="2">
        <v>3</v>
      </c>
      <c r="AH529" s="2" t="s">
        <v>4</v>
      </c>
      <c r="AN529" s="2">
        <v>19</v>
      </c>
      <c r="AO529" s="2">
        <v>0.14899999999999999</v>
      </c>
      <c r="AR529" s="2" t="s">
        <v>849</v>
      </c>
      <c r="AS529" s="2" t="s">
        <v>849</v>
      </c>
      <c r="AU529" s="2" t="s">
        <v>1818</v>
      </c>
      <c r="AV529" s="2" t="s">
        <v>1830</v>
      </c>
      <c r="AW529" s="2" t="s">
        <v>1836</v>
      </c>
      <c r="AX529" s="2" t="s">
        <v>1821</v>
      </c>
      <c r="AY529" s="2" t="s">
        <v>79</v>
      </c>
    </row>
    <row r="530" spans="1:51" x14ac:dyDescent="0.2">
      <c r="A530" s="2" t="s">
        <v>1245</v>
      </c>
      <c r="B530" s="2" t="s">
        <v>1242</v>
      </c>
      <c r="C530" s="2" t="s">
        <v>1246</v>
      </c>
      <c r="D530" s="2">
        <v>2010</v>
      </c>
      <c r="E530" s="2" t="s">
        <v>1337</v>
      </c>
      <c r="F530" s="2" t="s">
        <v>1409</v>
      </c>
      <c r="G530" s="2" t="s">
        <v>1491</v>
      </c>
      <c r="H530" s="2" t="s">
        <v>1712</v>
      </c>
      <c r="I530" s="2" t="s">
        <v>1108</v>
      </c>
      <c r="J530" s="2" t="s">
        <v>34</v>
      </c>
      <c r="K530" s="2" t="s">
        <v>37</v>
      </c>
      <c r="P530" s="2" t="s">
        <v>22</v>
      </c>
      <c r="Q530" s="2" t="s">
        <v>27</v>
      </c>
      <c r="R530" s="2" t="s">
        <v>40</v>
      </c>
      <c r="S530" s="2" t="s">
        <v>45</v>
      </c>
      <c r="T530" s="2" t="s">
        <v>50</v>
      </c>
      <c r="U530" s="2" t="s">
        <v>53</v>
      </c>
      <c r="V530" s="2">
        <v>1333</v>
      </c>
      <c r="W530" s="2">
        <v>3</v>
      </c>
      <c r="AH530" s="2" t="s">
        <v>4</v>
      </c>
      <c r="AN530" s="2">
        <v>19</v>
      </c>
      <c r="AO530" s="2">
        <v>5.1999999999999998E-2</v>
      </c>
      <c r="AR530" s="2" t="s">
        <v>849</v>
      </c>
      <c r="AS530" s="2" t="s">
        <v>222</v>
      </c>
      <c r="AU530" s="2" t="s">
        <v>1818</v>
      </c>
      <c r="AV530" s="2" t="s">
        <v>1830</v>
      </c>
      <c r="AW530" s="2" t="s">
        <v>1836</v>
      </c>
      <c r="AX530" s="2" t="s">
        <v>1821</v>
      </c>
      <c r="AY530" s="2" t="s">
        <v>79</v>
      </c>
    </row>
    <row r="531" spans="1:51" x14ac:dyDescent="0.2">
      <c r="A531" s="2" t="s">
        <v>1245</v>
      </c>
      <c r="B531" s="2" t="s">
        <v>1242</v>
      </c>
      <c r="C531" s="2" t="s">
        <v>1246</v>
      </c>
      <c r="D531" s="2">
        <v>2010</v>
      </c>
      <c r="E531" s="2" t="s">
        <v>1337</v>
      </c>
      <c r="F531" s="2" t="s">
        <v>1409</v>
      </c>
      <c r="G531" s="2" t="s">
        <v>1491</v>
      </c>
      <c r="H531" s="2" t="s">
        <v>1713</v>
      </c>
      <c r="I531" s="2" t="s">
        <v>1108</v>
      </c>
      <c r="J531" s="2" t="s">
        <v>34</v>
      </c>
      <c r="K531" s="2" t="s">
        <v>37</v>
      </c>
      <c r="P531" s="2" t="s">
        <v>22</v>
      </c>
      <c r="Q531" s="2" t="s">
        <v>27</v>
      </c>
      <c r="R531" s="2" t="s">
        <v>40</v>
      </c>
      <c r="S531" s="2" t="s">
        <v>45</v>
      </c>
      <c r="T531" s="2" t="s">
        <v>50</v>
      </c>
      <c r="U531" s="2" t="s">
        <v>53</v>
      </c>
      <c r="V531" s="2">
        <v>1333</v>
      </c>
      <c r="W531" s="2">
        <v>3</v>
      </c>
      <c r="AH531" s="2" t="s">
        <v>4</v>
      </c>
      <c r="AN531" s="2">
        <v>19</v>
      </c>
      <c r="AO531" s="2">
        <v>-0.43</v>
      </c>
      <c r="AR531" s="2" t="s">
        <v>849</v>
      </c>
      <c r="AS531" s="2" t="s">
        <v>849</v>
      </c>
      <c r="AU531" s="2" t="s">
        <v>1818</v>
      </c>
      <c r="AV531" s="2" t="s">
        <v>1830</v>
      </c>
      <c r="AW531" s="2" t="s">
        <v>1836</v>
      </c>
      <c r="AX531" s="2" t="s">
        <v>1821</v>
      </c>
      <c r="AY531" s="2" t="s">
        <v>79</v>
      </c>
    </row>
    <row r="532" spans="1:51" x14ac:dyDescent="0.2">
      <c r="A532" s="2" t="s">
        <v>1245</v>
      </c>
      <c r="B532" s="2" t="s">
        <v>1242</v>
      </c>
      <c r="C532" s="2" t="s">
        <v>1246</v>
      </c>
      <c r="D532" s="2">
        <v>2010</v>
      </c>
      <c r="E532" s="2" t="s">
        <v>1337</v>
      </c>
      <c r="F532" s="2" t="s">
        <v>1409</v>
      </c>
      <c r="G532" s="2" t="s">
        <v>1491</v>
      </c>
      <c r="H532" s="2" t="s">
        <v>1714</v>
      </c>
      <c r="I532" s="2" t="s">
        <v>1108</v>
      </c>
      <c r="J532" s="2" t="s">
        <v>34</v>
      </c>
      <c r="K532" s="2" t="s">
        <v>37</v>
      </c>
      <c r="P532" s="2" t="s">
        <v>22</v>
      </c>
      <c r="Q532" s="2" t="s">
        <v>27</v>
      </c>
      <c r="R532" s="2" t="s">
        <v>40</v>
      </c>
      <c r="S532" s="2" t="s">
        <v>45</v>
      </c>
      <c r="T532" s="2" t="s">
        <v>50</v>
      </c>
      <c r="U532" s="2" t="s">
        <v>53</v>
      </c>
      <c r="V532" s="2">
        <v>1333</v>
      </c>
      <c r="W532" s="2">
        <v>3</v>
      </c>
      <c r="AH532" s="2" t="s">
        <v>4</v>
      </c>
      <c r="AN532" s="2">
        <v>19</v>
      </c>
      <c r="AO532" s="2">
        <v>-0.24299999999999999</v>
      </c>
      <c r="AR532" s="2" t="s">
        <v>849</v>
      </c>
      <c r="AS532" s="2" t="s">
        <v>222</v>
      </c>
      <c r="AU532" s="2" t="s">
        <v>1818</v>
      </c>
      <c r="AV532" s="2" t="s">
        <v>1830</v>
      </c>
      <c r="AW532" s="2" t="s">
        <v>1836</v>
      </c>
      <c r="AX532" s="2" t="s">
        <v>1821</v>
      </c>
      <c r="AY532" s="2" t="s">
        <v>79</v>
      </c>
    </row>
    <row r="533" spans="1:51" x14ac:dyDescent="0.2">
      <c r="A533" s="2" t="s">
        <v>1245</v>
      </c>
      <c r="B533" s="2" t="s">
        <v>1242</v>
      </c>
      <c r="C533" s="2" t="s">
        <v>1246</v>
      </c>
      <c r="D533" s="2">
        <v>2010</v>
      </c>
      <c r="E533" s="2" t="s">
        <v>1337</v>
      </c>
      <c r="F533" s="2" t="s">
        <v>1409</v>
      </c>
      <c r="G533" s="2" t="s">
        <v>1491</v>
      </c>
      <c r="H533" s="2" t="s">
        <v>1715</v>
      </c>
      <c r="I533" s="2" t="s">
        <v>1108</v>
      </c>
      <c r="J533" s="2" t="s">
        <v>34</v>
      </c>
      <c r="K533" s="2" t="s">
        <v>37</v>
      </c>
      <c r="P533" s="2" t="s">
        <v>22</v>
      </c>
      <c r="Q533" s="2" t="s">
        <v>27</v>
      </c>
      <c r="R533" s="2" t="s">
        <v>40</v>
      </c>
      <c r="S533" s="2" t="s">
        <v>45</v>
      </c>
      <c r="T533" s="2" t="s">
        <v>50</v>
      </c>
      <c r="U533" s="2" t="s">
        <v>53</v>
      </c>
      <c r="V533" s="2">
        <v>1333</v>
      </c>
      <c r="W533" s="2">
        <v>3</v>
      </c>
      <c r="AH533" s="2" t="s">
        <v>4</v>
      </c>
      <c r="AN533" s="2">
        <v>19</v>
      </c>
      <c r="AO533" s="2">
        <v>0.33100000000000002</v>
      </c>
      <c r="AR533" s="2" t="s">
        <v>849</v>
      </c>
      <c r="AS533" s="2" t="s">
        <v>849</v>
      </c>
      <c r="AU533" s="2" t="s">
        <v>1818</v>
      </c>
      <c r="AV533" s="2" t="s">
        <v>1830</v>
      </c>
      <c r="AW533" s="2" t="s">
        <v>1836</v>
      </c>
      <c r="AX533" s="2" t="s">
        <v>1821</v>
      </c>
      <c r="AY533" s="2" t="s">
        <v>79</v>
      </c>
    </row>
    <row r="534" spans="1:51" x14ac:dyDescent="0.2">
      <c r="A534" s="2" t="s">
        <v>1245</v>
      </c>
      <c r="B534" s="2" t="s">
        <v>1242</v>
      </c>
      <c r="C534" s="2" t="s">
        <v>1246</v>
      </c>
      <c r="D534" s="2">
        <v>2010</v>
      </c>
      <c r="E534" s="2" t="s">
        <v>1337</v>
      </c>
      <c r="F534" s="2" t="s">
        <v>1409</v>
      </c>
      <c r="G534" s="2" t="s">
        <v>1491</v>
      </c>
      <c r="H534" s="2" t="s">
        <v>1716</v>
      </c>
      <c r="I534" s="2" t="s">
        <v>1108</v>
      </c>
      <c r="J534" s="2" t="s">
        <v>34</v>
      </c>
      <c r="K534" s="2" t="s">
        <v>37</v>
      </c>
      <c r="P534" s="2" t="s">
        <v>22</v>
      </c>
      <c r="Q534" s="2" t="s">
        <v>27</v>
      </c>
      <c r="R534" s="2" t="s">
        <v>40</v>
      </c>
      <c r="S534" s="2" t="s">
        <v>45</v>
      </c>
      <c r="T534" s="2" t="s">
        <v>50</v>
      </c>
      <c r="U534" s="2" t="s">
        <v>53</v>
      </c>
      <c r="V534" s="2">
        <v>1333</v>
      </c>
      <c r="W534" s="2">
        <v>3</v>
      </c>
      <c r="AH534" s="2" t="s">
        <v>4</v>
      </c>
      <c r="AN534" s="2">
        <v>19</v>
      </c>
      <c r="AO534" s="2">
        <v>-0.48299999999999998</v>
      </c>
      <c r="AR534" s="2" t="s">
        <v>849</v>
      </c>
      <c r="AS534" s="2" t="s">
        <v>849</v>
      </c>
      <c r="AU534" s="2" t="s">
        <v>1818</v>
      </c>
      <c r="AV534" s="2" t="s">
        <v>1830</v>
      </c>
      <c r="AW534" s="2" t="s">
        <v>1836</v>
      </c>
      <c r="AX534" s="2" t="s">
        <v>1821</v>
      </c>
      <c r="AY534" s="2" t="s">
        <v>79</v>
      </c>
    </row>
    <row r="535" spans="1:51" x14ac:dyDescent="0.2">
      <c r="A535" s="2" t="s">
        <v>1245</v>
      </c>
      <c r="B535" s="2" t="s">
        <v>1242</v>
      </c>
      <c r="C535" s="2" t="s">
        <v>1246</v>
      </c>
      <c r="D535" s="2">
        <v>2010</v>
      </c>
      <c r="E535" s="2" t="s">
        <v>1337</v>
      </c>
      <c r="F535" s="2" t="s">
        <v>1409</v>
      </c>
      <c r="G535" s="2" t="s">
        <v>1491</v>
      </c>
      <c r="H535" s="2" t="s">
        <v>1717</v>
      </c>
      <c r="I535" s="2" t="s">
        <v>1108</v>
      </c>
      <c r="J535" s="2" t="s">
        <v>34</v>
      </c>
      <c r="K535" s="2" t="s">
        <v>37</v>
      </c>
      <c r="P535" s="2" t="s">
        <v>22</v>
      </c>
      <c r="Q535" s="2" t="s">
        <v>27</v>
      </c>
      <c r="R535" s="2" t="s">
        <v>40</v>
      </c>
      <c r="S535" s="2" t="s">
        <v>43</v>
      </c>
      <c r="T535" s="2" t="s">
        <v>50</v>
      </c>
      <c r="U535" s="2" t="s">
        <v>53</v>
      </c>
      <c r="V535" s="2">
        <v>1333</v>
      </c>
      <c r="W535" s="2">
        <v>3</v>
      </c>
      <c r="AH535" s="2" t="s">
        <v>4</v>
      </c>
      <c r="AN535" s="2">
        <v>19</v>
      </c>
      <c r="AO535" s="2">
        <v>0.13200000000000001</v>
      </c>
      <c r="AR535" s="2" t="s">
        <v>849</v>
      </c>
      <c r="AS535" s="2" t="s">
        <v>849</v>
      </c>
      <c r="AU535" s="2" t="s">
        <v>1818</v>
      </c>
      <c r="AV535" s="2" t="s">
        <v>1830</v>
      </c>
      <c r="AW535" s="2" t="s">
        <v>1836</v>
      </c>
      <c r="AX535" s="2" t="s">
        <v>1821</v>
      </c>
      <c r="AY535" s="2" t="s">
        <v>79</v>
      </c>
    </row>
    <row r="536" spans="1:51" x14ac:dyDescent="0.2">
      <c r="A536" s="2" t="s">
        <v>1245</v>
      </c>
      <c r="B536" s="2" t="s">
        <v>1242</v>
      </c>
      <c r="C536" s="2" t="s">
        <v>1246</v>
      </c>
      <c r="D536" s="2">
        <v>2010</v>
      </c>
      <c r="E536" s="2" t="s">
        <v>1337</v>
      </c>
      <c r="F536" s="2" t="s">
        <v>1409</v>
      </c>
      <c r="G536" s="2" t="s">
        <v>1491</v>
      </c>
      <c r="H536" s="2" t="s">
        <v>1718</v>
      </c>
      <c r="I536" s="2" t="s">
        <v>1108</v>
      </c>
      <c r="J536" s="2" t="s">
        <v>34</v>
      </c>
      <c r="K536" s="2" t="s">
        <v>37</v>
      </c>
      <c r="P536" s="2" t="s">
        <v>22</v>
      </c>
      <c r="Q536" s="2" t="s">
        <v>27</v>
      </c>
      <c r="R536" s="2" t="s">
        <v>40</v>
      </c>
      <c r="S536" s="2" t="s">
        <v>43</v>
      </c>
      <c r="T536" s="2" t="s">
        <v>50</v>
      </c>
      <c r="U536" s="2" t="s">
        <v>53</v>
      </c>
      <c r="V536" s="2">
        <v>1333</v>
      </c>
      <c r="W536" s="2">
        <v>3</v>
      </c>
      <c r="AH536" s="2" t="s">
        <v>4</v>
      </c>
      <c r="AN536" s="2">
        <v>19</v>
      </c>
      <c r="AO536" s="2">
        <v>-0.27300000000000002</v>
      </c>
      <c r="AR536" s="2" t="s">
        <v>849</v>
      </c>
      <c r="AS536" s="2" t="s">
        <v>222</v>
      </c>
      <c r="AU536" s="2" t="s">
        <v>1818</v>
      </c>
      <c r="AV536" s="2" t="s">
        <v>1830</v>
      </c>
      <c r="AW536" s="2" t="s">
        <v>1836</v>
      </c>
      <c r="AX536" s="2" t="s">
        <v>1821</v>
      </c>
      <c r="AY536" s="2" t="s">
        <v>79</v>
      </c>
    </row>
    <row r="537" spans="1:51" x14ac:dyDescent="0.2">
      <c r="A537" s="2" t="s">
        <v>1245</v>
      </c>
      <c r="B537" s="2" t="s">
        <v>1242</v>
      </c>
      <c r="C537" s="2" t="s">
        <v>1246</v>
      </c>
      <c r="D537" s="2">
        <v>2010</v>
      </c>
      <c r="E537" s="2" t="s">
        <v>1337</v>
      </c>
      <c r="F537" s="2" t="s">
        <v>1409</v>
      </c>
      <c r="G537" s="2" t="s">
        <v>1491</v>
      </c>
      <c r="H537" s="2" t="s">
        <v>1719</v>
      </c>
      <c r="I537" s="2" t="s">
        <v>1108</v>
      </c>
      <c r="J537" s="2" t="s">
        <v>34</v>
      </c>
      <c r="K537" s="2" t="s">
        <v>37</v>
      </c>
      <c r="P537" s="2" t="s">
        <v>22</v>
      </c>
      <c r="Q537" s="2" t="s">
        <v>27</v>
      </c>
      <c r="R537" s="2" t="s">
        <v>40</v>
      </c>
      <c r="S537" s="2" t="s">
        <v>43</v>
      </c>
      <c r="T537" s="2" t="s">
        <v>50</v>
      </c>
      <c r="U537" s="2" t="s">
        <v>53</v>
      </c>
      <c r="V537" s="2">
        <v>1333</v>
      </c>
      <c r="W537" s="2">
        <v>3</v>
      </c>
      <c r="AH537" s="2" t="s">
        <v>4</v>
      </c>
      <c r="AN537" s="2">
        <v>19</v>
      </c>
      <c r="AO537" s="2">
        <v>0.312</v>
      </c>
      <c r="AR537" s="2" t="s">
        <v>849</v>
      </c>
      <c r="AS537" s="2" t="s">
        <v>849</v>
      </c>
      <c r="AU537" s="2" t="s">
        <v>1818</v>
      </c>
      <c r="AV537" s="2" t="s">
        <v>1830</v>
      </c>
      <c r="AW537" s="2" t="s">
        <v>1836</v>
      </c>
      <c r="AX537" s="2" t="s">
        <v>1821</v>
      </c>
      <c r="AY537" s="2" t="s">
        <v>79</v>
      </c>
    </row>
    <row r="538" spans="1:51" x14ac:dyDescent="0.2">
      <c r="A538" s="2" t="s">
        <v>1245</v>
      </c>
      <c r="B538" s="2" t="s">
        <v>1242</v>
      </c>
      <c r="C538" s="2" t="s">
        <v>1246</v>
      </c>
      <c r="D538" s="2">
        <v>2010</v>
      </c>
      <c r="E538" s="2" t="s">
        <v>1337</v>
      </c>
      <c r="F538" s="2" t="s">
        <v>1409</v>
      </c>
      <c r="G538" s="2" t="s">
        <v>1491</v>
      </c>
      <c r="H538" s="2" t="s">
        <v>1720</v>
      </c>
      <c r="I538" s="2" t="s">
        <v>1108</v>
      </c>
      <c r="J538" s="2" t="s">
        <v>34</v>
      </c>
      <c r="K538" s="2" t="s">
        <v>37</v>
      </c>
      <c r="P538" s="2" t="s">
        <v>22</v>
      </c>
      <c r="Q538" s="2" t="s">
        <v>27</v>
      </c>
      <c r="R538" s="2" t="s">
        <v>40</v>
      </c>
      <c r="S538" s="2" t="s">
        <v>43</v>
      </c>
      <c r="T538" s="2" t="s">
        <v>50</v>
      </c>
      <c r="U538" s="2" t="s">
        <v>53</v>
      </c>
      <c r="V538" s="2">
        <v>1333</v>
      </c>
      <c r="W538" s="2">
        <v>3</v>
      </c>
      <c r="AH538" s="2" t="s">
        <v>4</v>
      </c>
      <c r="AN538" s="2">
        <v>19</v>
      </c>
      <c r="AO538" s="2">
        <v>0.182</v>
      </c>
      <c r="AR538" s="2" t="s">
        <v>849</v>
      </c>
      <c r="AS538" s="2" t="s">
        <v>849</v>
      </c>
      <c r="AU538" s="2" t="s">
        <v>1818</v>
      </c>
      <c r="AV538" s="2" t="s">
        <v>1830</v>
      </c>
      <c r="AW538" s="2" t="s">
        <v>1836</v>
      </c>
      <c r="AX538" s="2" t="s">
        <v>1821</v>
      </c>
      <c r="AY538" s="2" t="s">
        <v>79</v>
      </c>
    </row>
    <row r="539" spans="1:51" x14ac:dyDescent="0.2">
      <c r="A539" s="2" t="s">
        <v>1245</v>
      </c>
      <c r="B539" s="2" t="s">
        <v>1242</v>
      </c>
      <c r="C539" s="2" t="s">
        <v>1246</v>
      </c>
      <c r="D539" s="2">
        <v>2010</v>
      </c>
      <c r="E539" s="2" t="s">
        <v>1337</v>
      </c>
      <c r="F539" s="2" t="s">
        <v>1409</v>
      </c>
      <c r="G539" s="2" t="s">
        <v>1491</v>
      </c>
      <c r="H539" s="2" t="s">
        <v>1721</v>
      </c>
      <c r="I539" s="2" t="s">
        <v>1108</v>
      </c>
      <c r="J539" s="2" t="s">
        <v>34</v>
      </c>
      <c r="K539" s="2" t="s">
        <v>37</v>
      </c>
      <c r="P539" s="2" t="s">
        <v>22</v>
      </c>
      <c r="Q539" s="2" t="s">
        <v>27</v>
      </c>
      <c r="R539" s="2" t="s">
        <v>40</v>
      </c>
      <c r="S539" s="2" t="s">
        <v>43</v>
      </c>
      <c r="T539" s="2" t="s">
        <v>50</v>
      </c>
      <c r="U539" s="2" t="s">
        <v>53</v>
      </c>
      <c r="V539" s="2">
        <v>1333</v>
      </c>
      <c r="W539" s="2">
        <v>3</v>
      </c>
      <c r="AH539" s="2" t="s">
        <v>4</v>
      </c>
      <c r="AN539" s="2">
        <v>19</v>
      </c>
      <c r="AO539" s="2">
        <v>-2.4E-2</v>
      </c>
      <c r="AR539" s="2" t="s">
        <v>849</v>
      </c>
      <c r="AS539" s="2" t="s">
        <v>222</v>
      </c>
      <c r="AU539" s="2" t="s">
        <v>1818</v>
      </c>
      <c r="AV539" s="2" t="s">
        <v>1830</v>
      </c>
      <c r="AW539" s="2" t="s">
        <v>1836</v>
      </c>
      <c r="AX539" s="2" t="s">
        <v>1821</v>
      </c>
      <c r="AY539" s="2" t="s">
        <v>79</v>
      </c>
    </row>
    <row r="540" spans="1:51" x14ac:dyDescent="0.2">
      <c r="A540" s="2" t="s">
        <v>1245</v>
      </c>
      <c r="B540" s="2" t="s">
        <v>1242</v>
      </c>
      <c r="C540" s="2" t="s">
        <v>1246</v>
      </c>
      <c r="D540" s="2">
        <v>2010</v>
      </c>
      <c r="E540" s="2" t="s">
        <v>1337</v>
      </c>
      <c r="F540" s="2" t="s">
        <v>1409</v>
      </c>
      <c r="G540" s="2" t="s">
        <v>1491</v>
      </c>
      <c r="H540" s="2" t="s">
        <v>1722</v>
      </c>
      <c r="I540" s="2" t="s">
        <v>1108</v>
      </c>
      <c r="J540" s="2" t="s">
        <v>34</v>
      </c>
      <c r="K540" s="2" t="s">
        <v>37</v>
      </c>
      <c r="P540" s="2" t="s">
        <v>22</v>
      </c>
      <c r="Q540" s="2" t="s">
        <v>27</v>
      </c>
      <c r="R540" s="2" t="s">
        <v>40</v>
      </c>
      <c r="S540" s="2" t="s">
        <v>43</v>
      </c>
      <c r="T540" s="2" t="s">
        <v>50</v>
      </c>
      <c r="U540" s="2" t="s">
        <v>53</v>
      </c>
      <c r="V540" s="2">
        <v>1333</v>
      </c>
      <c r="W540" s="2">
        <v>3</v>
      </c>
      <c r="AH540" s="2" t="s">
        <v>4</v>
      </c>
      <c r="AN540" s="2">
        <v>19</v>
      </c>
      <c r="AO540" s="2">
        <v>0.16900000000000001</v>
      </c>
      <c r="AR540" s="2" t="s">
        <v>849</v>
      </c>
      <c r="AS540" s="2" t="s">
        <v>849</v>
      </c>
      <c r="AU540" s="2" t="s">
        <v>1818</v>
      </c>
      <c r="AV540" s="2" t="s">
        <v>1830</v>
      </c>
      <c r="AW540" s="2" t="s">
        <v>1836</v>
      </c>
      <c r="AX540" s="2" t="s">
        <v>1821</v>
      </c>
      <c r="AY540" s="2" t="s">
        <v>79</v>
      </c>
    </row>
    <row r="541" spans="1:51" x14ac:dyDescent="0.2">
      <c r="A541" s="2" t="s">
        <v>1245</v>
      </c>
      <c r="B541" s="2" t="s">
        <v>1242</v>
      </c>
      <c r="C541" s="2" t="s">
        <v>1246</v>
      </c>
      <c r="D541" s="2">
        <v>2010</v>
      </c>
      <c r="E541" s="2" t="s">
        <v>1337</v>
      </c>
      <c r="F541" s="2" t="s">
        <v>1409</v>
      </c>
      <c r="G541" s="2" t="s">
        <v>1491</v>
      </c>
      <c r="H541" s="2" t="s">
        <v>1723</v>
      </c>
      <c r="I541" s="2" t="s">
        <v>1108</v>
      </c>
      <c r="J541" s="2" t="s">
        <v>34</v>
      </c>
      <c r="K541" s="2" t="s">
        <v>37</v>
      </c>
      <c r="P541" s="2" t="s">
        <v>22</v>
      </c>
      <c r="Q541" s="2" t="s">
        <v>27</v>
      </c>
      <c r="R541" s="2" t="s">
        <v>40</v>
      </c>
      <c r="S541" s="2" t="s">
        <v>43</v>
      </c>
      <c r="T541" s="2" t="s">
        <v>50</v>
      </c>
      <c r="U541" s="2" t="s">
        <v>53</v>
      </c>
      <c r="V541" s="2">
        <v>1333</v>
      </c>
      <c r="W541" s="2">
        <v>3</v>
      </c>
      <c r="AH541" s="2" t="s">
        <v>4</v>
      </c>
      <c r="AN541" s="2">
        <v>19</v>
      </c>
      <c r="AO541" s="2">
        <v>-0.18</v>
      </c>
      <c r="AR541" s="2" t="s">
        <v>849</v>
      </c>
      <c r="AS541" s="2" t="s">
        <v>222</v>
      </c>
      <c r="AU541" s="2" t="s">
        <v>1818</v>
      </c>
      <c r="AV541" s="2" t="s">
        <v>1830</v>
      </c>
      <c r="AW541" s="2" t="s">
        <v>1836</v>
      </c>
      <c r="AX541" s="2" t="s">
        <v>1821</v>
      </c>
      <c r="AY541" s="2" t="s">
        <v>79</v>
      </c>
    </row>
    <row r="542" spans="1:51" x14ac:dyDescent="0.2">
      <c r="A542" s="2" t="s">
        <v>1245</v>
      </c>
      <c r="B542" s="2" t="s">
        <v>1242</v>
      </c>
      <c r="C542" s="2" t="s">
        <v>1246</v>
      </c>
      <c r="D542" s="2">
        <v>2010</v>
      </c>
      <c r="E542" s="2" t="s">
        <v>1337</v>
      </c>
      <c r="F542" s="2" t="s">
        <v>1409</v>
      </c>
      <c r="G542" s="2" t="s">
        <v>1491</v>
      </c>
      <c r="H542" s="2" t="s">
        <v>1724</v>
      </c>
      <c r="I542" s="2" t="s">
        <v>1108</v>
      </c>
      <c r="J542" s="2" t="s">
        <v>34</v>
      </c>
      <c r="K542" s="2" t="s">
        <v>37</v>
      </c>
      <c r="P542" s="2" t="s">
        <v>22</v>
      </c>
      <c r="Q542" s="2" t="s">
        <v>27</v>
      </c>
      <c r="R542" s="2" t="s">
        <v>40</v>
      </c>
      <c r="S542" s="2" t="s">
        <v>43</v>
      </c>
      <c r="T542" s="2" t="s">
        <v>50</v>
      </c>
      <c r="U542" s="2" t="s">
        <v>53</v>
      </c>
      <c r="V542" s="2">
        <v>1333</v>
      </c>
      <c r="W542" s="2">
        <v>3</v>
      </c>
      <c r="AH542" s="2" t="s">
        <v>4</v>
      </c>
      <c r="AN542" s="2">
        <v>19</v>
      </c>
      <c r="AO542" s="2">
        <v>-1.9E-2</v>
      </c>
      <c r="AR542" s="2" t="s">
        <v>849</v>
      </c>
      <c r="AS542" s="2" t="s">
        <v>849</v>
      </c>
      <c r="AU542" s="2" t="s">
        <v>1818</v>
      </c>
      <c r="AV542" s="2" t="s">
        <v>1830</v>
      </c>
      <c r="AW542" s="2" t="s">
        <v>1836</v>
      </c>
      <c r="AX542" s="2" t="s">
        <v>1821</v>
      </c>
      <c r="AY542" s="2" t="s">
        <v>79</v>
      </c>
    </row>
    <row r="543" spans="1:51" x14ac:dyDescent="0.2">
      <c r="A543" s="2" t="s">
        <v>1245</v>
      </c>
      <c r="B543" s="2" t="s">
        <v>1242</v>
      </c>
      <c r="C543" s="2" t="s">
        <v>1246</v>
      </c>
      <c r="D543" s="2">
        <v>2010</v>
      </c>
      <c r="E543" s="2" t="s">
        <v>1337</v>
      </c>
      <c r="F543" s="2" t="s">
        <v>1409</v>
      </c>
      <c r="G543" s="2" t="s">
        <v>1491</v>
      </c>
      <c r="H543" s="2" t="s">
        <v>1725</v>
      </c>
      <c r="I543" s="2" t="s">
        <v>1108</v>
      </c>
      <c r="J543" s="2" t="s">
        <v>34</v>
      </c>
      <c r="K543" s="2" t="s">
        <v>37</v>
      </c>
      <c r="P543" s="2" t="s">
        <v>22</v>
      </c>
      <c r="Q543" s="2" t="s">
        <v>27</v>
      </c>
      <c r="R543" s="2" t="s">
        <v>40</v>
      </c>
      <c r="S543" s="2" t="s">
        <v>43</v>
      </c>
      <c r="T543" s="2" t="s">
        <v>50</v>
      </c>
      <c r="U543" s="2" t="s">
        <v>53</v>
      </c>
      <c r="V543" s="2">
        <v>1333</v>
      </c>
      <c r="W543" s="2">
        <v>3</v>
      </c>
      <c r="AH543" s="2" t="s">
        <v>4</v>
      </c>
      <c r="AN543" s="2">
        <v>19</v>
      </c>
      <c r="AO543" s="2">
        <v>1.4999999999999999E-2</v>
      </c>
      <c r="AR543" s="2" t="s">
        <v>849</v>
      </c>
      <c r="AS543" s="2" t="s">
        <v>849</v>
      </c>
      <c r="AU543" s="2" t="s">
        <v>1818</v>
      </c>
      <c r="AV543" s="2" t="s">
        <v>1830</v>
      </c>
      <c r="AW543" s="2" t="s">
        <v>1836</v>
      </c>
      <c r="AX543" s="2" t="s">
        <v>1821</v>
      </c>
      <c r="AY543" s="2" t="s">
        <v>79</v>
      </c>
    </row>
    <row r="544" spans="1:51" x14ac:dyDescent="0.2">
      <c r="A544" s="2" t="s">
        <v>1247</v>
      </c>
      <c r="B544" s="2" t="s">
        <v>1248</v>
      </c>
      <c r="C544" s="2" t="s">
        <v>1249</v>
      </c>
      <c r="D544" s="2">
        <v>1998</v>
      </c>
      <c r="E544" s="2" t="s">
        <v>1338</v>
      </c>
      <c r="F544" s="2" t="s">
        <v>1410</v>
      </c>
      <c r="G544" s="2" t="s">
        <v>1492</v>
      </c>
      <c r="H544" s="2" t="s">
        <v>1726</v>
      </c>
      <c r="I544" s="2" t="s">
        <v>1250</v>
      </c>
      <c r="J544" s="2" t="s">
        <v>32</v>
      </c>
      <c r="K544" s="2" t="s">
        <v>38</v>
      </c>
      <c r="L544" s="2" t="s">
        <v>12</v>
      </c>
      <c r="P544" s="2" t="s">
        <v>22</v>
      </c>
      <c r="Q544" s="2" t="s">
        <v>30</v>
      </c>
      <c r="R544" s="2" t="s">
        <v>41</v>
      </c>
      <c r="S544" s="2" t="s">
        <v>46</v>
      </c>
      <c r="T544" s="2" t="s">
        <v>50</v>
      </c>
      <c r="U544" s="2" t="s">
        <v>54</v>
      </c>
      <c r="V544" s="2">
        <v>276</v>
      </c>
      <c r="X544" s="2">
        <v>5</v>
      </c>
      <c r="Y544" s="2">
        <v>5</v>
      </c>
      <c r="AB544" s="2">
        <v>5.0999999999999997E-2</v>
      </c>
      <c r="AC544" s="2">
        <v>1.4E-2</v>
      </c>
      <c r="AD544" s="2">
        <v>1.2E-2</v>
      </c>
      <c r="AE544" s="2">
        <v>6.0000000000000001E-3</v>
      </c>
      <c r="AF544" s="2" t="s">
        <v>74</v>
      </c>
      <c r="AG544" s="2" t="s">
        <v>65</v>
      </c>
      <c r="AH544" s="2" t="str">
        <f>IF(AF544="mean", "mean", "")</f>
        <v>mean</v>
      </c>
      <c r="AR544" s="2" t="s">
        <v>849</v>
      </c>
      <c r="AS544" s="2" t="s">
        <v>849</v>
      </c>
      <c r="AU544" s="2" t="s">
        <v>1818</v>
      </c>
      <c r="AV544" s="2" t="s">
        <v>1830</v>
      </c>
      <c r="AW544" s="2" t="s">
        <v>1823</v>
      </c>
      <c r="AX544" s="2" t="s">
        <v>1829</v>
      </c>
      <c r="AY544" s="2" t="s">
        <v>79</v>
      </c>
    </row>
    <row r="545" spans="1:51" x14ac:dyDescent="0.2">
      <c r="A545" s="2" t="s">
        <v>1247</v>
      </c>
      <c r="B545" s="2" t="s">
        <v>1248</v>
      </c>
      <c r="C545" s="2" t="s">
        <v>1249</v>
      </c>
      <c r="D545" s="2">
        <v>1998</v>
      </c>
      <c r="E545" s="2" t="s">
        <v>1338</v>
      </c>
      <c r="F545" s="2" t="s">
        <v>1411</v>
      </c>
      <c r="G545" s="2" t="s">
        <v>1493</v>
      </c>
      <c r="H545" s="2" t="s">
        <v>1727</v>
      </c>
      <c r="I545" s="2" t="s">
        <v>1250</v>
      </c>
      <c r="J545" s="2" t="s">
        <v>32</v>
      </c>
      <c r="K545" s="2" t="s">
        <v>37</v>
      </c>
      <c r="P545" s="2" t="s">
        <v>22</v>
      </c>
      <c r="Q545" s="2" t="s">
        <v>29</v>
      </c>
      <c r="R545" s="2" t="s">
        <v>41</v>
      </c>
      <c r="S545" s="2" t="s">
        <v>46</v>
      </c>
      <c r="T545" s="2" t="s">
        <v>50</v>
      </c>
      <c r="U545" s="2" t="s">
        <v>54</v>
      </c>
      <c r="V545" s="2">
        <v>276</v>
      </c>
      <c r="X545" s="2">
        <v>5</v>
      </c>
      <c r="Y545" s="2">
        <v>8</v>
      </c>
      <c r="AB545" s="2">
        <v>4.1000000000000002E-2</v>
      </c>
      <c r="AC545" s="2">
        <v>1.2E-2</v>
      </c>
      <c r="AD545" s="2">
        <v>2.3E-2</v>
      </c>
      <c r="AE545" s="2">
        <v>1.2E-2</v>
      </c>
      <c r="AF545" s="2" t="s">
        <v>74</v>
      </c>
      <c r="AG545" s="2" t="s">
        <v>65</v>
      </c>
      <c r="AH545" s="2" t="str">
        <f>IF(AF545="mean", "mean", "")</f>
        <v>mean</v>
      </c>
      <c r="AR545" s="2" t="s">
        <v>849</v>
      </c>
      <c r="AS545" s="2" t="s">
        <v>849</v>
      </c>
      <c r="AU545" s="2" t="s">
        <v>1818</v>
      </c>
      <c r="AV545" s="2" t="s">
        <v>1830</v>
      </c>
      <c r="AW545" s="2" t="s">
        <v>1823</v>
      </c>
      <c r="AX545" s="2" t="s">
        <v>1829</v>
      </c>
      <c r="AY545" s="2" t="s">
        <v>79</v>
      </c>
    </row>
    <row r="546" spans="1:51" x14ac:dyDescent="0.2">
      <c r="A546" s="2" t="s">
        <v>1251</v>
      </c>
      <c r="B546" s="2" t="s">
        <v>1252</v>
      </c>
      <c r="C546" s="2" t="s">
        <v>1253</v>
      </c>
      <c r="D546" s="2">
        <v>2012</v>
      </c>
      <c r="E546" s="2" t="s">
        <v>1339</v>
      </c>
      <c r="F546" s="2" t="s">
        <v>1412</v>
      </c>
      <c r="G546" s="2" t="s">
        <v>1494</v>
      </c>
      <c r="H546" s="2" t="s">
        <v>1728</v>
      </c>
      <c r="I546" s="2" t="s">
        <v>1254</v>
      </c>
      <c r="J546" s="2" t="s">
        <v>34</v>
      </c>
      <c r="K546" s="2" t="s">
        <v>37</v>
      </c>
      <c r="P546" s="2" t="s">
        <v>22</v>
      </c>
      <c r="Q546" s="2" t="s">
        <v>27</v>
      </c>
      <c r="R546" s="2" t="s">
        <v>41</v>
      </c>
      <c r="S546" s="2" t="s">
        <v>46</v>
      </c>
      <c r="T546" s="2" t="s">
        <v>50</v>
      </c>
      <c r="U546" s="2" t="s">
        <v>53</v>
      </c>
      <c r="V546" s="2">
        <v>313</v>
      </c>
      <c r="W546" s="2">
        <v>1</v>
      </c>
      <c r="AH546" s="2" t="s">
        <v>4</v>
      </c>
      <c r="AN546" s="2">
        <v>20</v>
      </c>
      <c r="AO546" s="2">
        <v>0.46400000000000002</v>
      </c>
      <c r="AR546" s="2" t="s">
        <v>849</v>
      </c>
      <c r="AS546" s="2" t="s">
        <v>849</v>
      </c>
      <c r="AU546" s="2" t="s">
        <v>1825</v>
      </c>
      <c r="AV546" s="2" t="s">
        <v>1819</v>
      </c>
      <c r="AW546" s="2" t="s">
        <v>1820</v>
      </c>
      <c r="AX546" s="2" t="s">
        <v>1821</v>
      </c>
      <c r="AY546" s="2" t="s">
        <v>79</v>
      </c>
    </row>
    <row r="547" spans="1:51" x14ac:dyDescent="0.2">
      <c r="A547" s="2" t="s">
        <v>1251</v>
      </c>
      <c r="B547" s="2" t="s">
        <v>1252</v>
      </c>
      <c r="C547" s="2" t="s">
        <v>1253</v>
      </c>
      <c r="D547" s="2">
        <v>2012</v>
      </c>
      <c r="E547" s="2" t="s">
        <v>1339</v>
      </c>
      <c r="F547" s="2" t="s">
        <v>1412</v>
      </c>
      <c r="G547" s="2" t="s">
        <v>1494</v>
      </c>
      <c r="H547" s="2" t="s">
        <v>1729</v>
      </c>
      <c r="I547" s="2" t="s">
        <v>1254</v>
      </c>
      <c r="J547" s="2" t="s">
        <v>34</v>
      </c>
      <c r="K547" s="2" t="s">
        <v>37</v>
      </c>
      <c r="P547" s="2" t="s">
        <v>22</v>
      </c>
      <c r="Q547" s="2" t="s">
        <v>27</v>
      </c>
      <c r="R547" s="2" t="s">
        <v>41</v>
      </c>
      <c r="S547" s="2" t="s">
        <v>46</v>
      </c>
      <c r="T547" s="2" t="s">
        <v>50</v>
      </c>
      <c r="U547" s="2" t="s">
        <v>53</v>
      </c>
      <c r="V547" s="2">
        <v>313</v>
      </c>
      <c r="W547" s="2">
        <v>1</v>
      </c>
      <c r="AH547" s="2" t="s">
        <v>4</v>
      </c>
      <c r="AN547" s="2">
        <v>20</v>
      </c>
      <c r="AO547" s="2">
        <v>-0.67700000000000005</v>
      </c>
      <c r="AR547" s="2" t="s">
        <v>849</v>
      </c>
      <c r="AS547" s="2" t="s">
        <v>849</v>
      </c>
      <c r="AU547" s="2" t="s">
        <v>1825</v>
      </c>
      <c r="AV547" s="2" t="s">
        <v>1819</v>
      </c>
      <c r="AW547" s="2" t="s">
        <v>1820</v>
      </c>
      <c r="AX547" s="2" t="s">
        <v>1821</v>
      </c>
      <c r="AY547" s="2" t="s">
        <v>79</v>
      </c>
    </row>
    <row r="548" spans="1:51" x14ac:dyDescent="0.2">
      <c r="A548" s="2" t="s">
        <v>1251</v>
      </c>
      <c r="B548" s="2" t="s">
        <v>1252</v>
      </c>
      <c r="C548" s="2" t="s">
        <v>1253</v>
      </c>
      <c r="D548" s="2">
        <v>2012</v>
      </c>
      <c r="E548" s="2" t="s">
        <v>1339</v>
      </c>
      <c r="F548" s="2" t="s">
        <v>1412</v>
      </c>
      <c r="G548" s="2" t="s">
        <v>1494</v>
      </c>
      <c r="H548" s="2" t="s">
        <v>1730</v>
      </c>
      <c r="I548" s="2" t="s">
        <v>1254</v>
      </c>
      <c r="J548" s="2" t="s">
        <v>34</v>
      </c>
      <c r="K548" s="2" t="s">
        <v>37</v>
      </c>
      <c r="P548" s="2" t="s">
        <v>22</v>
      </c>
      <c r="Q548" s="2" t="s">
        <v>27</v>
      </c>
      <c r="R548" s="2" t="s">
        <v>41</v>
      </c>
      <c r="S548" s="2" t="s">
        <v>46</v>
      </c>
      <c r="T548" s="2" t="s">
        <v>50</v>
      </c>
      <c r="U548" s="2" t="s">
        <v>53</v>
      </c>
      <c r="V548" s="2">
        <v>313</v>
      </c>
      <c r="W548" s="2">
        <v>1</v>
      </c>
      <c r="AH548" s="2" t="s">
        <v>4</v>
      </c>
      <c r="AN548" s="2">
        <v>20</v>
      </c>
      <c r="AO548" s="2">
        <v>0.38</v>
      </c>
      <c r="AR548" s="2" t="s">
        <v>849</v>
      </c>
      <c r="AS548" s="2" t="s">
        <v>849</v>
      </c>
      <c r="AU548" s="2" t="s">
        <v>1825</v>
      </c>
      <c r="AV548" s="2" t="s">
        <v>1819</v>
      </c>
      <c r="AW548" s="2" t="s">
        <v>1820</v>
      </c>
      <c r="AX548" s="2" t="s">
        <v>1821</v>
      </c>
      <c r="AY548" s="2" t="s">
        <v>79</v>
      </c>
    </row>
    <row r="549" spans="1:51" x14ac:dyDescent="0.2">
      <c r="A549" s="2" t="s">
        <v>1251</v>
      </c>
      <c r="B549" s="2" t="s">
        <v>1252</v>
      </c>
      <c r="C549" s="2" t="s">
        <v>1253</v>
      </c>
      <c r="D549" s="2">
        <v>2012</v>
      </c>
      <c r="E549" s="2" t="s">
        <v>1339</v>
      </c>
      <c r="F549" s="2" t="s">
        <v>1412</v>
      </c>
      <c r="G549" s="2" t="s">
        <v>1494</v>
      </c>
      <c r="H549" s="2" t="s">
        <v>1731</v>
      </c>
      <c r="I549" s="2" t="s">
        <v>1254</v>
      </c>
      <c r="J549" s="2" t="s">
        <v>34</v>
      </c>
      <c r="K549" s="2" t="s">
        <v>37</v>
      </c>
      <c r="P549" s="2" t="s">
        <v>22</v>
      </c>
      <c r="Q549" s="2" t="s">
        <v>27</v>
      </c>
      <c r="R549" s="2" t="s">
        <v>41</v>
      </c>
      <c r="S549" s="2" t="s">
        <v>46</v>
      </c>
      <c r="T549" s="2" t="s">
        <v>50</v>
      </c>
      <c r="U549" s="2" t="s">
        <v>53</v>
      </c>
      <c r="V549" s="2">
        <v>313</v>
      </c>
      <c r="W549" s="2">
        <v>1</v>
      </c>
      <c r="AH549" s="2" t="s">
        <v>4</v>
      </c>
      <c r="AN549" s="2">
        <v>20</v>
      </c>
      <c r="AO549" s="2">
        <v>0.45800000000000002</v>
      </c>
      <c r="AR549" s="2" t="s">
        <v>849</v>
      </c>
      <c r="AS549" s="2" t="s">
        <v>222</v>
      </c>
      <c r="AU549" s="2" t="s">
        <v>1825</v>
      </c>
      <c r="AV549" s="2" t="s">
        <v>1819</v>
      </c>
      <c r="AW549" s="2" t="s">
        <v>1820</v>
      </c>
      <c r="AX549" s="2" t="s">
        <v>1821</v>
      </c>
      <c r="AY549" s="2" t="s">
        <v>79</v>
      </c>
    </row>
    <row r="550" spans="1:51" x14ac:dyDescent="0.2">
      <c r="A550" s="2" t="s">
        <v>1251</v>
      </c>
      <c r="B550" s="2" t="s">
        <v>1252</v>
      </c>
      <c r="C550" s="2" t="s">
        <v>1253</v>
      </c>
      <c r="D550" s="2">
        <v>2012</v>
      </c>
      <c r="E550" s="2" t="s">
        <v>1339</v>
      </c>
      <c r="F550" s="2" t="s">
        <v>1412</v>
      </c>
      <c r="G550" s="2" t="s">
        <v>1494</v>
      </c>
      <c r="H550" s="2" t="s">
        <v>1732</v>
      </c>
      <c r="I550" s="2" t="s">
        <v>1254</v>
      </c>
      <c r="J550" s="2" t="s">
        <v>34</v>
      </c>
      <c r="K550" s="2" t="s">
        <v>37</v>
      </c>
      <c r="P550" s="2" t="s">
        <v>22</v>
      </c>
      <c r="Q550" s="2" t="s">
        <v>27</v>
      </c>
      <c r="R550" s="2" t="s">
        <v>41</v>
      </c>
      <c r="S550" s="2" t="s">
        <v>46</v>
      </c>
      <c r="T550" s="2" t="s">
        <v>50</v>
      </c>
      <c r="U550" s="2" t="s">
        <v>53</v>
      </c>
      <c r="V550" s="2">
        <v>313</v>
      </c>
      <c r="W550" s="2">
        <v>1</v>
      </c>
      <c r="AH550" s="2" t="s">
        <v>4</v>
      </c>
      <c r="AN550" s="2">
        <v>15</v>
      </c>
      <c r="AO550" s="2">
        <v>0.57199999999999995</v>
      </c>
      <c r="AR550" s="2" t="s">
        <v>849</v>
      </c>
      <c r="AS550" s="2" t="s">
        <v>849</v>
      </c>
      <c r="AU550" s="2" t="s">
        <v>1825</v>
      </c>
      <c r="AV550" s="2" t="s">
        <v>1819</v>
      </c>
      <c r="AW550" s="2" t="s">
        <v>1820</v>
      </c>
      <c r="AX550" s="2" t="s">
        <v>1821</v>
      </c>
      <c r="AY550" s="2" t="s">
        <v>79</v>
      </c>
    </row>
    <row r="551" spans="1:51" x14ac:dyDescent="0.2">
      <c r="A551" s="2" t="s">
        <v>1251</v>
      </c>
      <c r="B551" s="2" t="s">
        <v>1252</v>
      </c>
      <c r="C551" s="2" t="s">
        <v>1253</v>
      </c>
      <c r="D551" s="2">
        <v>2012</v>
      </c>
      <c r="E551" s="2" t="s">
        <v>1339</v>
      </c>
      <c r="F551" s="2" t="s">
        <v>1412</v>
      </c>
      <c r="G551" s="2" t="s">
        <v>1494</v>
      </c>
      <c r="H551" s="2" t="s">
        <v>1733</v>
      </c>
      <c r="I551" s="2" t="s">
        <v>1254</v>
      </c>
      <c r="J551" s="2" t="s">
        <v>34</v>
      </c>
      <c r="K551" s="2" t="s">
        <v>37</v>
      </c>
      <c r="P551" s="2" t="s">
        <v>22</v>
      </c>
      <c r="Q551" s="2" t="s">
        <v>27</v>
      </c>
      <c r="R551" s="2" t="s">
        <v>41</v>
      </c>
      <c r="S551" s="2" t="s">
        <v>46</v>
      </c>
      <c r="T551" s="2" t="s">
        <v>50</v>
      </c>
      <c r="U551" s="2" t="s">
        <v>53</v>
      </c>
      <c r="V551" s="2">
        <v>313</v>
      </c>
      <c r="W551" s="2">
        <v>1</v>
      </c>
      <c r="AH551" s="2" t="s">
        <v>4</v>
      </c>
      <c r="AN551" s="2">
        <v>15</v>
      </c>
      <c r="AO551" s="2">
        <v>-0.311</v>
      </c>
      <c r="AR551" s="2" t="s">
        <v>849</v>
      </c>
      <c r="AS551" s="2" t="s">
        <v>849</v>
      </c>
      <c r="AU551" s="2" t="s">
        <v>1825</v>
      </c>
      <c r="AV551" s="2" t="s">
        <v>1819</v>
      </c>
      <c r="AW551" s="2" t="s">
        <v>1820</v>
      </c>
      <c r="AX551" s="2" t="s">
        <v>1821</v>
      </c>
      <c r="AY551" s="2" t="s">
        <v>79</v>
      </c>
    </row>
    <row r="552" spans="1:51" x14ac:dyDescent="0.2">
      <c r="A552" s="2" t="s">
        <v>1251</v>
      </c>
      <c r="B552" s="2" t="s">
        <v>1252</v>
      </c>
      <c r="C552" s="2" t="s">
        <v>1253</v>
      </c>
      <c r="D552" s="2">
        <v>2012</v>
      </c>
      <c r="E552" s="2" t="s">
        <v>1339</v>
      </c>
      <c r="F552" s="2" t="s">
        <v>1412</v>
      </c>
      <c r="G552" s="2" t="s">
        <v>1494</v>
      </c>
      <c r="H552" s="2" t="s">
        <v>1734</v>
      </c>
      <c r="I552" s="2" t="s">
        <v>1254</v>
      </c>
      <c r="J552" s="2" t="s">
        <v>34</v>
      </c>
      <c r="K552" s="2" t="s">
        <v>37</v>
      </c>
      <c r="P552" s="2" t="s">
        <v>22</v>
      </c>
      <c r="Q552" s="2" t="s">
        <v>27</v>
      </c>
      <c r="R552" s="2" t="s">
        <v>41</v>
      </c>
      <c r="S552" s="2" t="s">
        <v>46</v>
      </c>
      <c r="T552" s="2" t="s">
        <v>50</v>
      </c>
      <c r="U552" s="2" t="s">
        <v>53</v>
      </c>
      <c r="V552" s="2">
        <v>313</v>
      </c>
      <c r="W552" s="2">
        <v>1</v>
      </c>
      <c r="AH552" s="2" t="s">
        <v>4</v>
      </c>
      <c r="AN552" s="2">
        <v>15</v>
      </c>
      <c r="AO552" s="2">
        <v>-0.39300000000000002</v>
      </c>
      <c r="AR552" s="2" t="s">
        <v>849</v>
      </c>
      <c r="AS552" s="2" t="s">
        <v>849</v>
      </c>
      <c r="AU552" s="2" t="s">
        <v>1825</v>
      </c>
      <c r="AV552" s="2" t="s">
        <v>1819</v>
      </c>
      <c r="AW552" s="2" t="s">
        <v>1820</v>
      </c>
      <c r="AX552" s="2" t="s">
        <v>1821</v>
      </c>
      <c r="AY552" s="2" t="s">
        <v>79</v>
      </c>
    </row>
    <row r="553" spans="1:51" x14ac:dyDescent="0.2">
      <c r="A553" s="2" t="s">
        <v>1251</v>
      </c>
      <c r="B553" s="2" t="s">
        <v>1252</v>
      </c>
      <c r="C553" s="2" t="s">
        <v>1253</v>
      </c>
      <c r="D553" s="2">
        <v>2012</v>
      </c>
      <c r="E553" s="2" t="s">
        <v>1339</v>
      </c>
      <c r="F553" s="2" t="s">
        <v>1412</v>
      </c>
      <c r="G553" s="2" t="s">
        <v>1494</v>
      </c>
      <c r="H553" s="2" t="s">
        <v>1735</v>
      </c>
      <c r="I553" s="2" t="s">
        <v>1254</v>
      </c>
      <c r="J553" s="2" t="s">
        <v>34</v>
      </c>
      <c r="K553" s="2" t="s">
        <v>37</v>
      </c>
      <c r="P553" s="2" t="s">
        <v>22</v>
      </c>
      <c r="Q553" s="2" t="s">
        <v>27</v>
      </c>
      <c r="R553" s="2" t="s">
        <v>41</v>
      </c>
      <c r="S553" s="2" t="s">
        <v>46</v>
      </c>
      <c r="T553" s="2" t="s">
        <v>50</v>
      </c>
      <c r="U553" s="2" t="s">
        <v>53</v>
      </c>
      <c r="V553" s="2">
        <v>313</v>
      </c>
      <c r="W553" s="2">
        <v>1</v>
      </c>
      <c r="AH553" s="2" t="s">
        <v>4</v>
      </c>
      <c r="AN553" s="2">
        <v>15</v>
      </c>
      <c r="AO553" s="2">
        <v>0.34799999999999998</v>
      </c>
      <c r="AR553" s="2" t="s">
        <v>849</v>
      </c>
      <c r="AS553" s="2" t="s">
        <v>222</v>
      </c>
      <c r="AU553" s="2" t="s">
        <v>1825</v>
      </c>
      <c r="AV553" s="2" t="s">
        <v>1819</v>
      </c>
      <c r="AW553" s="2" t="s">
        <v>1820</v>
      </c>
      <c r="AX553" s="2" t="s">
        <v>1821</v>
      </c>
      <c r="AY553" s="2" t="s">
        <v>79</v>
      </c>
    </row>
    <row r="554" spans="1:51" x14ac:dyDescent="0.2">
      <c r="A554" s="2" t="s">
        <v>1255</v>
      </c>
      <c r="B554" s="2" t="s">
        <v>1256</v>
      </c>
      <c r="C554" s="2" t="s">
        <v>1257</v>
      </c>
      <c r="D554" s="2">
        <v>2014</v>
      </c>
      <c r="E554" s="2" t="s">
        <v>1340</v>
      </c>
      <c r="F554" s="2" t="s">
        <v>1413</v>
      </c>
      <c r="G554" s="2" t="s">
        <v>1495</v>
      </c>
      <c r="H554" s="2" t="s">
        <v>1736</v>
      </c>
      <c r="I554" s="2" t="s">
        <v>1258</v>
      </c>
      <c r="J554" s="2" t="s">
        <v>84</v>
      </c>
      <c r="K554" s="2" t="s">
        <v>38</v>
      </c>
      <c r="L554" s="2" t="s">
        <v>11</v>
      </c>
      <c r="M554" s="2" t="s">
        <v>14</v>
      </c>
      <c r="N554" s="2" t="s">
        <v>16</v>
      </c>
      <c r="O554" s="2">
        <v>1</v>
      </c>
      <c r="P554" s="2" t="s">
        <v>23</v>
      </c>
      <c r="Q554" s="2" t="s">
        <v>81</v>
      </c>
      <c r="T554" s="2" t="s">
        <v>50</v>
      </c>
      <c r="U554" s="2" t="s">
        <v>52</v>
      </c>
      <c r="V554" s="2">
        <v>952</v>
      </c>
      <c r="W554" s="2">
        <v>2</v>
      </c>
      <c r="X554" s="2">
        <v>6.58</v>
      </c>
      <c r="Y554" s="2">
        <v>6.58</v>
      </c>
      <c r="AB554" s="2">
        <v>0.96985645933014297</v>
      </c>
      <c r="AC554" s="2">
        <v>2.2153420068723E-2</v>
      </c>
      <c r="AD554" s="2">
        <v>0.82081339712918699</v>
      </c>
      <c r="AE554" s="2">
        <v>0.36774677314079601</v>
      </c>
      <c r="AF554" s="2" t="s">
        <v>74</v>
      </c>
      <c r="AG554" s="2" t="s">
        <v>64</v>
      </c>
      <c r="AH554" s="2" t="str">
        <f t="shared" ref="AH554:AH567" si="17">IF(AF554="mean", "mean", "")</f>
        <v>mean</v>
      </c>
      <c r="AR554" s="2" t="s">
        <v>849</v>
      </c>
      <c r="AS554" s="2" t="s">
        <v>849</v>
      </c>
      <c r="AU554" s="2" t="s">
        <v>1818</v>
      </c>
      <c r="AV554" s="2" t="s">
        <v>1822</v>
      </c>
      <c r="AW554" s="2" t="s">
        <v>1823</v>
      </c>
      <c r="AX554" s="2" t="s">
        <v>1821</v>
      </c>
      <c r="AY554" s="2" t="s">
        <v>1824</v>
      </c>
    </row>
    <row r="555" spans="1:51" x14ac:dyDescent="0.2">
      <c r="A555" s="2" t="s">
        <v>1255</v>
      </c>
      <c r="B555" s="2" t="s">
        <v>1256</v>
      </c>
      <c r="C555" s="2" t="s">
        <v>1257</v>
      </c>
      <c r="D555" s="2">
        <v>2014</v>
      </c>
      <c r="E555" s="2" t="s">
        <v>1340</v>
      </c>
      <c r="F555" s="2" t="s">
        <v>1413</v>
      </c>
      <c r="G555" s="2" t="s">
        <v>1495</v>
      </c>
      <c r="H555" s="2" t="s">
        <v>1737</v>
      </c>
      <c r="I555" s="2" t="s">
        <v>1258</v>
      </c>
      <c r="J555" s="2" t="s">
        <v>84</v>
      </c>
      <c r="K555" s="2" t="s">
        <v>38</v>
      </c>
      <c r="L555" s="2" t="s">
        <v>11</v>
      </c>
      <c r="M555" s="2" t="s">
        <v>14</v>
      </c>
      <c r="N555" s="2" t="s">
        <v>16</v>
      </c>
      <c r="O555" s="2">
        <v>1</v>
      </c>
      <c r="P555" s="2" t="s">
        <v>23</v>
      </c>
      <c r="Q555" s="2" t="s">
        <v>81</v>
      </c>
      <c r="T555" s="2" t="s">
        <v>50</v>
      </c>
      <c r="U555" s="2" t="s">
        <v>52</v>
      </c>
      <c r="V555" s="2">
        <v>952</v>
      </c>
      <c r="W555" s="2">
        <v>2</v>
      </c>
      <c r="X555" s="2">
        <v>6.58</v>
      </c>
      <c r="Y555" s="2">
        <v>6.58</v>
      </c>
      <c r="AB555" s="2">
        <v>0.95299760191846505</v>
      </c>
      <c r="AC555" s="2">
        <v>5.7737019018436198E-2</v>
      </c>
      <c r="AD555" s="2">
        <v>0.92278177458033595</v>
      </c>
      <c r="AE555" s="2">
        <v>0.10659141972634301</v>
      </c>
      <c r="AF555" s="2" t="s">
        <v>74</v>
      </c>
      <c r="AG555" s="2" t="s">
        <v>64</v>
      </c>
      <c r="AH555" s="2" t="str">
        <f t="shared" si="17"/>
        <v>mean</v>
      </c>
      <c r="AR555" s="2" t="s">
        <v>849</v>
      </c>
      <c r="AS555" s="2" t="s">
        <v>849</v>
      </c>
      <c r="AU555" s="2" t="s">
        <v>1818</v>
      </c>
      <c r="AV555" s="2" t="s">
        <v>1822</v>
      </c>
      <c r="AW555" s="2" t="s">
        <v>1823</v>
      </c>
      <c r="AX555" s="2" t="s">
        <v>1821</v>
      </c>
      <c r="AY555" s="2" t="s">
        <v>1824</v>
      </c>
    </row>
    <row r="556" spans="1:51" x14ac:dyDescent="0.2">
      <c r="A556" s="2" t="s">
        <v>1255</v>
      </c>
      <c r="B556" s="2" t="s">
        <v>1256</v>
      </c>
      <c r="C556" s="2" t="s">
        <v>1257</v>
      </c>
      <c r="D556" s="2">
        <v>2014</v>
      </c>
      <c r="E556" s="2" t="s">
        <v>1340</v>
      </c>
      <c r="F556" s="2" t="s">
        <v>1413</v>
      </c>
      <c r="G556" s="2" t="s">
        <v>1495</v>
      </c>
      <c r="H556" s="2" t="s">
        <v>1738</v>
      </c>
      <c r="I556" s="2" t="s">
        <v>1258</v>
      </c>
      <c r="J556" s="2" t="s">
        <v>84</v>
      </c>
      <c r="K556" s="2" t="s">
        <v>38</v>
      </c>
      <c r="L556" s="2" t="s">
        <v>11</v>
      </c>
      <c r="M556" s="2" t="s">
        <v>14</v>
      </c>
      <c r="N556" s="2" t="s">
        <v>16</v>
      </c>
      <c r="O556" s="2">
        <v>1</v>
      </c>
      <c r="P556" s="2" t="s">
        <v>23</v>
      </c>
      <c r="Q556" s="2" t="s">
        <v>81</v>
      </c>
      <c r="T556" s="2" t="s">
        <v>50</v>
      </c>
      <c r="U556" s="2" t="s">
        <v>52</v>
      </c>
      <c r="V556" s="2">
        <v>952</v>
      </c>
      <c r="W556" s="2">
        <v>2</v>
      </c>
      <c r="X556" s="2">
        <v>6.58</v>
      </c>
      <c r="Y556" s="2">
        <v>6.58</v>
      </c>
      <c r="AB556" s="2">
        <v>0.96298076923076903</v>
      </c>
      <c r="AC556" s="2">
        <v>3.1163897654366599E-2</v>
      </c>
      <c r="AD556" s="2">
        <v>0.90745192307692302</v>
      </c>
      <c r="AE556" s="2">
        <v>0.106847649100685</v>
      </c>
      <c r="AF556" s="2" t="s">
        <v>74</v>
      </c>
      <c r="AG556" s="2" t="s">
        <v>64</v>
      </c>
      <c r="AH556" s="2" t="str">
        <f t="shared" si="17"/>
        <v>mean</v>
      </c>
      <c r="AR556" s="2" t="s">
        <v>849</v>
      </c>
      <c r="AS556" s="2" t="s">
        <v>849</v>
      </c>
      <c r="AU556" s="2" t="s">
        <v>1818</v>
      </c>
      <c r="AV556" s="2" t="s">
        <v>1822</v>
      </c>
      <c r="AW556" s="2" t="s">
        <v>1823</v>
      </c>
      <c r="AX556" s="2" t="s">
        <v>1821</v>
      </c>
      <c r="AY556" s="2" t="s">
        <v>1824</v>
      </c>
    </row>
    <row r="557" spans="1:51" x14ac:dyDescent="0.2">
      <c r="A557" s="2" t="s">
        <v>1255</v>
      </c>
      <c r="B557" s="2" t="s">
        <v>1256</v>
      </c>
      <c r="C557" s="2" t="s">
        <v>1257</v>
      </c>
      <c r="D557" s="2">
        <v>2014</v>
      </c>
      <c r="E557" s="2" t="s">
        <v>1340</v>
      </c>
      <c r="F557" s="2" t="s">
        <v>1413</v>
      </c>
      <c r="G557" s="2" t="s">
        <v>1495</v>
      </c>
      <c r="H557" s="2" t="s">
        <v>1739</v>
      </c>
      <c r="I557" s="2" t="s">
        <v>1258</v>
      </c>
      <c r="J557" s="2" t="s">
        <v>84</v>
      </c>
      <c r="K557" s="2" t="s">
        <v>38</v>
      </c>
      <c r="L557" s="2" t="s">
        <v>11</v>
      </c>
      <c r="M557" s="2" t="s">
        <v>14</v>
      </c>
      <c r="N557" s="2" t="s">
        <v>16</v>
      </c>
      <c r="O557" s="2">
        <v>1</v>
      </c>
      <c r="P557" s="2" t="s">
        <v>23</v>
      </c>
      <c r="Q557" s="2" t="s">
        <v>81</v>
      </c>
      <c r="T557" s="2" t="s">
        <v>50</v>
      </c>
      <c r="U557" s="2" t="s">
        <v>52</v>
      </c>
      <c r="V557" s="2">
        <v>952</v>
      </c>
      <c r="W557" s="2">
        <v>2</v>
      </c>
      <c r="X557" s="2">
        <v>6.58</v>
      </c>
      <c r="Y557" s="2">
        <v>6.58</v>
      </c>
      <c r="AB557" s="2">
        <v>0.82499999999999996</v>
      </c>
      <c r="AC557" s="2">
        <v>0.106847649100685</v>
      </c>
      <c r="AD557" s="2">
        <v>0.75600961538461497</v>
      </c>
      <c r="AE557" s="2">
        <v>0.10239566372149</v>
      </c>
      <c r="AF557" s="2" t="s">
        <v>74</v>
      </c>
      <c r="AG557" s="2" t="s">
        <v>64</v>
      </c>
      <c r="AH557" s="2" t="str">
        <f t="shared" si="17"/>
        <v>mean</v>
      </c>
      <c r="AR557" s="2" t="s">
        <v>849</v>
      </c>
      <c r="AS557" s="2" t="s">
        <v>849</v>
      </c>
      <c r="AU557" s="2" t="s">
        <v>1818</v>
      </c>
      <c r="AV557" s="2" t="s">
        <v>1822</v>
      </c>
      <c r="AW557" s="2" t="s">
        <v>1823</v>
      </c>
      <c r="AX557" s="2" t="s">
        <v>1821</v>
      </c>
      <c r="AY557" s="2" t="s">
        <v>1824</v>
      </c>
    </row>
    <row r="558" spans="1:51" x14ac:dyDescent="0.2">
      <c r="A558" s="2" t="s">
        <v>1255</v>
      </c>
      <c r="B558" s="2" t="s">
        <v>1256</v>
      </c>
      <c r="C558" s="2" t="s">
        <v>1257</v>
      </c>
      <c r="D558" s="2">
        <v>2014</v>
      </c>
      <c r="E558" s="2" t="s">
        <v>1340</v>
      </c>
      <c r="F558" s="2" t="s">
        <v>1413</v>
      </c>
      <c r="G558" s="2" t="s">
        <v>1495</v>
      </c>
      <c r="H558" s="2" t="s">
        <v>1740</v>
      </c>
      <c r="I558" s="2" t="s">
        <v>1258</v>
      </c>
      <c r="J558" s="2" t="s">
        <v>84</v>
      </c>
      <c r="K558" s="2" t="s">
        <v>38</v>
      </c>
      <c r="L558" s="2" t="s">
        <v>11</v>
      </c>
      <c r="M558" s="2" t="s">
        <v>14</v>
      </c>
      <c r="N558" s="2" t="s">
        <v>16</v>
      </c>
      <c r="O558" s="2">
        <v>1</v>
      </c>
      <c r="P558" s="2" t="s">
        <v>23</v>
      </c>
      <c r="Q558" s="2" t="s">
        <v>81</v>
      </c>
      <c r="T558" s="2" t="s">
        <v>50</v>
      </c>
      <c r="U558" s="2" t="s">
        <v>52</v>
      </c>
      <c r="V558" s="2">
        <v>952</v>
      </c>
      <c r="W558" s="2">
        <v>2</v>
      </c>
      <c r="X558" s="2">
        <v>6.58</v>
      </c>
      <c r="Y558" s="2">
        <v>6.58</v>
      </c>
      <c r="AB558" s="2">
        <v>0.820813397129186</v>
      </c>
      <c r="AC558" s="2">
        <v>0.150643256467315</v>
      </c>
      <c r="AD558" s="2">
        <v>0.66172248803827705</v>
      </c>
      <c r="AE558" s="2">
        <v>0.18165804456352599</v>
      </c>
      <c r="AF558" s="2" t="s">
        <v>74</v>
      </c>
      <c r="AG558" s="2" t="s">
        <v>64</v>
      </c>
      <c r="AH558" s="2" t="str">
        <f t="shared" si="17"/>
        <v>mean</v>
      </c>
      <c r="AR558" s="2" t="s">
        <v>849</v>
      </c>
      <c r="AS558" s="2" t="s">
        <v>849</v>
      </c>
      <c r="AU558" s="2" t="s">
        <v>1818</v>
      </c>
      <c r="AV558" s="2" t="s">
        <v>1822</v>
      </c>
      <c r="AW558" s="2" t="s">
        <v>1823</v>
      </c>
      <c r="AX558" s="2" t="s">
        <v>1821</v>
      </c>
      <c r="AY558" s="2" t="s">
        <v>1824</v>
      </c>
    </row>
    <row r="559" spans="1:51" x14ac:dyDescent="0.2">
      <c r="A559" s="2" t="s">
        <v>1255</v>
      </c>
      <c r="B559" s="2" t="s">
        <v>1256</v>
      </c>
      <c r="C559" s="2" t="s">
        <v>1257</v>
      </c>
      <c r="D559" s="2">
        <v>2014</v>
      </c>
      <c r="E559" s="2" t="s">
        <v>1340</v>
      </c>
      <c r="F559" s="2" t="s">
        <v>1413</v>
      </c>
      <c r="G559" s="2" t="s">
        <v>1495</v>
      </c>
      <c r="H559" s="2" t="s">
        <v>1741</v>
      </c>
      <c r="I559" s="2" t="s">
        <v>1258</v>
      </c>
      <c r="J559" s="2" t="s">
        <v>84</v>
      </c>
      <c r="K559" s="2" t="s">
        <v>38</v>
      </c>
      <c r="L559" s="2" t="s">
        <v>11</v>
      </c>
      <c r="M559" s="2" t="s">
        <v>14</v>
      </c>
      <c r="N559" s="2" t="s">
        <v>16</v>
      </c>
      <c r="O559" s="2">
        <v>1</v>
      </c>
      <c r="P559" s="2" t="s">
        <v>23</v>
      </c>
      <c r="Q559" s="2" t="s">
        <v>81</v>
      </c>
      <c r="T559" s="2" t="s">
        <v>50</v>
      </c>
      <c r="U559" s="2" t="s">
        <v>52</v>
      </c>
      <c r="V559" s="2">
        <v>952</v>
      </c>
      <c r="W559" s="2">
        <v>2</v>
      </c>
      <c r="X559" s="2">
        <v>6.58</v>
      </c>
      <c r="Y559" s="2">
        <v>6.58</v>
      </c>
      <c r="AB559" s="2">
        <v>0.75827338129496402</v>
      </c>
      <c r="AC559" s="2">
        <v>0.28424378593691602</v>
      </c>
      <c r="AD559" s="2">
        <v>0.71630695443645098</v>
      </c>
      <c r="AE559" s="2">
        <v>0.14656320212372201</v>
      </c>
      <c r="AF559" s="2" t="s">
        <v>74</v>
      </c>
      <c r="AG559" s="2" t="s">
        <v>64</v>
      </c>
      <c r="AH559" s="2" t="str">
        <f t="shared" si="17"/>
        <v>mean</v>
      </c>
      <c r="AR559" s="2" t="s">
        <v>849</v>
      </c>
      <c r="AS559" s="2" t="s">
        <v>849</v>
      </c>
      <c r="AU559" s="2" t="s">
        <v>1818</v>
      </c>
      <c r="AV559" s="2" t="s">
        <v>1822</v>
      </c>
      <c r="AW559" s="2" t="s">
        <v>1823</v>
      </c>
      <c r="AX559" s="2" t="s">
        <v>1821</v>
      </c>
      <c r="AY559" s="2" t="s">
        <v>1824</v>
      </c>
    </row>
    <row r="560" spans="1:51" x14ac:dyDescent="0.2">
      <c r="A560" s="2" t="s">
        <v>1255</v>
      </c>
      <c r="B560" s="2" t="s">
        <v>1256</v>
      </c>
      <c r="C560" s="2" t="s">
        <v>1257</v>
      </c>
      <c r="D560" s="2">
        <v>2014</v>
      </c>
      <c r="E560" s="2" t="s">
        <v>1340</v>
      </c>
      <c r="F560" s="2" t="s">
        <v>1413</v>
      </c>
      <c r="G560" s="2" t="s">
        <v>1495</v>
      </c>
      <c r="H560" s="2" t="s">
        <v>1742</v>
      </c>
      <c r="I560" s="2" t="s">
        <v>1259</v>
      </c>
      <c r="J560" s="2" t="s">
        <v>84</v>
      </c>
      <c r="K560" s="2" t="s">
        <v>38</v>
      </c>
      <c r="L560" s="2" t="s">
        <v>11</v>
      </c>
      <c r="M560" s="2" t="s">
        <v>14</v>
      </c>
      <c r="N560" s="2" t="s">
        <v>16</v>
      </c>
      <c r="O560" s="2">
        <v>1</v>
      </c>
      <c r="P560" s="2" t="s">
        <v>23</v>
      </c>
      <c r="Q560" s="2" t="s">
        <v>81</v>
      </c>
      <c r="T560" s="2" t="s">
        <v>50</v>
      </c>
      <c r="U560" s="2" t="s">
        <v>52</v>
      </c>
      <c r="V560" s="2">
        <v>952</v>
      </c>
      <c r="W560" s="2">
        <v>2</v>
      </c>
      <c r="X560" s="2">
        <v>6</v>
      </c>
      <c r="Y560" s="2">
        <v>6</v>
      </c>
      <c r="AB560" s="2">
        <v>0.77279236276849606</v>
      </c>
      <c r="AC560" s="2">
        <v>0.11049011011599499</v>
      </c>
      <c r="AD560" s="2">
        <v>0.62911694510739802</v>
      </c>
      <c r="AE560" s="2">
        <v>5.3198941907701497E-2</v>
      </c>
      <c r="AF560" s="2" t="s">
        <v>74</v>
      </c>
      <c r="AG560" s="2" t="s">
        <v>64</v>
      </c>
      <c r="AH560" s="2" t="str">
        <f t="shared" si="17"/>
        <v>mean</v>
      </c>
      <c r="AR560" s="2" t="s">
        <v>849</v>
      </c>
      <c r="AS560" s="2" t="s">
        <v>849</v>
      </c>
      <c r="AU560" s="2" t="s">
        <v>1818</v>
      </c>
      <c r="AV560" s="2" t="s">
        <v>1822</v>
      </c>
      <c r="AW560" s="2" t="s">
        <v>1823</v>
      </c>
      <c r="AX560" s="2" t="s">
        <v>1821</v>
      </c>
      <c r="AY560" s="2" t="s">
        <v>1824</v>
      </c>
    </row>
    <row r="561" spans="1:51" x14ac:dyDescent="0.2">
      <c r="A561" s="2" t="s">
        <v>1255</v>
      </c>
      <c r="B561" s="2" t="s">
        <v>1256</v>
      </c>
      <c r="C561" s="2" t="s">
        <v>1257</v>
      </c>
      <c r="D561" s="2">
        <v>2014</v>
      </c>
      <c r="E561" s="2" t="s">
        <v>1340</v>
      </c>
      <c r="F561" s="2" t="s">
        <v>1413</v>
      </c>
      <c r="G561" s="2" t="s">
        <v>1495</v>
      </c>
      <c r="H561" s="2" t="s">
        <v>1743</v>
      </c>
      <c r="I561" s="2" t="s">
        <v>1259</v>
      </c>
      <c r="J561" s="2" t="s">
        <v>84</v>
      </c>
      <c r="K561" s="2" t="s">
        <v>38</v>
      </c>
      <c r="L561" s="2" t="s">
        <v>11</v>
      </c>
      <c r="M561" s="2" t="s">
        <v>14</v>
      </c>
      <c r="N561" s="2" t="s">
        <v>16</v>
      </c>
      <c r="O561" s="2">
        <v>1</v>
      </c>
      <c r="P561" s="2" t="s">
        <v>23</v>
      </c>
      <c r="Q561" s="2" t="s">
        <v>81</v>
      </c>
      <c r="T561" s="2" t="s">
        <v>50</v>
      </c>
      <c r="U561" s="2" t="s">
        <v>52</v>
      </c>
      <c r="V561" s="2">
        <v>952</v>
      </c>
      <c r="W561" s="2">
        <v>2</v>
      </c>
      <c r="X561" s="2">
        <v>6</v>
      </c>
      <c r="Y561" s="2">
        <v>6</v>
      </c>
      <c r="AB561" s="2">
        <v>0.753237410071942</v>
      </c>
      <c r="AC561" s="2">
        <v>7.4013359134455906E-2</v>
      </c>
      <c r="AD561" s="2">
        <v>0.70959232613908896</v>
      </c>
      <c r="AE561" s="2">
        <v>0.106908185416436</v>
      </c>
      <c r="AF561" s="2" t="s">
        <v>74</v>
      </c>
      <c r="AG561" s="2" t="s">
        <v>64</v>
      </c>
      <c r="AH561" s="2" t="str">
        <f t="shared" si="17"/>
        <v>mean</v>
      </c>
      <c r="AR561" s="2" t="s">
        <v>849</v>
      </c>
      <c r="AS561" s="2" t="s">
        <v>849</v>
      </c>
      <c r="AU561" s="2" t="s">
        <v>1818</v>
      </c>
      <c r="AV561" s="2" t="s">
        <v>1822</v>
      </c>
      <c r="AW561" s="2" t="s">
        <v>1823</v>
      </c>
      <c r="AX561" s="2" t="s">
        <v>1821</v>
      </c>
      <c r="AY561" s="2" t="s">
        <v>1824</v>
      </c>
    </row>
    <row r="562" spans="1:51" x14ac:dyDescent="0.2">
      <c r="A562" s="2" t="s">
        <v>1255</v>
      </c>
      <c r="B562" s="2" t="s">
        <v>1256</v>
      </c>
      <c r="C562" s="2" t="s">
        <v>1257</v>
      </c>
      <c r="D562" s="2">
        <v>2014</v>
      </c>
      <c r="E562" s="2" t="s">
        <v>1340</v>
      </c>
      <c r="F562" s="2" t="s">
        <v>1413</v>
      </c>
      <c r="G562" s="2" t="s">
        <v>1495</v>
      </c>
      <c r="H562" s="2" t="s">
        <v>1744</v>
      </c>
      <c r="I562" s="2" t="s">
        <v>1259</v>
      </c>
      <c r="J562" s="2" t="s">
        <v>84</v>
      </c>
      <c r="K562" s="2" t="s">
        <v>38</v>
      </c>
      <c r="L562" s="2" t="s">
        <v>11</v>
      </c>
      <c r="M562" s="2" t="s">
        <v>14</v>
      </c>
      <c r="N562" s="2" t="s">
        <v>16</v>
      </c>
      <c r="O562" s="2">
        <v>1</v>
      </c>
      <c r="P562" s="2" t="s">
        <v>23</v>
      </c>
      <c r="Q562" s="2" t="s">
        <v>81</v>
      </c>
      <c r="T562" s="2" t="s">
        <v>50</v>
      </c>
      <c r="U562" s="2" t="s">
        <v>52</v>
      </c>
      <c r="V562" s="2">
        <v>952</v>
      </c>
      <c r="W562" s="2">
        <v>2</v>
      </c>
      <c r="X562" s="2">
        <v>6</v>
      </c>
      <c r="Y562" s="2">
        <v>6</v>
      </c>
      <c r="AB562" s="2">
        <v>0.68851674641148297</v>
      </c>
      <c r="AC562" s="2">
        <v>6.5632261050649898E-2</v>
      </c>
      <c r="AD562" s="2">
        <v>0.46411483253588498</v>
      </c>
      <c r="AE562" s="2">
        <v>0.19689678315195</v>
      </c>
      <c r="AF562" s="2" t="s">
        <v>74</v>
      </c>
      <c r="AG562" s="2" t="s">
        <v>64</v>
      </c>
      <c r="AH562" s="2" t="str">
        <f t="shared" si="17"/>
        <v>mean</v>
      </c>
      <c r="AR562" s="2" t="s">
        <v>849</v>
      </c>
      <c r="AS562" s="2" t="s">
        <v>849</v>
      </c>
      <c r="AU562" s="2" t="s">
        <v>1818</v>
      </c>
      <c r="AV562" s="2" t="s">
        <v>1822</v>
      </c>
      <c r="AW562" s="2" t="s">
        <v>1823</v>
      </c>
      <c r="AX562" s="2" t="s">
        <v>1821</v>
      </c>
      <c r="AY562" s="2" t="s">
        <v>1824</v>
      </c>
    </row>
    <row r="563" spans="1:51" x14ac:dyDescent="0.2">
      <c r="A563" s="2" t="s">
        <v>1260</v>
      </c>
      <c r="B563" s="2" t="s">
        <v>2292</v>
      </c>
      <c r="C563" s="2" t="s">
        <v>1261</v>
      </c>
      <c r="D563" s="2">
        <v>2012</v>
      </c>
      <c r="E563" s="2" t="s">
        <v>1341</v>
      </c>
      <c r="F563" s="2" t="s">
        <v>1414</v>
      </c>
      <c r="G563" s="2" t="s">
        <v>1496</v>
      </c>
      <c r="H563" s="2" t="s">
        <v>1745</v>
      </c>
      <c r="I563" s="2" t="s">
        <v>1262</v>
      </c>
      <c r="J563" s="2" t="s">
        <v>85</v>
      </c>
      <c r="K563" s="2" t="s">
        <v>38</v>
      </c>
      <c r="L563" s="2" t="s">
        <v>12</v>
      </c>
      <c r="P563" s="2" t="s">
        <v>22</v>
      </c>
      <c r="Q563" s="2" t="s">
        <v>29</v>
      </c>
      <c r="R563" s="2" t="s">
        <v>41</v>
      </c>
      <c r="S563" s="2" t="s">
        <v>46</v>
      </c>
      <c r="T563" s="2" t="s">
        <v>50</v>
      </c>
      <c r="U563" s="2" t="s">
        <v>52</v>
      </c>
      <c r="V563" s="2">
        <v>1129</v>
      </c>
      <c r="W563" s="2">
        <v>2</v>
      </c>
      <c r="X563" s="2">
        <v>23</v>
      </c>
      <c r="Y563" s="2">
        <v>24</v>
      </c>
      <c r="AB563" s="2">
        <v>75.3333333333333</v>
      </c>
      <c r="AC563" s="2">
        <v>8.3127746404086498</v>
      </c>
      <c r="AD563" s="2">
        <v>77.599999999999994</v>
      </c>
      <c r="AE563" s="2">
        <v>10.451156235874899</v>
      </c>
      <c r="AF563" s="2" t="s">
        <v>74</v>
      </c>
      <c r="AG563" s="2" t="s">
        <v>64</v>
      </c>
      <c r="AH563" s="2" t="str">
        <f t="shared" si="17"/>
        <v>mean</v>
      </c>
      <c r="AR563" s="2" t="s">
        <v>849</v>
      </c>
      <c r="AS563" s="2" t="s">
        <v>849</v>
      </c>
      <c r="AU563" s="2" t="s">
        <v>1818</v>
      </c>
      <c r="AV563" s="2" t="s">
        <v>1830</v>
      </c>
      <c r="AW563" s="2" t="s">
        <v>1837</v>
      </c>
      <c r="AX563" s="2" t="s">
        <v>1821</v>
      </c>
      <c r="AY563" s="2" t="s">
        <v>79</v>
      </c>
    </row>
    <row r="564" spans="1:51" x14ac:dyDescent="0.2">
      <c r="A564" s="2" t="s">
        <v>1260</v>
      </c>
      <c r="B564" s="2" t="s">
        <v>2292</v>
      </c>
      <c r="C564" s="2" t="s">
        <v>1261</v>
      </c>
      <c r="D564" s="2">
        <v>2012</v>
      </c>
      <c r="E564" s="2" t="s">
        <v>1341</v>
      </c>
      <c r="F564" s="2" t="s">
        <v>1414</v>
      </c>
      <c r="G564" s="2" t="s">
        <v>1496</v>
      </c>
      <c r="H564" s="2" t="s">
        <v>1746</v>
      </c>
      <c r="I564" s="2" t="s">
        <v>1262</v>
      </c>
      <c r="J564" s="2" t="s">
        <v>85</v>
      </c>
      <c r="K564" s="2" t="s">
        <v>38</v>
      </c>
      <c r="L564" s="2" t="s">
        <v>12</v>
      </c>
      <c r="P564" s="2" t="s">
        <v>22</v>
      </c>
      <c r="Q564" s="2" t="s">
        <v>29</v>
      </c>
      <c r="R564" s="2" t="s">
        <v>41</v>
      </c>
      <c r="S564" s="2" t="s">
        <v>46</v>
      </c>
      <c r="T564" s="2" t="s">
        <v>50</v>
      </c>
      <c r="U564" s="2" t="s">
        <v>52</v>
      </c>
      <c r="V564" s="2">
        <v>1129</v>
      </c>
      <c r="W564" s="2">
        <v>2</v>
      </c>
      <c r="X564" s="2">
        <v>23</v>
      </c>
      <c r="Y564" s="2">
        <v>24</v>
      </c>
      <c r="AB564" s="2">
        <v>75.284280936454905</v>
      </c>
      <c r="AC564" s="2">
        <v>8.9821593747662707</v>
      </c>
      <c r="AD564" s="2">
        <v>66.6666666666667</v>
      </c>
      <c r="AE564" s="2">
        <v>22.861904265976399</v>
      </c>
      <c r="AF564" s="2" t="s">
        <v>74</v>
      </c>
      <c r="AG564" s="2" t="s">
        <v>64</v>
      </c>
      <c r="AH564" s="2" t="str">
        <f t="shared" si="17"/>
        <v>mean</v>
      </c>
      <c r="AR564" s="2" t="s">
        <v>849</v>
      </c>
      <c r="AS564" s="2" t="s">
        <v>849</v>
      </c>
      <c r="AU564" s="2" t="s">
        <v>1818</v>
      </c>
      <c r="AV564" s="2" t="s">
        <v>1830</v>
      </c>
      <c r="AW564" s="2" t="s">
        <v>1837</v>
      </c>
      <c r="AX564" s="2" t="s">
        <v>1821</v>
      </c>
      <c r="AY564" s="2" t="s">
        <v>79</v>
      </c>
    </row>
    <row r="565" spans="1:51" x14ac:dyDescent="0.2">
      <c r="A565" s="2" t="s">
        <v>1260</v>
      </c>
      <c r="B565" s="2" t="s">
        <v>2292</v>
      </c>
      <c r="C565" s="2" t="s">
        <v>1261</v>
      </c>
      <c r="D565" s="2">
        <v>2012</v>
      </c>
      <c r="E565" s="2" t="s">
        <v>1341</v>
      </c>
      <c r="F565" s="2" t="s">
        <v>1414</v>
      </c>
      <c r="G565" s="2" t="s">
        <v>1496</v>
      </c>
      <c r="H565" s="2" t="s">
        <v>1747</v>
      </c>
      <c r="I565" s="2" t="s">
        <v>1262</v>
      </c>
      <c r="J565" s="2" t="s">
        <v>85</v>
      </c>
      <c r="K565" s="2" t="s">
        <v>37</v>
      </c>
      <c r="P565" s="2" t="s">
        <v>22</v>
      </c>
      <c r="Q565" s="2" t="s">
        <v>29</v>
      </c>
      <c r="R565" s="2" t="s">
        <v>41</v>
      </c>
      <c r="S565" s="2" t="s">
        <v>46</v>
      </c>
      <c r="T565" s="2" t="s">
        <v>50</v>
      </c>
      <c r="U565" s="2" t="s">
        <v>52</v>
      </c>
      <c r="V565" s="2">
        <v>1129</v>
      </c>
      <c r="W565" s="2">
        <v>2</v>
      </c>
      <c r="X565" s="2">
        <v>24</v>
      </c>
      <c r="Y565" s="2">
        <v>24</v>
      </c>
      <c r="AB565" s="2">
        <v>66.6666666666667</v>
      </c>
      <c r="AC565" s="2">
        <v>22.861904265976399</v>
      </c>
      <c r="AD565" s="2">
        <v>77.599999999999994</v>
      </c>
      <c r="AE565" s="2">
        <v>10.451156235874899</v>
      </c>
      <c r="AF565" s="2" t="s">
        <v>74</v>
      </c>
      <c r="AG565" s="2" t="s">
        <v>64</v>
      </c>
      <c r="AH565" s="2" t="str">
        <f t="shared" si="17"/>
        <v>mean</v>
      </c>
      <c r="AR565" s="2" t="s">
        <v>849</v>
      </c>
      <c r="AS565" s="2" t="s">
        <v>849</v>
      </c>
      <c r="AU565" s="2" t="s">
        <v>1818</v>
      </c>
      <c r="AV565" s="2" t="s">
        <v>1830</v>
      </c>
      <c r="AW565" s="2" t="s">
        <v>1837</v>
      </c>
      <c r="AX565" s="2" t="s">
        <v>1821</v>
      </c>
      <c r="AY565" s="2" t="s">
        <v>79</v>
      </c>
    </row>
    <row r="566" spans="1:51" x14ac:dyDescent="0.2">
      <c r="A566" s="2" t="s">
        <v>1263</v>
      </c>
      <c r="B566" s="2" t="s">
        <v>1264</v>
      </c>
      <c r="C566" s="2" t="s">
        <v>1265</v>
      </c>
      <c r="D566" s="2">
        <v>2006</v>
      </c>
      <c r="E566" s="2" t="s">
        <v>1342</v>
      </c>
      <c r="F566" s="2" t="s">
        <v>1415</v>
      </c>
      <c r="G566" s="2" t="s">
        <v>1497</v>
      </c>
      <c r="H566" s="2" t="s">
        <v>1748</v>
      </c>
      <c r="I566" s="2" t="s">
        <v>230</v>
      </c>
      <c r="J566" s="2" t="s">
        <v>34</v>
      </c>
      <c r="K566" s="2" t="s">
        <v>37</v>
      </c>
      <c r="P566" s="2" t="s">
        <v>22</v>
      </c>
      <c r="Q566" s="2" t="s">
        <v>29</v>
      </c>
      <c r="R566" s="2" t="s">
        <v>41</v>
      </c>
      <c r="S566" s="2" t="s">
        <v>46</v>
      </c>
      <c r="T566" s="2" t="s">
        <v>50</v>
      </c>
      <c r="U566" s="2" t="s">
        <v>52</v>
      </c>
      <c r="V566" s="2">
        <v>706</v>
      </c>
      <c r="W566" s="2">
        <v>1</v>
      </c>
      <c r="X566" s="2">
        <v>31</v>
      </c>
      <c r="Y566" s="2">
        <v>31</v>
      </c>
      <c r="AB566" s="2">
        <v>38.527397260274</v>
      </c>
      <c r="AC566" s="2">
        <v>16.5888869714456</v>
      </c>
      <c r="AD566" s="2">
        <v>48.904109589041099</v>
      </c>
      <c r="AE566" s="2">
        <v>19.449039897557</v>
      </c>
      <c r="AF566" s="2" t="s">
        <v>74</v>
      </c>
      <c r="AG566" s="2" t="s">
        <v>64</v>
      </c>
      <c r="AH566" s="2" t="str">
        <f t="shared" si="17"/>
        <v>mean</v>
      </c>
      <c r="AR566" s="2" t="s">
        <v>849</v>
      </c>
      <c r="AS566" s="2" t="s">
        <v>849</v>
      </c>
      <c r="AU566" s="2" t="s">
        <v>1818</v>
      </c>
      <c r="AV566" s="2" t="s">
        <v>1830</v>
      </c>
      <c r="AW566" s="2" t="s">
        <v>1820</v>
      </c>
      <c r="AX566" s="2" t="s">
        <v>1821</v>
      </c>
      <c r="AY566" s="2" t="s">
        <v>79</v>
      </c>
    </row>
    <row r="567" spans="1:51" x14ac:dyDescent="0.2">
      <c r="A567" s="2" t="s">
        <v>1263</v>
      </c>
      <c r="B567" s="2" t="s">
        <v>1264</v>
      </c>
      <c r="C567" s="2" t="s">
        <v>1265</v>
      </c>
      <c r="D567" s="2">
        <v>2006</v>
      </c>
      <c r="E567" s="2" t="s">
        <v>1342</v>
      </c>
      <c r="F567" s="2" t="s">
        <v>1415</v>
      </c>
      <c r="G567" s="2" t="s">
        <v>1497</v>
      </c>
      <c r="H567" s="2" t="s">
        <v>1749</v>
      </c>
      <c r="I567" s="2" t="s">
        <v>230</v>
      </c>
      <c r="J567" s="2" t="s">
        <v>34</v>
      </c>
      <c r="K567" s="2" t="s">
        <v>37</v>
      </c>
      <c r="P567" s="2" t="s">
        <v>22</v>
      </c>
      <c r="Q567" s="2" t="s">
        <v>29</v>
      </c>
      <c r="R567" s="2" t="s">
        <v>40</v>
      </c>
      <c r="S567" s="2" t="s">
        <v>43</v>
      </c>
      <c r="T567" s="2" t="s">
        <v>50</v>
      </c>
      <c r="U567" s="2" t="s">
        <v>52</v>
      </c>
      <c r="V567" s="2">
        <v>707</v>
      </c>
      <c r="W567" s="2">
        <v>2</v>
      </c>
      <c r="X567" s="2">
        <v>31</v>
      </c>
      <c r="Y567" s="2">
        <v>31</v>
      </c>
      <c r="AB567" s="2">
        <v>14.5121107266436</v>
      </c>
      <c r="AC567" s="2">
        <v>3.9494522296891201</v>
      </c>
      <c r="AD567" s="2">
        <v>12.747404844290701</v>
      </c>
      <c r="AE567" s="2">
        <v>4.9127332613206196</v>
      </c>
      <c r="AF567" s="2" t="s">
        <v>74</v>
      </c>
      <c r="AG567" s="2" t="s">
        <v>64</v>
      </c>
      <c r="AH567" s="2" t="str">
        <f t="shared" si="17"/>
        <v>mean</v>
      </c>
      <c r="AR567" s="2" t="s">
        <v>849</v>
      </c>
      <c r="AS567" s="2" t="s">
        <v>849</v>
      </c>
      <c r="AU567" s="2" t="s">
        <v>1818</v>
      </c>
      <c r="AV567" s="2" t="s">
        <v>1830</v>
      </c>
      <c r="AW567" s="2" t="s">
        <v>1820</v>
      </c>
      <c r="AX567" s="2" t="s">
        <v>1821</v>
      </c>
      <c r="AY567" s="2" t="s">
        <v>79</v>
      </c>
    </row>
    <row r="568" spans="1:51" x14ac:dyDescent="0.2">
      <c r="A568" s="2" t="s">
        <v>1266</v>
      </c>
      <c r="B568" s="2" t="s">
        <v>1267</v>
      </c>
      <c r="C568" s="2" t="s">
        <v>1268</v>
      </c>
      <c r="D568" s="2">
        <v>2010</v>
      </c>
      <c r="E568" s="2" t="s">
        <v>1343</v>
      </c>
      <c r="F568" s="2" t="s">
        <v>1416</v>
      </c>
      <c r="G568" s="2" t="s">
        <v>1498</v>
      </c>
      <c r="H568" s="2" t="s">
        <v>1750</v>
      </c>
      <c r="I568" s="2" t="s">
        <v>1104</v>
      </c>
      <c r="J568" s="2" t="s">
        <v>85</v>
      </c>
      <c r="K568" s="2" t="s">
        <v>38</v>
      </c>
      <c r="L568" s="2" t="s">
        <v>12</v>
      </c>
      <c r="P568" s="2" t="s">
        <v>22</v>
      </c>
      <c r="Q568" s="2" t="s">
        <v>30</v>
      </c>
      <c r="R568" s="2" t="s">
        <v>41</v>
      </c>
      <c r="S568" s="2" t="s">
        <v>44</v>
      </c>
      <c r="T568" s="2" t="s">
        <v>50</v>
      </c>
      <c r="U568" s="2" t="s">
        <v>52</v>
      </c>
      <c r="V568" s="2">
        <v>2</v>
      </c>
      <c r="W568" s="2">
        <v>1</v>
      </c>
      <c r="X568" s="2">
        <v>139</v>
      </c>
      <c r="Y568" s="2">
        <v>155</v>
      </c>
      <c r="Z568" s="2">
        <v>35</v>
      </c>
      <c r="AA568" s="2">
        <v>57</v>
      </c>
      <c r="AH568" s="2" t="s">
        <v>1804</v>
      </c>
      <c r="AR568" s="2" t="s">
        <v>849</v>
      </c>
      <c r="AS568" s="2" t="s">
        <v>849</v>
      </c>
      <c r="AU568" s="2" t="s">
        <v>1818</v>
      </c>
      <c r="AV568" s="2" t="s">
        <v>1822</v>
      </c>
      <c r="AW568" s="2" t="s">
        <v>1823</v>
      </c>
      <c r="AX568" s="2" t="s">
        <v>1826</v>
      </c>
      <c r="AY568" s="2" t="s">
        <v>79</v>
      </c>
    </row>
    <row r="569" spans="1:51" x14ac:dyDescent="0.2">
      <c r="A569" s="2" t="s">
        <v>1269</v>
      </c>
      <c r="B569" s="2" t="s">
        <v>1270</v>
      </c>
      <c r="C569" s="2" t="s">
        <v>1271</v>
      </c>
      <c r="D569" s="2">
        <v>2018</v>
      </c>
      <c r="E569" s="2" t="s">
        <v>1344</v>
      </c>
      <c r="F569" s="2" t="s">
        <v>1417</v>
      </c>
      <c r="G569" s="2" t="s">
        <v>1499</v>
      </c>
      <c r="H569" s="2" t="s">
        <v>1751</v>
      </c>
      <c r="I569" s="2" t="s">
        <v>440</v>
      </c>
      <c r="J569" s="2" t="s">
        <v>34</v>
      </c>
      <c r="K569" s="2" t="s">
        <v>38</v>
      </c>
      <c r="L569" s="2" t="s">
        <v>11</v>
      </c>
      <c r="M569" s="2" t="s">
        <v>14</v>
      </c>
      <c r="N569" s="2" t="s">
        <v>18</v>
      </c>
      <c r="O569" s="2">
        <v>0</v>
      </c>
      <c r="P569" s="2" t="s">
        <v>22</v>
      </c>
      <c r="Q569" s="2" t="s">
        <v>27</v>
      </c>
      <c r="T569" s="2" t="s">
        <v>50</v>
      </c>
      <c r="U569" s="2" t="s">
        <v>56</v>
      </c>
      <c r="X569" s="2">
        <v>56</v>
      </c>
      <c r="Y569" s="2">
        <v>55</v>
      </c>
      <c r="AB569" s="2">
        <v>6.9925925925925928E-3</v>
      </c>
      <c r="AC569" s="2">
        <v>1.4336216861723291E-2</v>
      </c>
      <c r="AD569" s="2">
        <v>6.1075471698113209E-3</v>
      </c>
      <c r="AE569" s="2">
        <v>1.8536988481003262E-2</v>
      </c>
      <c r="AF569" s="2" t="s">
        <v>74</v>
      </c>
      <c r="AG569" s="2" t="s">
        <v>64</v>
      </c>
      <c r="AH569" s="2" t="str">
        <f t="shared" ref="AH569:AH584" si="18">IF(AF569="mean", "mean", "")</f>
        <v>mean</v>
      </c>
      <c r="AR569" s="2" t="s">
        <v>849</v>
      </c>
      <c r="AS569" s="2" t="s">
        <v>849</v>
      </c>
      <c r="AU569" s="2" t="s">
        <v>1818</v>
      </c>
      <c r="AV569" s="2" t="s">
        <v>1830</v>
      </c>
      <c r="AW569" s="2" t="s">
        <v>1820</v>
      </c>
      <c r="AX569" s="2" t="s">
        <v>1821</v>
      </c>
      <c r="AY569" s="2" t="s">
        <v>79</v>
      </c>
    </row>
    <row r="570" spans="1:51" x14ac:dyDescent="0.2">
      <c r="A570" s="2" t="s">
        <v>1269</v>
      </c>
      <c r="B570" s="2" t="s">
        <v>1270</v>
      </c>
      <c r="C570" s="2" t="s">
        <v>1271</v>
      </c>
      <c r="D570" s="2">
        <v>2018</v>
      </c>
      <c r="E570" s="2" t="s">
        <v>1344</v>
      </c>
      <c r="F570" s="2" t="s">
        <v>1417</v>
      </c>
      <c r="G570" s="2" t="s">
        <v>1499</v>
      </c>
      <c r="H570" s="2" t="s">
        <v>1752</v>
      </c>
      <c r="I570" s="2" t="s">
        <v>440</v>
      </c>
      <c r="J570" s="2" t="s">
        <v>34</v>
      </c>
      <c r="K570" s="2" t="s">
        <v>38</v>
      </c>
      <c r="L570" s="2" t="s">
        <v>11</v>
      </c>
      <c r="M570" s="2" t="s">
        <v>14</v>
      </c>
      <c r="N570" s="2" t="s">
        <v>18</v>
      </c>
      <c r="O570" s="2">
        <v>0</v>
      </c>
      <c r="P570" s="2" t="s">
        <v>22</v>
      </c>
      <c r="Q570" s="2" t="s">
        <v>27</v>
      </c>
      <c r="T570" s="2" t="s">
        <v>50</v>
      </c>
      <c r="U570" s="2" t="s">
        <v>56</v>
      </c>
      <c r="X570" s="2">
        <v>56</v>
      </c>
      <c r="Y570" s="2">
        <v>57</v>
      </c>
      <c r="AB570" s="2">
        <v>6.9925925925925928E-3</v>
      </c>
      <c r="AC570" s="2">
        <v>1.4336216861723291E-2</v>
      </c>
      <c r="AD570" s="2">
        <v>1.403653846153846E-2</v>
      </c>
      <c r="AE570" s="2">
        <v>3.2927329544317138E-2</v>
      </c>
      <c r="AF570" s="2" t="s">
        <v>74</v>
      </c>
      <c r="AG570" s="2" t="s">
        <v>64</v>
      </c>
      <c r="AH570" s="2" t="str">
        <f t="shared" si="18"/>
        <v>mean</v>
      </c>
      <c r="AR570" s="2" t="s">
        <v>849</v>
      </c>
      <c r="AS570" s="2" t="s">
        <v>849</v>
      </c>
      <c r="AU570" s="2" t="s">
        <v>1818</v>
      </c>
      <c r="AV570" s="2" t="s">
        <v>1830</v>
      </c>
      <c r="AW570" s="2" t="s">
        <v>1820</v>
      </c>
      <c r="AX570" s="2" t="s">
        <v>1821</v>
      </c>
      <c r="AY570" s="2" t="s">
        <v>79</v>
      </c>
    </row>
    <row r="571" spans="1:51" x14ac:dyDescent="0.2">
      <c r="A571" s="2" t="s">
        <v>1269</v>
      </c>
      <c r="B571" s="2" t="s">
        <v>1270</v>
      </c>
      <c r="C571" s="2" t="s">
        <v>1271</v>
      </c>
      <c r="D571" s="2">
        <v>2018</v>
      </c>
      <c r="E571" s="2" t="s">
        <v>1344</v>
      </c>
      <c r="F571" s="2" t="s">
        <v>1417</v>
      </c>
      <c r="G571" s="2" t="s">
        <v>1499</v>
      </c>
      <c r="H571" s="2" t="s">
        <v>1753</v>
      </c>
      <c r="I571" s="2" t="s">
        <v>440</v>
      </c>
      <c r="J571" s="2" t="s">
        <v>34</v>
      </c>
      <c r="K571" s="2" t="s">
        <v>38</v>
      </c>
      <c r="L571" s="2" t="s">
        <v>11</v>
      </c>
      <c r="M571" s="2" t="s">
        <v>14</v>
      </c>
      <c r="N571" s="2" t="s">
        <v>18</v>
      </c>
      <c r="O571" s="2">
        <v>0</v>
      </c>
      <c r="P571" s="2" t="s">
        <v>22</v>
      </c>
      <c r="Q571" s="2" t="s">
        <v>27</v>
      </c>
      <c r="T571" s="2" t="s">
        <v>50</v>
      </c>
      <c r="U571" s="2" t="s">
        <v>56</v>
      </c>
      <c r="X571" s="2">
        <v>56</v>
      </c>
      <c r="Y571" s="2">
        <v>57</v>
      </c>
      <c r="AB571" s="2">
        <v>6.9925925925925928E-3</v>
      </c>
      <c r="AC571" s="2">
        <v>1.4336216861723291E-2</v>
      </c>
      <c r="AD571" s="2">
        <v>1.0474074074074073E-2</v>
      </c>
      <c r="AE571" s="2">
        <v>2.2060398952799418E-2</v>
      </c>
      <c r="AF571" s="2" t="s">
        <v>74</v>
      </c>
      <c r="AG571" s="2" t="s">
        <v>64</v>
      </c>
      <c r="AH571" s="2" t="str">
        <f t="shared" si="18"/>
        <v>mean</v>
      </c>
      <c r="AR571" s="2" t="s">
        <v>849</v>
      </c>
      <c r="AS571" s="2" t="s">
        <v>849</v>
      </c>
      <c r="AU571" s="2" t="s">
        <v>1818</v>
      </c>
      <c r="AV571" s="2" t="s">
        <v>1830</v>
      </c>
      <c r="AW571" s="2" t="s">
        <v>1820</v>
      </c>
      <c r="AX571" s="2" t="s">
        <v>1821</v>
      </c>
      <c r="AY571" s="2" t="s">
        <v>79</v>
      </c>
    </row>
    <row r="572" spans="1:51" x14ac:dyDescent="0.2">
      <c r="A572" s="2" t="s">
        <v>1269</v>
      </c>
      <c r="B572" s="2" t="s">
        <v>1270</v>
      </c>
      <c r="C572" s="2" t="s">
        <v>1271</v>
      </c>
      <c r="D572" s="2">
        <v>2018</v>
      </c>
      <c r="E572" s="2" t="s">
        <v>1344</v>
      </c>
      <c r="F572" s="2" t="s">
        <v>1417</v>
      </c>
      <c r="G572" s="2" t="s">
        <v>1499</v>
      </c>
      <c r="H572" s="2" t="s">
        <v>1754</v>
      </c>
      <c r="I572" s="2" t="s">
        <v>440</v>
      </c>
      <c r="J572" s="2" t="s">
        <v>34</v>
      </c>
      <c r="K572" s="2" t="s">
        <v>38</v>
      </c>
      <c r="L572" s="2" t="s">
        <v>11</v>
      </c>
      <c r="M572" s="2" t="s">
        <v>14</v>
      </c>
      <c r="N572" s="2" t="s">
        <v>18</v>
      </c>
      <c r="O572" s="2">
        <v>0</v>
      </c>
      <c r="P572" s="2" t="s">
        <v>22</v>
      </c>
      <c r="Q572" s="2" t="s">
        <v>27</v>
      </c>
      <c r="T572" s="2" t="s">
        <v>50</v>
      </c>
      <c r="U572" s="2" t="s">
        <v>56</v>
      </c>
      <c r="X572" s="2">
        <v>59</v>
      </c>
      <c r="Y572" s="2">
        <v>52</v>
      </c>
      <c r="AB572" s="2">
        <v>4.1999999999999997E-3</v>
      </c>
      <c r="AC572" s="2">
        <v>1.7465545597514787E-2</v>
      </c>
      <c r="AD572" s="2">
        <v>1.1200000000000002E-2</v>
      </c>
      <c r="AE572" s="2">
        <v>3.4147507154958755E-2</v>
      </c>
      <c r="AF572" s="2" t="s">
        <v>74</v>
      </c>
      <c r="AG572" s="2" t="s">
        <v>64</v>
      </c>
      <c r="AH572" s="2" t="str">
        <f t="shared" si="18"/>
        <v>mean</v>
      </c>
      <c r="AR572" s="2" t="s">
        <v>849</v>
      </c>
      <c r="AS572" s="2" t="s">
        <v>849</v>
      </c>
      <c r="AU572" s="2" t="s">
        <v>1818</v>
      </c>
      <c r="AV572" s="2" t="s">
        <v>1830</v>
      </c>
      <c r="AW572" s="2" t="s">
        <v>1820</v>
      </c>
      <c r="AX572" s="2" t="s">
        <v>1821</v>
      </c>
      <c r="AY572" s="2" t="s">
        <v>79</v>
      </c>
    </row>
    <row r="573" spans="1:51" x14ac:dyDescent="0.2">
      <c r="A573" s="2" t="s">
        <v>1269</v>
      </c>
      <c r="B573" s="2" t="s">
        <v>1270</v>
      </c>
      <c r="C573" s="2" t="s">
        <v>1271</v>
      </c>
      <c r="D573" s="2">
        <v>2018</v>
      </c>
      <c r="E573" s="2" t="s">
        <v>1344</v>
      </c>
      <c r="F573" s="2" t="s">
        <v>1417</v>
      </c>
      <c r="G573" s="2" t="s">
        <v>1499</v>
      </c>
      <c r="H573" s="2" t="s">
        <v>1755</v>
      </c>
      <c r="I573" s="2" t="s">
        <v>440</v>
      </c>
      <c r="J573" s="2" t="s">
        <v>34</v>
      </c>
      <c r="K573" s="2" t="s">
        <v>38</v>
      </c>
      <c r="L573" s="2" t="s">
        <v>11</v>
      </c>
      <c r="M573" s="2" t="s">
        <v>14</v>
      </c>
      <c r="N573" s="2" t="s">
        <v>18</v>
      </c>
      <c r="O573" s="2">
        <v>0</v>
      </c>
      <c r="P573" s="2" t="s">
        <v>22</v>
      </c>
      <c r="Q573" s="2" t="s">
        <v>27</v>
      </c>
      <c r="T573" s="2" t="s">
        <v>50</v>
      </c>
      <c r="U573" s="2" t="s">
        <v>56</v>
      </c>
      <c r="X573" s="2">
        <v>59</v>
      </c>
      <c r="Y573" s="2">
        <v>55</v>
      </c>
      <c r="AB573" s="2">
        <v>4.1999999999999997E-3</v>
      </c>
      <c r="AC573" s="2">
        <v>1.7465545597514787E-2</v>
      </c>
      <c r="AD573" s="2">
        <v>5.0618181818181821E-3</v>
      </c>
      <c r="AE573" s="2">
        <v>1.6052881256428599E-2</v>
      </c>
      <c r="AF573" s="2" t="s">
        <v>74</v>
      </c>
      <c r="AG573" s="2" t="s">
        <v>64</v>
      </c>
      <c r="AH573" s="2" t="str">
        <f t="shared" si="18"/>
        <v>mean</v>
      </c>
      <c r="AR573" s="2" t="s">
        <v>849</v>
      </c>
      <c r="AS573" s="2" t="s">
        <v>849</v>
      </c>
      <c r="AU573" s="2" t="s">
        <v>1818</v>
      </c>
      <c r="AV573" s="2" t="s">
        <v>1830</v>
      </c>
      <c r="AW573" s="2" t="s">
        <v>1820</v>
      </c>
      <c r="AX573" s="2" t="s">
        <v>1821</v>
      </c>
      <c r="AY573" s="2" t="s">
        <v>79</v>
      </c>
    </row>
    <row r="574" spans="1:51" x14ac:dyDescent="0.2">
      <c r="A574" s="2" t="s">
        <v>1269</v>
      </c>
      <c r="B574" s="2" t="s">
        <v>1270</v>
      </c>
      <c r="C574" s="2" t="s">
        <v>1271</v>
      </c>
      <c r="D574" s="2">
        <v>2018</v>
      </c>
      <c r="E574" s="2" t="s">
        <v>1344</v>
      </c>
      <c r="F574" s="2" t="s">
        <v>1417</v>
      </c>
      <c r="G574" s="2" t="s">
        <v>1499</v>
      </c>
      <c r="H574" s="2" t="s">
        <v>1756</v>
      </c>
      <c r="I574" s="2" t="s">
        <v>440</v>
      </c>
      <c r="J574" s="2" t="s">
        <v>34</v>
      </c>
      <c r="K574" s="2" t="s">
        <v>38</v>
      </c>
      <c r="L574" s="2" t="s">
        <v>11</v>
      </c>
      <c r="M574" s="2" t="s">
        <v>14</v>
      </c>
      <c r="N574" s="2" t="s">
        <v>18</v>
      </c>
      <c r="O574" s="2">
        <v>0</v>
      </c>
      <c r="P574" s="2" t="s">
        <v>22</v>
      </c>
      <c r="Q574" s="2" t="s">
        <v>27</v>
      </c>
      <c r="T574" s="2" t="s">
        <v>50</v>
      </c>
      <c r="U574" s="2" t="s">
        <v>56</v>
      </c>
      <c r="X574" s="2">
        <v>59</v>
      </c>
      <c r="Y574" s="2">
        <v>53</v>
      </c>
      <c r="AB574" s="2">
        <v>4.1999999999999997E-3</v>
      </c>
      <c r="AC574" s="2">
        <v>1.7465545597514787E-2</v>
      </c>
      <c r="AD574" s="2">
        <v>1.4479999999999999E-3</v>
      </c>
      <c r="AE574" s="2">
        <v>5.0594522571971307E-3</v>
      </c>
      <c r="AF574" s="2" t="s">
        <v>74</v>
      </c>
      <c r="AG574" s="2" t="s">
        <v>64</v>
      </c>
      <c r="AH574" s="2" t="str">
        <f t="shared" si="18"/>
        <v>mean</v>
      </c>
      <c r="AR574" s="2" t="s">
        <v>849</v>
      </c>
      <c r="AS574" s="2" t="s">
        <v>849</v>
      </c>
      <c r="AU574" s="2" t="s">
        <v>1818</v>
      </c>
      <c r="AV574" s="2" t="s">
        <v>1830</v>
      </c>
      <c r="AW574" s="2" t="s">
        <v>1820</v>
      </c>
      <c r="AX574" s="2" t="s">
        <v>1821</v>
      </c>
      <c r="AY574" s="2" t="s">
        <v>79</v>
      </c>
    </row>
    <row r="575" spans="1:51" x14ac:dyDescent="0.2">
      <c r="A575" s="2" t="s">
        <v>1272</v>
      </c>
      <c r="B575" s="2" t="s">
        <v>1273</v>
      </c>
      <c r="C575" s="2" t="s">
        <v>1274</v>
      </c>
      <c r="D575" s="2">
        <v>2005</v>
      </c>
      <c r="E575" s="2" t="s">
        <v>1345</v>
      </c>
      <c r="F575" s="2" t="s">
        <v>1418</v>
      </c>
      <c r="G575" s="2" t="s">
        <v>1500</v>
      </c>
      <c r="H575" s="2" t="s">
        <v>1757</v>
      </c>
      <c r="I575" s="2" t="s">
        <v>524</v>
      </c>
      <c r="J575" s="2" t="s">
        <v>34</v>
      </c>
      <c r="K575" s="2" t="s">
        <v>38</v>
      </c>
      <c r="L575" s="2" t="s">
        <v>11</v>
      </c>
      <c r="M575" s="2" t="s">
        <v>14</v>
      </c>
      <c r="N575" s="2" t="s">
        <v>20</v>
      </c>
      <c r="O575" s="2">
        <v>0</v>
      </c>
      <c r="P575" s="2" t="s">
        <v>22</v>
      </c>
      <c r="Q575" s="2" t="s">
        <v>27</v>
      </c>
      <c r="T575" s="2" t="s">
        <v>51</v>
      </c>
      <c r="U575" s="2" t="s">
        <v>52</v>
      </c>
      <c r="V575" s="2">
        <v>1065</v>
      </c>
      <c r="W575" s="2">
        <v>3</v>
      </c>
      <c r="X575" s="2">
        <v>28</v>
      </c>
      <c r="Y575" s="2">
        <v>28</v>
      </c>
      <c r="AB575" s="2">
        <v>16.073317307692299</v>
      </c>
      <c r="AC575" s="2">
        <v>1.24655590617468</v>
      </c>
      <c r="AD575" s="2">
        <v>15.299278846153801</v>
      </c>
      <c r="AE575" s="2">
        <v>0.93491692963100304</v>
      </c>
      <c r="AF575" s="2" t="s">
        <v>74</v>
      </c>
      <c r="AG575" s="2" t="s">
        <v>64</v>
      </c>
      <c r="AH575" s="2" t="str">
        <f t="shared" si="18"/>
        <v>mean</v>
      </c>
      <c r="AR575" s="2" t="s">
        <v>849</v>
      </c>
      <c r="AS575" s="2" t="s">
        <v>849</v>
      </c>
      <c r="AU575" s="2" t="s">
        <v>1818</v>
      </c>
      <c r="AV575" s="2" t="s">
        <v>1830</v>
      </c>
      <c r="AW575" s="2" t="s">
        <v>1820</v>
      </c>
      <c r="AX575" s="2" t="s">
        <v>1821</v>
      </c>
      <c r="AY575" s="2" t="s">
        <v>79</v>
      </c>
    </row>
    <row r="576" spans="1:51" x14ac:dyDescent="0.2">
      <c r="A576" s="2" t="s">
        <v>1272</v>
      </c>
      <c r="B576" s="2" t="s">
        <v>1273</v>
      </c>
      <c r="C576" s="2" t="s">
        <v>1274</v>
      </c>
      <c r="D576" s="2">
        <v>2005</v>
      </c>
      <c r="E576" s="2" t="s">
        <v>1345</v>
      </c>
      <c r="F576" s="2" t="s">
        <v>1418</v>
      </c>
      <c r="G576" s="2" t="s">
        <v>1500</v>
      </c>
      <c r="H576" s="2" t="s">
        <v>1758</v>
      </c>
      <c r="I576" s="2" t="s">
        <v>524</v>
      </c>
      <c r="J576" s="2" t="s">
        <v>34</v>
      </c>
      <c r="K576" s="2" t="s">
        <v>38</v>
      </c>
      <c r="L576" s="2" t="s">
        <v>11</v>
      </c>
      <c r="M576" s="2" t="s">
        <v>14</v>
      </c>
      <c r="N576" s="2" t="s">
        <v>20</v>
      </c>
      <c r="O576" s="2">
        <v>0</v>
      </c>
      <c r="P576" s="2" t="s">
        <v>22</v>
      </c>
      <c r="Q576" s="2" t="s">
        <v>27</v>
      </c>
      <c r="T576" s="2" t="s">
        <v>51</v>
      </c>
      <c r="U576" s="2" t="s">
        <v>52</v>
      </c>
      <c r="V576" s="2">
        <v>1066</v>
      </c>
      <c r="W576" s="2">
        <v>4</v>
      </c>
      <c r="X576" s="2">
        <v>28</v>
      </c>
      <c r="Y576" s="2">
        <v>28</v>
      </c>
      <c r="AB576" s="2">
        <v>128.38961038961</v>
      </c>
      <c r="AC576" s="2">
        <v>6.5971980743427796</v>
      </c>
      <c r="AD576" s="2">
        <v>119.662337662338</v>
      </c>
      <c r="AE576" s="2">
        <v>6.1848731946964799</v>
      </c>
      <c r="AF576" s="2" t="s">
        <v>74</v>
      </c>
      <c r="AG576" s="2" t="s">
        <v>64</v>
      </c>
      <c r="AH576" s="2" t="str">
        <f t="shared" si="18"/>
        <v>mean</v>
      </c>
      <c r="AR576" s="2" t="s">
        <v>849</v>
      </c>
      <c r="AS576" s="2" t="s">
        <v>849</v>
      </c>
      <c r="AU576" s="2" t="s">
        <v>1818</v>
      </c>
      <c r="AV576" s="2" t="s">
        <v>1830</v>
      </c>
      <c r="AW576" s="2" t="s">
        <v>1820</v>
      </c>
      <c r="AX576" s="2" t="s">
        <v>1821</v>
      </c>
      <c r="AY576" s="2" t="s">
        <v>79</v>
      </c>
    </row>
    <row r="577" spans="1:51" x14ac:dyDescent="0.2">
      <c r="A577" s="2" t="s">
        <v>1272</v>
      </c>
      <c r="B577" s="2" t="s">
        <v>1273</v>
      </c>
      <c r="C577" s="2" t="s">
        <v>1274</v>
      </c>
      <c r="D577" s="2">
        <v>2005</v>
      </c>
      <c r="E577" s="2" t="s">
        <v>1345</v>
      </c>
      <c r="F577" s="2" t="s">
        <v>1418</v>
      </c>
      <c r="G577" s="2" t="s">
        <v>1500</v>
      </c>
      <c r="H577" s="2" t="s">
        <v>1759</v>
      </c>
      <c r="I577" s="2" t="s">
        <v>524</v>
      </c>
      <c r="J577" s="2" t="s">
        <v>34</v>
      </c>
      <c r="K577" s="2" t="s">
        <v>38</v>
      </c>
      <c r="L577" s="2" t="s">
        <v>11</v>
      </c>
      <c r="M577" s="2" t="s">
        <v>14</v>
      </c>
      <c r="N577" s="2" t="s">
        <v>20</v>
      </c>
      <c r="O577" s="2">
        <v>0</v>
      </c>
      <c r="P577" s="2" t="s">
        <v>22</v>
      </c>
      <c r="Q577" s="2" t="s">
        <v>27</v>
      </c>
      <c r="T577" s="2" t="s">
        <v>51</v>
      </c>
      <c r="U577" s="2" t="s">
        <v>53</v>
      </c>
      <c r="V577" s="2">
        <v>1066</v>
      </c>
      <c r="W577" s="2">
        <v>2</v>
      </c>
      <c r="X577" s="2">
        <v>22</v>
      </c>
      <c r="Y577" s="2">
        <v>21</v>
      </c>
      <c r="AB577" s="2">
        <v>20.239999999999998</v>
      </c>
      <c r="AC577" s="2">
        <v>2.74</v>
      </c>
      <c r="AD577" s="2">
        <v>18.829999999999998</v>
      </c>
      <c r="AE577" s="2">
        <v>3.1</v>
      </c>
      <c r="AF577" s="2" t="s">
        <v>74</v>
      </c>
      <c r="AG577" s="2" t="s">
        <v>65</v>
      </c>
      <c r="AH577" s="2" t="str">
        <f t="shared" si="18"/>
        <v>mean</v>
      </c>
      <c r="AR577" s="2" t="s">
        <v>849</v>
      </c>
      <c r="AS577" s="2" t="s">
        <v>849</v>
      </c>
      <c r="AU577" s="2" t="s">
        <v>1818</v>
      </c>
      <c r="AV577" s="2" t="s">
        <v>1830</v>
      </c>
      <c r="AW577" s="2" t="s">
        <v>1820</v>
      </c>
      <c r="AX577" s="2" t="s">
        <v>1821</v>
      </c>
      <c r="AY577" s="2" t="s">
        <v>79</v>
      </c>
    </row>
    <row r="578" spans="1:51" x14ac:dyDescent="0.2">
      <c r="A578" s="2" t="s">
        <v>1272</v>
      </c>
      <c r="B578" s="2" t="s">
        <v>1273</v>
      </c>
      <c r="C578" s="2" t="s">
        <v>1274</v>
      </c>
      <c r="D578" s="2">
        <v>2005</v>
      </c>
      <c r="E578" s="2" t="s">
        <v>1345</v>
      </c>
      <c r="F578" s="2" t="s">
        <v>1418</v>
      </c>
      <c r="G578" s="2" t="s">
        <v>1500</v>
      </c>
      <c r="H578" s="2" t="s">
        <v>1760</v>
      </c>
      <c r="I578" s="2" t="s">
        <v>524</v>
      </c>
      <c r="J578" s="2" t="s">
        <v>34</v>
      </c>
      <c r="K578" s="2" t="s">
        <v>38</v>
      </c>
      <c r="L578" s="2" t="s">
        <v>11</v>
      </c>
      <c r="M578" s="2" t="s">
        <v>14</v>
      </c>
      <c r="N578" s="2" t="s">
        <v>20</v>
      </c>
      <c r="O578" s="2">
        <v>0</v>
      </c>
      <c r="P578" s="2" t="s">
        <v>22</v>
      </c>
      <c r="Q578" s="2" t="s">
        <v>27</v>
      </c>
      <c r="T578" s="2" t="s">
        <v>51</v>
      </c>
      <c r="U578" s="2" t="s">
        <v>53</v>
      </c>
      <c r="V578" s="2">
        <v>1066</v>
      </c>
      <c r="W578" s="2">
        <v>2</v>
      </c>
      <c r="X578" s="2">
        <v>22</v>
      </c>
      <c r="Y578" s="2">
        <v>21</v>
      </c>
      <c r="AB578" s="2">
        <v>4.88</v>
      </c>
      <c r="AC578" s="2">
        <v>0.05</v>
      </c>
      <c r="AD578" s="2">
        <v>4.96</v>
      </c>
      <c r="AE578" s="2">
        <v>0.04</v>
      </c>
      <c r="AF578" s="2" t="s">
        <v>74</v>
      </c>
      <c r="AG578" s="2" t="s">
        <v>65</v>
      </c>
      <c r="AH578" s="2" t="str">
        <f t="shared" si="18"/>
        <v>mean</v>
      </c>
      <c r="AR578" s="2" t="s">
        <v>849</v>
      </c>
      <c r="AS578" s="2" t="s">
        <v>222</v>
      </c>
      <c r="AU578" s="2" t="s">
        <v>1818</v>
      </c>
      <c r="AV578" s="2" t="s">
        <v>1830</v>
      </c>
      <c r="AW578" s="2" t="s">
        <v>1820</v>
      </c>
      <c r="AX578" s="2" t="s">
        <v>1821</v>
      </c>
      <c r="AY578" s="2" t="s">
        <v>79</v>
      </c>
    </row>
    <row r="579" spans="1:51" x14ac:dyDescent="0.2">
      <c r="A579" s="2" t="s">
        <v>1272</v>
      </c>
      <c r="B579" s="2" t="s">
        <v>1273</v>
      </c>
      <c r="C579" s="2" t="s">
        <v>1274</v>
      </c>
      <c r="D579" s="2">
        <v>2005</v>
      </c>
      <c r="E579" s="2" t="s">
        <v>1345</v>
      </c>
      <c r="F579" s="2" t="s">
        <v>1418</v>
      </c>
      <c r="G579" s="2" t="s">
        <v>1500</v>
      </c>
      <c r="H579" s="2" t="s">
        <v>1761</v>
      </c>
      <c r="I579" s="2" t="s">
        <v>524</v>
      </c>
      <c r="J579" s="2" t="s">
        <v>34</v>
      </c>
      <c r="K579" s="2" t="s">
        <v>38</v>
      </c>
      <c r="L579" s="2" t="s">
        <v>11</v>
      </c>
      <c r="M579" s="2" t="s">
        <v>14</v>
      </c>
      <c r="N579" s="2" t="s">
        <v>20</v>
      </c>
      <c r="O579" s="2">
        <v>0</v>
      </c>
      <c r="P579" s="2" t="s">
        <v>22</v>
      </c>
      <c r="Q579" s="2" t="s">
        <v>27</v>
      </c>
      <c r="T579" s="2" t="s">
        <v>51</v>
      </c>
      <c r="U579" s="2" t="s">
        <v>53</v>
      </c>
      <c r="V579" s="2">
        <v>1066</v>
      </c>
      <c r="W579" s="2">
        <v>2</v>
      </c>
      <c r="X579" s="2">
        <v>22</v>
      </c>
      <c r="Y579" s="2">
        <v>21</v>
      </c>
      <c r="AB579" s="2">
        <v>36.5</v>
      </c>
      <c r="AC579" s="2">
        <v>1.28</v>
      </c>
      <c r="AD579" s="2">
        <v>36</v>
      </c>
      <c r="AE579" s="2">
        <v>0.92</v>
      </c>
      <c r="AF579" s="2" t="s">
        <v>74</v>
      </c>
      <c r="AG579" s="2" t="s">
        <v>65</v>
      </c>
      <c r="AH579" s="2" t="str">
        <f t="shared" si="18"/>
        <v>mean</v>
      </c>
      <c r="AR579" s="2" t="s">
        <v>849</v>
      </c>
      <c r="AS579" s="2" t="s">
        <v>849</v>
      </c>
      <c r="AU579" s="2" t="s">
        <v>1818</v>
      </c>
      <c r="AV579" s="2" t="s">
        <v>1830</v>
      </c>
      <c r="AW579" s="2" t="s">
        <v>1820</v>
      </c>
      <c r="AX579" s="2" t="s">
        <v>1821</v>
      </c>
      <c r="AY579" s="2" t="s">
        <v>79</v>
      </c>
    </row>
    <row r="580" spans="1:51" x14ac:dyDescent="0.2">
      <c r="A580" s="2" t="s">
        <v>1272</v>
      </c>
      <c r="B580" s="2" t="s">
        <v>1273</v>
      </c>
      <c r="C580" s="2" t="s">
        <v>1274</v>
      </c>
      <c r="D580" s="2">
        <v>2005</v>
      </c>
      <c r="E580" s="2" t="s">
        <v>1345</v>
      </c>
      <c r="F580" s="2" t="s">
        <v>1418</v>
      </c>
      <c r="G580" s="2" t="s">
        <v>1500</v>
      </c>
      <c r="H580" s="2" t="s">
        <v>1762</v>
      </c>
      <c r="I580" s="2" t="s">
        <v>524</v>
      </c>
      <c r="J580" s="2" t="s">
        <v>34</v>
      </c>
      <c r="K580" s="2" t="s">
        <v>38</v>
      </c>
      <c r="L580" s="2" t="s">
        <v>11</v>
      </c>
      <c r="M580" s="2" t="s">
        <v>14</v>
      </c>
      <c r="N580" s="2" t="s">
        <v>20</v>
      </c>
      <c r="O580" s="2">
        <v>0</v>
      </c>
      <c r="P580" s="2" t="s">
        <v>22</v>
      </c>
      <c r="Q580" s="2" t="s">
        <v>27</v>
      </c>
      <c r="T580" s="2" t="s">
        <v>51</v>
      </c>
      <c r="U580" s="2" t="s">
        <v>53</v>
      </c>
      <c r="V580" s="2">
        <v>1066</v>
      </c>
      <c r="W580" s="2">
        <v>2</v>
      </c>
      <c r="X580" s="2">
        <v>22</v>
      </c>
      <c r="Y580" s="2">
        <v>21</v>
      </c>
      <c r="AB580" s="2">
        <v>102.7</v>
      </c>
      <c r="AC580" s="2">
        <v>2.8</v>
      </c>
      <c r="AD580" s="2">
        <v>102.9</v>
      </c>
      <c r="AE580" s="2">
        <v>2.5</v>
      </c>
      <c r="AF580" s="2" t="s">
        <v>74</v>
      </c>
      <c r="AG580" s="2" t="s">
        <v>65</v>
      </c>
      <c r="AH580" s="2" t="str">
        <f t="shared" si="18"/>
        <v>mean</v>
      </c>
      <c r="AR580" s="2" t="s">
        <v>849</v>
      </c>
      <c r="AS580" s="2" t="s">
        <v>849</v>
      </c>
      <c r="AU580" s="2" t="s">
        <v>1818</v>
      </c>
      <c r="AV580" s="2" t="s">
        <v>1830</v>
      </c>
      <c r="AW580" s="2" t="s">
        <v>1820</v>
      </c>
      <c r="AX580" s="2" t="s">
        <v>1821</v>
      </c>
      <c r="AY580" s="2" t="s">
        <v>79</v>
      </c>
    </row>
    <row r="581" spans="1:51" x14ac:dyDescent="0.2">
      <c r="A581" s="2" t="s">
        <v>1272</v>
      </c>
      <c r="B581" s="2" t="s">
        <v>1273</v>
      </c>
      <c r="C581" s="2" t="s">
        <v>1274</v>
      </c>
      <c r="D581" s="2">
        <v>2005</v>
      </c>
      <c r="E581" s="2" t="s">
        <v>1345</v>
      </c>
      <c r="F581" s="2" t="s">
        <v>1418</v>
      </c>
      <c r="G581" s="2" t="s">
        <v>1500</v>
      </c>
      <c r="H581" s="2" t="s">
        <v>1763</v>
      </c>
      <c r="I581" s="2" t="s">
        <v>524</v>
      </c>
      <c r="J581" s="2" t="s">
        <v>34</v>
      </c>
      <c r="K581" s="2" t="s">
        <v>38</v>
      </c>
      <c r="L581" s="2" t="s">
        <v>11</v>
      </c>
      <c r="M581" s="2" t="s">
        <v>14</v>
      </c>
      <c r="N581" s="2" t="s">
        <v>20</v>
      </c>
      <c r="O581" s="2">
        <v>0</v>
      </c>
      <c r="P581" s="2" t="s">
        <v>22</v>
      </c>
      <c r="Q581" s="2" t="s">
        <v>27</v>
      </c>
      <c r="T581" s="2" t="s">
        <v>51</v>
      </c>
      <c r="U581" s="2" t="s">
        <v>53</v>
      </c>
      <c r="V581" s="2">
        <v>1066</v>
      </c>
      <c r="W581" s="2">
        <v>2</v>
      </c>
      <c r="X581" s="2">
        <v>22</v>
      </c>
      <c r="Y581" s="2">
        <v>21</v>
      </c>
      <c r="AB581" s="2">
        <v>177.5</v>
      </c>
      <c r="AC581" s="2">
        <v>11.3</v>
      </c>
      <c r="AD581" s="2">
        <v>177.3</v>
      </c>
      <c r="AE581" s="2">
        <v>7.8</v>
      </c>
      <c r="AF581" s="2" t="s">
        <v>74</v>
      </c>
      <c r="AG581" s="2" t="s">
        <v>65</v>
      </c>
      <c r="AH581" s="2" t="str">
        <f t="shared" si="18"/>
        <v>mean</v>
      </c>
      <c r="AR581" s="2" t="s">
        <v>849</v>
      </c>
      <c r="AS581" s="2" t="s">
        <v>222</v>
      </c>
      <c r="AU581" s="2" t="s">
        <v>1818</v>
      </c>
      <c r="AV581" s="2" t="s">
        <v>1830</v>
      </c>
      <c r="AW581" s="2" t="s">
        <v>1820</v>
      </c>
      <c r="AX581" s="2" t="s">
        <v>1821</v>
      </c>
      <c r="AY581" s="2" t="s">
        <v>79</v>
      </c>
    </row>
    <row r="582" spans="1:51" x14ac:dyDescent="0.2">
      <c r="A582" s="2" t="s">
        <v>1272</v>
      </c>
      <c r="B582" s="2" t="s">
        <v>1273</v>
      </c>
      <c r="C582" s="2" t="s">
        <v>1274</v>
      </c>
      <c r="D582" s="2">
        <v>2005</v>
      </c>
      <c r="E582" s="2" t="s">
        <v>1345</v>
      </c>
      <c r="F582" s="2" t="s">
        <v>1418</v>
      </c>
      <c r="G582" s="2" t="s">
        <v>1500</v>
      </c>
      <c r="H582" s="2" t="s">
        <v>1764</v>
      </c>
      <c r="I582" s="2" t="s">
        <v>524</v>
      </c>
      <c r="J582" s="2" t="s">
        <v>34</v>
      </c>
      <c r="K582" s="2" t="s">
        <v>38</v>
      </c>
      <c r="L582" s="2" t="s">
        <v>11</v>
      </c>
      <c r="M582" s="2" t="s">
        <v>14</v>
      </c>
      <c r="N582" s="2" t="s">
        <v>20</v>
      </c>
      <c r="O582" s="2">
        <v>0</v>
      </c>
      <c r="P582" s="2" t="s">
        <v>22</v>
      </c>
      <c r="Q582" s="2" t="s">
        <v>27</v>
      </c>
      <c r="T582" s="2" t="s">
        <v>51</v>
      </c>
      <c r="U582" s="2" t="s">
        <v>53</v>
      </c>
      <c r="V582" s="2">
        <v>1066</v>
      </c>
      <c r="W582" s="2">
        <v>2</v>
      </c>
      <c r="X582" s="2">
        <v>22</v>
      </c>
      <c r="Y582" s="2">
        <v>21</v>
      </c>
      <c r="AB582" s="2">
        <v>30.3</v>
      </c>
      <c r="AC582" s="2">
        <v>4</v>
      </c>
      <c r="AD582" s="2">
        <v>26.7</v>
      </c>
      <c r="AE582" s="2">
        <v>2.9</v>
      </c>
      <c r="AF582" s="2" t="s">
        <v>74</v>
      </c>
      <c r="AG582" s="2" t="s">
        <v>65</v>
      </c>
      <c r="AH582" s="2" t="str">
        <f t="shared" si="18"/>
        <v>mean</v>
      </c>
      <c r="AR582" s="2" t="s">
        <v>849</v>
      </c>
      <c r="AS582" s="2" t="s">
        <v>849</v>
      </c>
      <c r="AU582" s="2" t="s">
        <v>1818</v>
      </c>
      <c r="AV582" s="2" t="s">
        <v>1830</v>
      </c>
      <c r="AW582" s="2" t="s">
        <v>1820</v>
      </c>
      <c r="AX582" s="2" t="s">
        <v>1821</v>
      </c>
      <c r="AY582" s="2" t="s">
        <v>79</v>
      </c>
    </row>
    <row r="583" spans="1:51" x14ac:dyDescent="0.2">
      <c r="A583" s="2" t="s">
        <v>1275</v>
      </c>
      <c r="B583" s="2" t="s">
        <v>1276</v>
      </c>
      <c r="C583" s="2" t="s">
        <v>1277</v>
      </c>
      <c r="D583" s="2">
        <v>2004</v>
      </c>
      <c r="E583" s="2" t="s">
        <v>1346</v>
      </c>
      <c r="F583" s="2" t="s">
        <v>1419</v>
      </c>
      <c r="G583" s="2" t="s">
        <v>1501</v>
      </c>
      <c r="H583" s="2" t="s">
        <v>1765</v>
      </c>
      <c r="I583" s="2" t="s">
        <v>1278</v>
      </c>
      <c r="J583" s="2" t="s">
        <v>32</v>
      </c>
      <c r="K583" s="2" t="s">
        <v>37</v>
      </c>
      <c r="P583" s="2" t="s">
        <v>22</v>
      </c>
      <c r="Q583" s="2" t="s">
        <v>29</v>
      </c>
      <c r="R583" s="2" t="s">
        <v>40</v>
      </c>
      <c r="S583" s="2" t="s">
        <v>45</v>
      </c>
      <c r="T583" s="2" t="s">
        <v>50</v>
      </c>
      <c r="U583" s="2" t="s">
        <v>53</v>
      </c>
      <c r="V583" s="2">
        <v>171</v>
      </c>
      <c r="W583" s="2">
        <v>1</v>
      </c>
      <c r="X583" s="2">
        <v>21</v>
      </c>
      <c r="Y583" s="2">
        <v>21</v>
      </c>
      <c r="AB583" s="2">
        <v>3888</v>
      </c>
      <c r="AC583" s="2">
        <v>3327</v>
      </c>
      <c r="AD583" s="2">
        <v>2464</v>
      </c>
      <c r="AE583" s="2">
        <v>1356</v>
      </c>
      <c r="AF583" s="2" t="s">
        <v>74</v>
      </c>
      <c r="AG583" s="2" t="s">
        <v>64</v>
      </c>
      <c r="AH583" s="2" t="str">
        <f t="shared" si="18"/>
        <v>mean</v>
      </c>
      <c r="AR583" s="2" t="s">
        <v>849</v>
      </c>
      <c r="AS583" s="2" t="s">
        <v>849</v>
      </c>
      <c r="AU583" s="2" t="s">
        <v>1818</v>
      </c>
      <c r="AV583" s="2" t="s">
        <v>1819</v>
      </c>
      <c r="AW583" s="2" t="s">
        <v>1823</v>
      </c>
      <c r="AX583" s="2" t="s">
        <v>1829</v>
      </c>
      <c r="AY583" s="2" t="s">
        <v>79</v>
      </c>
    </row>
    <row r="584" spans="1:51" x14ac:dyDescent="0.2">
      <c r="A584" s="2" t="s">
        <v>1275</v>
      </c>
      <c r="B584" s="2" t="s">
        <v>1276</v>
      </c>
      <c r="C584" s="2" t="s">
        <v>1277</v>
      </c>
      <c r="D584" s="2">
        <v>2004</v>
      </c>
      <c r="E584" s="2" t="s">
        <v>1346</v>
      </c>
      <c r="F584" s="2" t="s">
        <v>1419</v>
      </c>
      <c r="G584" s="2" t="s">
        <v>1501</v>
      </c>
      <c r="H584" s="2" t="s">
        <v>1766</v>
      </c>
      <c r="I584" s="2" t="s">
        <v>1278</v>
      </c>
      <c r="J584" s="2" t="s">
        <v>32</v>
      </c>
      <c r="K584" s="2" t="s">
        <v>37</v>
      </c>
      <c r="P584" s="2" t="s">
        <v>22</v>
      </c>
      <c r="Q584" s="2" t="s">
        <v>29</v>
      </c>
      <c r="R584" s="2" t="s">
        <v>41</v>
      </c>
      <c r="S584" s="2" t="s">
        <v>46</v>
      </c>
      <c r="T584" s="2" t="s">
        <v>50</v>
      </c>
      <c r="U584" s="2" t="s">
        <v>53</v>
      </c>
      <c r="V584" s="2">
        <v>171</v>
      </c>
      <c r="W584" s="2">
        <v>1</v>
      </c>
      <c r="X584" s="2">
        <v>22</v>
      </c>
      <c r="Y584" s="2">
        <v>22</v>
      </c>
      <c r="AB584" s="2">
        <v>0.92</v>
      </c>
      <c r="AC584" s="2">
        <v>0.38</v>
      </c>
      <c r="AD584" s="2">
        <v>1.33</v>
      </c>
      <c r="AE584" s="2">
        <v>0.44</v>
      </c>
      <c r="AF584" s="2" t="s">
        <v>74</v>
      </c>
      <c r="AG584" s="2" t="s">
        <v>64</v>
      </c>
      <c r="AH584" s="2" t="str">
        <f t="shared" si="18"/>
        <v>mean</v>
      </c>
      <c r="AR584" s="2" t="s">
        <v>849</v>
      </c>
      <c r="AS584" s="2" t="s">
        <v>849</v>
      </c>
      <c r="AU584" s="2" t="s">
        <v>1818</v>
      </c>
      <c r="AV584" s="2" t="s">
        <v>1819</v>
      </c>
      <c r="AW584" s="2" t="s">
        <v>1823</v>
      </c>
      <c r="AX584" s="2" t="s">
        <v>1829</v>
      </c>
      <c r="AY584" s="2" t="s">
        <v>79</v>
      </c>
    </row>
    <row r="585" spans="1:51" x14ac:dyDescent="0.2">
      <c r="A585" s="2" t="s">
        <v>1279</v>
      </c>
      <c r="B585" s="2" t="s">
        <v>1198</v>
      </c>
      <c r="C585" s="2" t="s">
        <v>1280</v>
      </c>
      <c r="D585" s="2">
        <v>2011</v>
      </c>
      <c r="E585" s="2" t="s">
        <v>1347</v>
      </c>
      <c r="F585" s="2" t="s">
        <v>1420</v>
      </c>
      <c r="G585" s="2" t="s">
        <v>1502</v>
      </c>
      <c r="H585" s="2" t="s">
        <v>1767</v>
      </c>
      <c r="I585" s="2" t="s">
        <v>1104</v>
      </c>
      <c r="J585" s="2" t="s">
        <v>85</v>
      </c>
      <c r="K585" s="2" t="s">
        <v>38</v>
      </c>
      <c r="L585" s="2" t="s">
        <v>11</v>
      </c>
      <c r="M585" s="2" t="s">
        <v>14</v>
      </c>
      <c r="N585" s="2" t="s">
        <v>21</v>
      </c>
      <c r="O585" s="2">
        <v>0</v>
      </c>
      <c r="P585" s="2" t="s">
        <v>22</v>
      </c>
      <c r="Q585" s="2" t="s">
        <v>30</v>
      </c>
      <c r="T585" s="2" t="s">
        <v>50</v>
      </c>
      <c r="U585" s="2" t="s">
        <v>54</v>
      </c>
      <c r="V585" s="2">
        <v>7</v>
      </c>
      <c r="X585" s="2">
        <v>114</v>
      </c>
      <c r="Y585" s="2">
        <v>114</v>
      </c>
      <c r="Z585" s="2">
        <v>91</v>
      </c>
      <c r="AA585" s="2">
        <v>23</v>
      </c>
      <c r="AH585" s="2" t="s">
        <v>1804</v>
      </c>
      <c r="AR585" s="2" t="s">
        <v>849</v>
      </c>
      <c r="AS585" s="2" t="s">
        <v>849</v>
      </c>
      <c r="AU585" s="2" t="s">
        <v>1818</v>
      </c>
      <c r="AV585" s="2" t="s">
        <v>1822</v>
      </c>
      <c r="AW585" s="2" t="s">
        <v>1823</v>
      </c>
      <c r="AX585" s="2" t="s">
        <v>1826</v>
      </c>
      <c r="AY585" s="2" t="s">
        <v>79</v>
      </c>
    </row>
    <row r="586" spans="1:51" x14ac:dyDescent="0.2">
      <c r="A586" s="2" t="s">
        <v>1279</v>
      </c>
      <c r="B586" s="2" t="s">
        <v>1198</v>
      </c>
      <c r="C586" s="2" t="s">
        <v>1280</v>
      </c>
      <c r="D586" s="2">
        <v>2011</v>
      </c>
      <c r="E586" s="2" t="s">
        <v>1347</v>
      </c>
      <c r="F586" s="2" t="s">
        <v>1420</v>
      </c>
      <c r="G586" s="2" t="s">
        <v>1502</v>
      </c>
      <c r="H586" s="2" t="s">
        <v>1768</v>
      </c>
      <c r="I586" s="2" t="s">
        <v>1104</v>
      </c>
      <c r="J586" s="2" t="s">
        <v>85</v>
      </c>
      <c r="K586" s="2" t="s">
        <v>38</v>
      </c>
      <c r="L586" s="2" t="s">
        <v>11</v>
      </c>
      <c r="M586" s="2" t="s">
        <v>14</v>
      </c>
      <c r="N586" s="2" t="s">
        <v>21</v>
      </c>
      <c r="O586" s="2">
        <v>0</v>
      </c>
      <c r="P586" s="2" t="s">
        <v>22</v>
      </c>
      <c r="Q586" s="2" t="s">
        <v>30</v>
      </c>
      <c r="T586" s="2" t="s">
        <v>50</v>
      </c>
      <c r="U586" s="2" t="s">
        <v>54</v>
      </c>
      <c r="V586" s="2">
        <v>7</v>
      </c>
      <c r="X586" s="2">
        <v>114</v>
      </c>
      <c r="Y586" s="2">
        <v>114</v>
      </c>
      <c r="Z586" s="2">
        <v>71</v>
      </c>
      <c r="AA586" s="2">
        <v>43</v>
      </c>
      <c r="AH586" s="2" t="s">
        <v>1804</v>
      </c>
      <c r="AR586" s="2" t="s">
        <v>849</v>
      </c>
      <c r="AS586" s="2" t="s">
        <v>849</v>
      </c>
      <c r="AU586" s="2" t="s">
        <v>1818</v>
      </c>
      <c r="AV586" s="2" t="s">
        <v>1822</v>
      </c>
      <c r="AW586" s="2" t="s">
        <v>1823</v>
      </c>
      <c r="AX586" s="2" t="s">
        <v>1826</v>
      </c>
      <c r="AY586" s="2" t="s">
        <v>79</v>
      </c>
    </row>
    <row r="587" spans="1:51" x14ac:dyDescent="0.2">
      <c r="A587" s="2" t="s">
        <v>1805</v>
      </c>
      <c r="B587" s="2" t="s">
        <v>1806</v>
      </c>
      <c r="C587" s="2" t="s">
        <v>1807</v>
      </c>
      <c r="D587" s="2">
        <v>2017</v>
      </c>
      <c r="E587" s="2" t="s">
        <v>1808</v>
      </c>
      <c r="F587" s="2" t="s">
        <v>1809</v>
      </c>
      <c r="G587" s="2" t="s">
        <v>1810</v>
      </c>
      <c r="H587" s="2" t="s">
        <v>1811</v>
      </c>
      <c r="I587" s="2" t="s">
        <v>1786</v>
      </c>
      <c r="J587" s="2" t="s">
        <v>34</v>
      </c>
      <c r="K587" s="2" t="s">
        <v>38</v>
      </c>
      <c r="L587" s="2" t="s">
        <v>12</v>
      </c>
      <c r="P587" s="2" t="s">
        <v>22</v>
      </c>
      <c r="Q587" s="2" t="s">
        <v>30</v>
      </c>
      <c r="R587" s="2" t="s">
        <v>41</v>
      </c>
      <c r="S587" s="2" t="s">
        <v>46</v>
      </c>
      <c r="T587" s="2" t="s">
        <v>50</v>
      </c>
      <c r="U587" s="2" t="s">
        <v>56</v>
      </c>
      <c r="X587" s="2">
        <v>65</v>
      </c>
      <c r="Y587" s="2">
        <v>61</v>
      </c>
      <c r="AB587" s="2">
        <v>41.252876923076911</v>
      </c>
      <c r="AC587" s="2">
        <v>14.278743261409302</v>
      </c>
      <c r="AD587" s="2">
        <v>42.044139344262298</v>
      </c>
      <c r="AE587" s="2">
        <v>15.102133308225907</v>
      </c>
      <c r="AF587" s="2" t="s">
        <v>74</v>
      </c>
      <c r="AG587" s="2" t="s">
        <v>64</v>
      </c>
      <c r="AH587" s="2" t="str">
        <f t="shared" ref="AH587" si="19">IF(AF587="mean", "mean", "")</f>
        <v>mean</v>
      </c>
      <c r="AR587" s="2" t="s">
        <v>849</v>
      </c>
      <c r="AS587" s="2" t="s">
        <v>849</v>
      </c>
      <c r="AU587" s="2" t="s">
        <v>1818</v>
      </c>
      <c r="AV587" s="2" t="s">
        <v>1830</v>
      </c>
      <c r="AW587" s="2" t="s">
        <v>1832</v>
      </c>
      <c r="AX587" s="2" t="s">
        <v>1821</v>
      </c>
      <c r="AY587" s="2" t="s">
        <v>79</v>
      </c>
    </row>
    <row r="588" spans="1:51" x14ac:dyDescent="0.2">
      <c r="A588" s="2" t="s">
        <v>1845</v>
      </c>
      <c r="B588" s="2" t="s">
        <v>1846</v>
      </c>
      <c r="C588" s="2" t="s">
        <v>1847</v>
      </c>
      <c r="D588" s="2">
        <v>2020</v>
      </c>
      <c r="E588" s="2" t="s">
        <v>1848</v>
      </c>
      <c r="F588" s="2" t="s">
        <v>1849</v>
      </c>
      <c r="G588" s="2" t="s">
        <v>1850</v>
      </c>
      <c r="H588" s="2" t="s">
        <v>1851</v>
      </c>
      <c r="I588" s="2" t="s">
        <v>2277</v>
      </c>
      <c r="J588" s="2" t="s">
        <v>36</v>
      </c>
      <c r="K588" s="2" t="s">
        <v>38</v>
      </c>
      <c r="L588" s="2" t="s">
        <v>12</v>
      </c>
      <c r="P588" s="2" t="s">
        <v>23</v>
      </c>
      <c r="Q588" s="2" t="s">
        <v>78</v>
      </c>
      <c r="R588" s="2" t="s">
        <v>40</v>
      </c>
      <c r="S588" s="2" t="s">
        <v>43</v>
      </c>
      <c r="T588" s="2" t="s">
        <v>50</v>
      </c>
      <c r="U588" s="2" t="s">
        <v>54</v>
      </c>
      <c r="V588" s="2">
        <v>44</v>
      </c>
      <c r="X588" s="2">
        <v>16</v>
      </c>
      <c r="Y588" s="2">
        <v>21</v>
      </c>
      <c r="AB588" s="2">
        <v>0.34</v>
      </c>
      <c r="AC588" s="2">
        <v>0.03</v>
      </c>
      <c r="AD588" s="2">
        <v>0.28000000000000003</v>
      </c>
      <c r="AE588" s="2">
        <v>0.02</v>
      </c>
      <c r="AF588" s="2" t="s">
        <v>74</v>
      </c>
      <c r="AG588" s="2" t="s">
        <v>65</v>
      </c>
      <c r="AH588" s="2" t="s">
        <v>74</v>
      </c>
      <c r="AR588" s="2" t="s">
        <v>222</v>
      </c>
      <c r="AS588" s="2" t="s">
        <v>849</v>
      </c>
      <c r="AU588" s="2" t="s">
        <v>1818</v>
      </c>
      <c r="AW588" s="2" t="s">
        <v>2278</v>
      </c>
      <c r="AX588" s="2" t="s">
        <v>1821</v>
      </c>
      <c r="AY588" s="2" t="s">
        <v>1824</v>
      </c>
    </row>
    <row r="589" spans="1:51" x14ac:dyDescent="0.2">
      <c r="A589" s="2" t="s">
        <v>1852</v>
      </c>
      <c r="B589" s="2" t="s">
        <v>1853</v>
      </c>
      <c r="C589" s="2" t="s">
        <v>1854</v>
      </c>
      <c r="D589" s="2">
        <v>2023</v>
      </c>
      <c r="E589" s="2" t="s">
        <v>1855</v>
      </c>
      <c r="F589" s="2" t="s">
        <v>1856</v>
      </c>
      <c r="G589" s="2" t="s">
        <v>1857</v>
      </c>
      <c r="H589" s="2" t="s">
        <v>1858</v>
      </c>
      <c r="I589" s="2" t="s">
        <v>512</v>
      </c>
      <c r="J589" s="2" t="s">
        <v>86</v>
      </c>
      <c r="K589" s="2" t="s">
        <v>38</v>
      </c>
      <c r="L589" s="2" t="s">
        <v>12</v>
      </c>
      <c r="P589" s="2" t="s">
        <v>79</v>
      </c>
      <c r="Q589" s="2" t="s">
        <v>1056</v>
      </c>
      <c r="R589" s="2" t="s">
        <v>41</v>
      </c>
      <c r="S589" s="2" t="s">
        <v>44</v>
      </c>
      <c r="T589" s="2" t="s">
        <v>50</v>
      </c>
      <c r="U589" s="2" t="s">
        <v>421</v>
      </c>
      <c r="X589" s="2">
        <v>84</v>
      </c>
      <c r="Y589" s="2">
        <v>83</v>
      </c>
      <c r="AB589" s="2">
        <v>17.535714285714285</v>
      </c>
      <c r="AC589" s="2">
        <v>3.5582804449077301</v>
      </c>
      <c r="AD589" s="2">
        <v>17.831325301204821</v>
      </c>
      <c r="AE589" s="2">
        <v>3.2826940048493709</v>
      </c>
      <c r="AF589" s="2" t="s">
        <v>74</v>
      </c>
      <c r="AG589" s="2" t="s">
        <v>64</v>
      </c>
      <c r="AH589" s="2" t="s">
        <v>74</v>
      </c>
      <c r="AR589" s="2" t="s">
        <v>849</v>
      </c>
      <c r="AS589" s="2" t="s">
        <v>849</v>
      </c>
      <c r="AU589" s="2" t="s">
        <v>1818</v>
      </c>
      <c r="AV589" s="2" t="s">
        <v>1830</v>
      </c>
      <c r="AW589" s="2" t="s">
        <v>1831</v>
      </c>
      <c r="AX589" s="2" t="s">
        <v>1829</v>
      </c>
      <c r="AY589" s="2" t="s">
        <v>79</v>
      </c>
    </row>
    <row r="590" spans="1:51" x14ac:dyDescent="0.2">
      <c r="A590" s="2" t="s">
        <v>1852</v>
      </c>
      <c r="B590" s="2" t="s">
        <v>1853</v>
      </c>
      <c r="C590" s="2" t="s">
        <v>1854</v>
      </c>
      <c r="D590" s="2">
        <v>2023</v>
      </c>
      <c r="E590" s="2" t="s">
        <v>1855</v>
      </c>
      <c r="F590" s="2" t="s">
        <v>1856</v>
      </c>
      <c r="G590" s="2" t="s">
        <v>1857</v>
      </c>
      <c r="H590" s="2" t="s">
        <v>1859</v>
      </c>
      <c r="I590" s="2" t="s">
        <v>512</v>
      </c>
      <c r="J590" s="2" t="s">
        <v>86</v>
      </c>
      <c r="K590" s="2" t="s">
        <v>38</v>
      </c>
      <c r="L590" s="2" t="s">
        <v>12</v>
      </c>
      <c r="P590" s="2" t="s">
        <v>79</v>
      </c>
      <c r="Q590" s="2" t="s">
        <v>1056</v>
      </c>
      <c r="R590" s="2" t="s">
        <v>41</v>
      </c>
      <c r="S590" s="2" t="s">
        <v>44</v>
      </c>
      <c r="T590" s="2" t="s">
        <v>50</v>
      </c>
      <c r="U590" s="2" t="s">
        <v>421</v>
      </c>
      <c r="X590" s="2">
        <v>85</v>
      </c>
      <c r="Y590" s="2">
        <v>75</v>
      </c>
      <c r="AB590" s="2">
        <v>14.235294117647058</v>
      </c>
      <c r="AC590" s="2">
        <v>3.1534072986273789</v>
      </c>
      <c r="AD590" s="2">
        <v>14.613333333333333</v>
      </c>
      <c r="AE590" s="2">
        <v>2.3817625391278607</v>
      </c>
      <c r="AF590" s="2" t="s">
        <v>74</v>
      </c>
      <c r="AG590" s="2" t="s">
        <v>64</v>
      </c>
      <c r="AH590" s="2" t="s">
        <v>74</v>
      </c>
      <c r="AR590" s="2" t="s">
        <v>849</v>
      </c>
      <c r="AS590" s="2" t="s">
        <v>849</v>
      </c>
      <c r="AU590" s="2" t="s">
        <v>1818</v>
      </c>
      <c r="AV590" s="2" t="s">
        <v>1830</v>
      </c>
      <c r="AW590" s="2" t="s">
        <v>1831</v>
      </c>
      <c r="AX590" s="2" t="s">
        <v>1829</v>
      </c>
      <c r="AY590" s="2" t="s">
        <v>79</v>
      </c>
    </row>
    <row r="591" spans="1:51" x14ac:dyDescent="0.2">
      <c r="A591" s="2" t="s">
        <v>1852</v>
      </c>
      <c r="B591" s="2" t="s">
        <v>1853</v>
      </c>
      <c r="C591" s="2" t="s">
        <v>1854</v>
      </c>
      <c r="D591" s="2">
        <v>2023</v>
      </c>
      <c r="E591" s="2" t="s">
        <v>1855</v>
      </c>
      <c r="F591" s="2" t="s">
        <v>1856</v>
      </c>
      <c r="G591" s="2" t="s">
        <v>1857</v>
      </c>
      <c r="H591" s="2" t="s">
        <v>1860</v>
      </c>
      <c r="I591" s="2" t="s">
        <v>512</v>
      </c>
      <c r="J591" s="2" t="s">
        <v>86</v>
      </c>
      <c r="K591" s="2" t="s">
        <v>38</v>
      </c>
      <c r="L591" s="2" t="s">
        <v>12</v>
      </c>
      <c r="P591" s="2" t="s">
        <v>79</v>
      </c>
      <c r="Q591" s="2" t="s">
        <v>1056</v>
      </c>
      <c r="R591" s="2" t="s">
        <v>41</v>
      </c>
      <c r="S591" s="2" t="s">
        <v>44</v>
      </c>
      <c r="T591" s="2" t="s">
        <v>50</v>
      </c>
      <c r="U591" s="2" t="s">
        <v>421</v>
      </c>
      <c r="X591" s="2">
        <v>78</v>
      </c>
      <c r="Y591" s="2">
        <v>77</v>
      </c>
      <c r="AB591" s="2">
        <v>12.358974358974359</v>
      </c>
      <c r="AC591" s="2">
        <v>2.0063170301096571</v>
      </c>
      <c r="AD591" s="2">
        <v>12.896103896103897</v>
      </c>
      <c r="AE591" s="2">
        <v>2.1000276663867723</v>
      </c>
      <c r="AF591" s="2" t="s">
        <v>74</v>
      </c>
      <c r="AG591" s="2" t="s">
        <v>64</v>
      </c>
      <c r="AH591" s="2" t="s">
        <v>74</v>
      </c>
      <c r="AR591" s="2" t="s">
        <v>849</v>
      </c>
      <c r="AS591" s="2" t="s">
        <v>849</v>
      </c>
      <c r="AU591" s="2" t="s">
        <v>1818</v>
      </c>
      <c r="AV591" s="2" t="s">
        <v>1830</v>
      </c>
      <c r="AW591" s="2" t="s">
        <v>1831</v>
      </c>
      <c r="AX591" s="2" t="s">
        <v>1829</v>
      </c>
      <c r="AY591" s="2" t="s">
        <v>79</v>
      </c>
    </row>
    <row r="592" spans="1:51" x14ac:dyDescent="0.2">
      <c r="A592" s="2" t="s">
        <v>1852</v>
      </c>
      <c r="B592" s="2" t="s">
        <v>1853</v>
      </c>
      <c r="C592" s="2" t="s">
        <v>1854</v>
      </c>
      <c r="D592" s="2">
        <v>2023</v>
      </c>
      <c r="E592" s="2" t="s">
        <v>1855</v>
      </c>
      <c r="F592" s="2" t="s">
        <v>1856</v>
      </c>
      <c r="G592" s="2" t="s">
        <v>1857</v>
      </c>
      <c r="H592" s="2" t="s">
        <v>1861</v>
      </c>
      <c r="I592" s="2" t="s">
        <v>512</v>
      </c>
      <c r="J592" s="2" t="s">
        <v>86</v>
      </c>
      <c r="K592" s="2" t="s">
        <v>38</v>
      </c>
      <c r="L592" s="2" t="s">
        <v>12</v>
      </c>
      <c r="P592" s="2" t="s">
        <v>79</v>
      </c>
      <c r="Q592" s="2" t="s">
        <v>1056</v>
      </c>
      <c r="R592" s="2" t="s">
        <v>41</v>
      </c>
      <c r="S592" s="2" t="s">
        <v>44</v>
      </c>
      <c r="T592" s="2" t="s">
        <v>50</v>
      </c>
      <c r="U592" s="2" t="s">
        <v>421</v>
      </c>
      <c r="X592" s="2">
        <v>78</v>
      </c>
      <c r="Y592" s="2">
        <v>83</v>
      </c>
      <c r="AB592" s="2">
        <v>10.512820512820513</v>
      </c>
      <c r="AC592" s="2">
        <v>1.7487924571758253</v>
      </c>
      <c r="AD592" s="2">
        <v>11.19277108433735</v>
      </c>
      <c r="AE592" s="2">
        <v>1.7140583088048553</v>
      </c>
      <c r="AF592" s="2" t="s">
        <v>74</v>
      </c>
      <c r="AG592" s="2" t="s">
        <v>64</v>
      </c>
      <c r="AH592" s="2" t="s">
        <v>74</v>
      </c>
      <c r="AR592" s="2" t="s">
        <v>849</v>
      </c>
      <c r="AS592" s="2" t="s">
        <v>849</v>
      </c>
      <c r="AU592" s="2" t="s">
        <v>1818</v>
      </c>
      <c r="AV592" s="2" t="s">
        <v>1830</v>
      </c>
      <c r="AW592" s="2" t="s">
        <v>1831</v>
      </c>
      <c r="AX592" s="2" t="s">
        <v>1829</v>
      </c>
      <c r="AY592" s="2" t="s">
        <v>79</v>
      </c>
    </row>
    <row r="593" spans="1:51" x14ac:dyDescent="0.2">
      <c r="A593" s="2" t="s">
        <v>1852</v>
      </c>
      <c r="B593" s="2" t="s">
        <v>1853</v>
      </c>
      <c r="C593" s="2" t="s">
        <v>1867</v>
      </c>
      <c r="D593" s="2">
        <v>2023</v>
      </c>
      <c r="E593" s="2" t="s">
        <v>1855</v>
      </c>
      <c r="F593" s="2" t="s">
        <v>1856</v>
      </c>
      <c r="G593" s="2" t="s">
        <v>1857</v>
      </c>
      <c r="H593" s="2" t="s">
        <v>1862</v>
      </c>
      <c r="I593" s="2" t="s">
        <v>512</v>
      </c>
      <c r="J593" s="2" t="s">
        <v>86</v>
      </c>
      <c r="K593" s="2" t="s">
        <v>38</v>
      </c>
      <c r="L593" s="2" t="s">
        <v>12</v>
      </c>
      <c r="P593" s="2" t="s">
        <v>79</v>
      </c>
      <c r="Q593" s="2" t="s">
        <v>1056</v>
      </c>
      <c r="R593" s="2" t="s">
        <v>41</v>
      </c>
      <c r="S593" s="2" t="s">
        <v>44</v>
      </c>
      <c r="T593" s="2" t="s">
        <v>50</v>
      </c>
      <c r="U593" s="2" t="s">
        <v>421</v>
      </c>
      <c r="X593" s="2">
        <v>84</v>
      </c>
      <c r="Y593" s="2">
        <v>80</v>
      </c>
      <c r="AB593" s="2">
        <v>17.535714285714285</v>
      </c>
      <c r="AC593" s="2">
        <v>3.5582804449077301</v>
      </c>
      <c r="AD593" s="2">
        <v>17.2</v>
      </c>
      <c r="AE593" s="2">
        <v>3.7699679345914987</v>
      </c>
      <c r="AF593" s="2" t="s">
        <v>74</v>
      </c>
      <c r="AG593" s="2" t="s">
        <v>64</v>
      </c>
      <c r="AH593" s="2" t="s">
        <v>74</v>
      </c>
      <c r="AR593" s="2" t="s">
        <v>849</v>
      </c>
      <c r="AS593" s="2" t="s">
        <v>849</v>
      </c>
      <c r="AU593" s="2" t="s">
        <v>1818</v>
      </c>
      <c r="AV593" s="2" t="s">
        <v>1830</v>
      </c>
      <c r="AW593" s="2" t="s">
        <v>1831</v>
      </c>
      <c r="AX593" s="2" t="s">
        <v>1829</v>
      </c>
      <c r="AY593" s="2" t="s">
        <v>79</v>
      </c>
    </row>
    <row r="594" spans="1:51" x14ac:dyDescent="0.2">
      <c r="A594" s="2" t="s">
        <v>1852</v>
      </c>
      <c r="B594" s="2" t="s">
        <v>1853</v>
      </c>
      <c r="C594" s="2" t="s">
        <v>1868</v>
      </c>
      <c r="D594" s="2">
        <v>2023</v>
      </c>
      <c r="E594" s="2" t="s">
        <v>1855</v>
      </c>
      <c r="F594" s="2" t="s">
        <v>1856</v>
      </c>
      <c r="G594" s="2" t="s">
        <v>1857</v>
      </c>
      <c r="H594" s="2" t="s">
        <v>1863</v>
      </c>
      <c r="I594" s="2" t="s">
        <v>512</v>
      </c>
      <c r="J594" s="2" t="s">
        <v>86</v>
      </c>
      <c r="K594" s="2" t="s">
        <v>38</v>
      </c>
      <c r="L594" s="2" t="s">
        <v>12</v>
      </c>
      <c r="P594" s="2" t="s">
        <v>79</v>
      </c>
      <c r="Q594" s="2" t="s">
        <v>1056</v>
      </c>
      <c r="R594" s="2" t="s">
        <v>41</v>
      </c>
      <c r="S594" s="2" t="s">
        <v>44</v>
      </c>
      <c r="T594" s="2" t="s">
        <v>50</v>
      </c>
      <c r="U594" s="2" t="s">
        <v>421</v>
      </c>
      <c r="X594" s="2">
        <v>85</v>
      </c>
      <c r="Y594" s="2">
        <v>68</v>
      </c>
      <c r="AB594" s="2">
        <v>14.235294117647058</v>
      </c>
      <c r="AC594" s="2">
        <v>3.1534072986273789</v>
      </c>
      <c r="AD594" s="2">
        <v>14.75</v>
      </c>
      <c r="AE594" s="2">
        <v>2.9844122399411321</v>
      </c>
      <c r="AF594" s="2" t="s">
        <v>74</v>
      </c>
      <c r="AG594" s="2" t="s">
        <v>64</v>
      </c>
      <c r="AH594" s="2" t="s">
        <v>74</v>
      </c>
      <c r="AR594" s="2" t="s">
        <v>849</v>
      </c>
      <c r="AS594" s="2" t="s">
        <v>849</v>
      </c>
      <c r="AU594" s="2" t="s">
        <v>1818</v>
      </c>
      <c r="AV594" s="2" t="s">
        <v>1830</v>
      </c>
      <c r="AW594" s="2" t="s">
        <v>1831</v>
      </c>
      <c r="AX594" s="2" t="s">
        <v>1829</v>
      </c>
      <c r="AY594" s="2" t="s">
        <v>79</v>
      </c>
    </row>
    <row r="595" spans="1:51" x14ac:dyDescent="0.2">
      <c r="A595" s="2" t="s">
        <v>1852</v>
      </c>
      <c r="B595" s="2" t="s">
        <v>1853</v>
      </c>
      <c r="C595" s="2" t="s">
        <v>1869</v>
      </c>
      <c r="D595" s="2">
        <v>2023</v>
      </c>
      <c r="E595" s="2" t="s">
        <v>1855</v>
      </c>
      <c r="F595" s="2" t="s">
        <v>1856</v>
      </c>
      <c r="G595" s="2" t="s">
        <v>1857</v>
      </c>
      <c r="H595" s="2" t="s">
        <v>1864</v>
      </c>
      <c r="I595" s="2" t="s">
        <v>512</v>
      </c>
      <c r="J595" s="2" t="s">
        <v>86</v>
      </c>
      <c r="K595" s="2" t="s">
        <v>38</v>
      </c>
      <c r="L595" s="2" t="s">
        <v>12</v>
      </c>
      <c r="P595" s="2" t="s">
        <v>79</v>
      </c>
      <c r="Q595" s="2" t="s">
        <v>1056</v>
      </c>
      <c r="R595" s="2" t="s">
        <v>41</v>
      </c>
      <c r="S595" s="2" t="s">
        <v>44</v>
      </c>
      <c r="T595" s="2" t="s">
        <v>50</v>
      </c>
      <c r="U595" s="2" t="s">
        <v>421</v>
      </c>
      <c r="X595" s="2">
        <v>78</v>
      </c>
      <c r="Y595" s="2">
        <v>83</v>
      </c>
      <c r="AB595" s="2">
        <v>12.358974358974359</v>
      </c>
      <c r="AC595" s="2">
        <v>2.0063170301096571</v>
      </c>
      <c r="AD595" s="2">
        <v>12.253012048192771</v>
      </c>
      <c r="AE595" s="2">
        <v>2.2406628673718263</v>
      </c>
      <c r="AF595" s="2" t="s">
        <v>74</v>
      </c>
      <c r="AG595" s="2" t="s">
        <v>64</v>
      </c>
      <c r="AH595" s="2" t="s">
        <v>74</v>
      </c>
      <c r="AR595" s="2" t="s">
        <v>849</v>
      </c>
      <c r="AS595" s="2" t="s">
        <v>849</v>
      </c>
      <c r="AU595" s="2" t="s">
        <v>1818</v>
      </c>
      <c r="AV595" s="2" t="s">
        <v>1830</v>
      </c>
      <c r="AW595" s="2" t="s">
        <v>1831</v>
      </c>
      <c r="AX595" s="2" t="s">
        <v>1829</v>
      </c>
      <c r="AY595" s="2" t="s">
        <v>79</v>
      </c>
    </row>
    <row r="596" spans="1:51" x14ac:dyDescent="0.2">
      <c r="A596" s="2" t="s">
        <v>1852</v>
      </c>
      <c r="B596" s="2" t="s">
        <v>1853</v>
      </c>
      <c r="C596" s="2" t="s">
        <v>1870</v>
      </c>
      <c r="D596" s="2">
        <v>2023</v>
      </c>
      <c r="E596" s="2" t="s">
        <v>1855</v>
      </c>
      <c r="F596" s="2" t="s">
        <v>1856</v>
      </c>
      <c r="G596" s="2" t="s">
        <v>1857</v>
      </c>
      <c r="H596" s="2" t="s">
        <v>1865</v>
      </c>
      <c r="I596" s="2" t="s">
        <v>512</v>
      </c>
      <c r="J596" s="2" t="s">
        <v>86</v>
      </c>
      <c r="K596" s="2" t="s">
        <v>38</v>
      </c>
      <c r="L596" s="2" t="s">
        <v>12</v>
      </c>
      <c r="P596" s="2" t="s">
        <v>79</v>
      </c>
      <c r="Q596" s="2" t="s">
        <v>1056</v>
      </c>
      <c r="R596" s="2" t="s">
        <v>41</v>
      </c>
      <c r="S596" s="2" t="s">
        <v>44</v>
      </c>
      <c r="T596" s="2" t="s">
        <v>50</v>
      </c>
      <c r="U596" s="2" t="s">
        <v>421</v>
      </c>
      <c r="X596" s="2">
        <v>78</v>
      </c>
      <c r="Y596" s="2">
        <v>81</v>
      </c>
      <c r="AB596" s="2">
        <v>10.512820512820513</v>
      </c>
      <c r="AC596" s="2">
        <v>1.7487924571758253</v>
      </c>
      <c r="AD596" s="2">
        <v>9.8271604938271597</v>
      </c>
      <c r="AE596" s="2">
        <v>2.468755371927271</v>
      </c>
      <c r="AF596" s="2" t="s">
        <v>74</v>
      </c>
      <c r="AG596" s="2" t="s">
        <v>64</v>
      </c>
      <c r="AH596" s="2" t="s">
        <v>74</v>
      </c>
      <c r="AR596" s="2" t="s">
        <v>849</v>
      </c>
      <c r="AS596" s="2" t="s">
        <v>849</v>
      </c>
      <c r="AU596" s="2" t="s">
        <v>1818</v>
      </c>
      <c r="AV596" s="2" t="s">
        <v>1830</v>
      </c>
      <c r="AW596" s="2" t="s">
        <v>1831</v>
      </c>
      <c r="AX596" s="2" t="s">
        <v>1829</v>
      </c>
      <c r="AY596" s="2" t="s">
        <v>79</v>
      </c>
    </row>
    <row r="597" spans="1:51" x14ac:dyDescent="0.2">
      <c r="A597" s="2" t="s">
        <v>1852</v>
      </c>
      <c r="B597" s="2" t="s">
        <v>1853</v>
      </c>
      <c r="C597" s="2" t="s">
        <v>1869</v>
      </c>
      <c r="D597" s="2">
        <v>2023</v>
      </c>
      <c r="E597" s="2" t="s">
        <v>1855</v>
      </c>
      <c r="F597" s="2" t="s">
        <v>1856</v>
      </c>
      <c r="G597" s="2" t="s">
        <v>1879</v>
      </c>
      <c r="H597" s="2" t="s">
        <v>1866</v>
      </c>
      <c r="I597" s="2" t="s">
        <v>512</v>
      </c>
      <c r="J597" s="2" t="s">
        <v>86</v>
      </c>
      <c r="K597" s="2" t="s">
        <v>38</v>
      </c>
      <c r="L597" s="2" t="s">
        <v>12</v>
      </c>
      <c r="P597" s="2" t="s">
        <v>79</v>
      </c>
      <c r="Q597" s="2" t="s">
        <v>1056</v>
      </c>
      <c r="R597" s="2" t="s">
        <v>41</v>
      </c>
      <c r="S597" s="2" t="s">
        <v>626</v>
      </c>
      <c r="T597" s="2" t="s">
        <v>50</v>
      </c>
      <c r="U597" s="2" t="s">
        <v>421</v>
      </c>
      <c r="X597" s="2">
        <v>50</v>
      </c>
      <c r="Y597" s="2">
        <v>39</v>
      </c>
      <c r="AB597" s="2">
        <v>1340897.9591836734</v>
      </c>
      <c r="AC597" s="2">
        <v>1867680.6053331001</v>
      </c>
      <c r="AD597" s="2">
        <v>1606210.5263157894</v>
      </c>
      <c r="AE597" s="2">
        <v>1968476.0350145851</v>
      </c>
      <c r="AF597" s="2" t="s">
        <v>74</v>
      </c>
      <c r="AG597" s="2" t="s">
        <v>64</v>
      </c>
      <c r="AH597" s="2" t="s">
        <v>74</v>
      </c>
      <c r="AR597" s="2" t="s">
        <v>222</v>
      </c>
      <c r="AS597" s="2" t="s">
        <v>849</v>
      </c>
      <c r="AU597" s="2" t="s">
        <v>1818</v>
      </c>
      <c r="AV597" s="2" t="s">
        <v>1830</v>
      </c>
      <c r="AW597" s="2" t="s">
        <v>1831</v>
      </c>
      <c r="AX597" s="2" t="s">
        <v>1829</v>
      </c>
      <c r="AY597" s="2" t="s">
        <v>79</v>
      </c>
    </row>
    <row r="598" spans="1:51" x14ac:dyDescent="0.2">
      <c r="A598" s="2" t="s">
        <v>1852</v>
      </c>
      <c r="B598" s="2" t="s">
        <v>1853</v>
      </c>
      <c r="C598" s="2" t="s">
        <v>1869</v>
      </c>
      <c r="D598" s="2">
        <v>2023</v>
      </c>
      <c r="E598" s="2" t="s">
        <v>1855</v>
      </c>
      <c r="F598" s="2" t="s">
        <v>1856</v>
      </c>
      <c r="G598" s="2" t="s">
        <v>1879</v>
      </c>
      <c r="H598" s="2" t="s">
        <v>1871</v>
      </c>
      <c r="I598" s="2" t="s">
        <v>512</v>
      </c>
      <c r="J598" s="2" t="s">
        <v>86</v>
      </c>
      <c r="K598" s="2" t="s">
        <v>38</v>
      </c>
      <c r="L598" s="2" t="s">
        <v>12</v>
      </c>
      <c r="P598" s="2" t="s">
        <v>79</v>
      </c>
      <c r="Q598" s="2" t="s">
        <v>1056</v>
      </c>
      <c r="R598" s="2" t="s">
        <v>41</v>
      </c>
      <c r="S598" s="2" t="s">
        <v>626</v>
      </c>
      <c r="T598" s="2" t="s">
        <v>50</v>
      </c>
      <c r="U598" s="2" t="s">
        <v>421</v>
      </c>
      <c r="X598" s="2">
        <v>71</v>
      </c>
      <c r="Y598" s="2">
        <v>59</v>
      </c>
      <c r="AB598" s="2">
        <v>952897.14285714284</v>
      </c>
      <c r="AC598" s="2">
        <v>1511862.9374817179</v>
      </c>
      <c r="AD598" s="2">
        <v>1211457.6271186441</v>
      </c>
      <c r="AE598" s="2">
        <v>1216694.5515593765</v>
      </c>
      <c r="AF598" s="2" t="s">
        <v>74</v>
      </c>
      <c r="AG598" s="2" t="s">
        <v>64</v>
      </c>
      <c r="AH598" s="2" t="s">
        <v>74</v>
      </c>
      <c r="AR598" s="2" t="s">
        <v>222</v>
      </c>
      <c r="AS598" s="2" t="s">
        <v>849</v>
      </c>
      <c r="AU598" s="2" t="s">
        <v>1818</v>
      </c>
      <c r="AV598" s="2" t="s">
        <v>1830</v>
      </c>
      <c r="AW598" s="2" t="s">
        <v>1831</v>
      </c>
      <c r="AX598" s="2" t="s">
        <v>1829</v>
      </c>
      <c r="AY598" s="2" t="s">
        <v>79</v>
      </c>
    </row>
    <row r="599" spans="1:51" x14ac:dyDescent="0.2">
      <c r="A599" s="2" t="s">
        <v>1852</v>
      </c>
      <c r="B599" s="2" t="s">
        <v>1853</v>
      </c>
      <c r="C599" s="2" t="s">
        <v>1869</v>
      </c>
      <c r="D599" s="2">
        <v>2023</v>
      </c>
      <c r="E599" s="2" t="s">
        <v>1855</v>
      </c>
      <c r="F599" s="2" t="s">
        <v>1856</v>
      </c>
      <c r="G599" s="2" t="s">
        <v>1879</v>
      </c>
      <c r="H599" s="2" t="s">
        <v>1872</v>
      </c>
      <c r="I599" s="2" t="s">
        <v>512</v>
      </c>
      <c r="J599" s="2" t="s">
        <v>86</v>
      </c>
      <c r="K599" s="2" t="s">
        <v>38</v>
      </c>
      <c r="L599" s="2" t="s">
        <v>12</v>
      </c>
      <c r="P599" s="2" t="s">
        <v>79</v>
      </c>
      <c r="Q599" s="2" t="s">
        <v>1056</v>
      </c>
      <c r="R599" s="2" t="s">
        <v>41</v>
      </c>
      <c r="S599" s="2" t="s">
        <v>626</v>
      </c>
      <c r="T599" s="2" t="s">
        <v>50</v>
      </c>
      <c r="U599" s="2" t="s">
        <v>421</v>
      </c>
      <c r="X599" s="2">
        <v>73</v>
      </c>
      <c r="Y599" s="2">
        <v>69</v>
      </c>
      <c r="AB599" s="2">
        <v>2815657.1428571427</v>
      </c>
      <c r="AC599" s="2">
        <v>2503254.2986368551</v>
      </c>
      <c r="AD599" s="2">
        <v>1955387.5</v>
      </c>
      <c r="AE599" s="2">
        <v>2175914.0120367296</v>
      </c>
      <c r="AF599" s="2" t="s">
        <v>74</v>
      </c>
      <c r="AG599" s="2" t="s">
        <v>64</v>
      </c>
      <c r="AH599" s="2" t="s">
        <v>74</v>
      </c>
      <c r="AR599" s="2" t="s">
        <v>222</v>
      </c>
      <c r="AS599" s="2" t="s">
        <v>849</v>
      </c>
      <c r="AU599" s="2" t="s">
        <v>1818</v>
      </c>
      <c r="AV599" s="2" t="s">
        <v>1830</v>
      </c>
      <c r="AW599" s="2" t="s">
        <v>1831</v>
      </c>
      <c r="AX599" s="2" t="s">
        <v>1829</v>
      </c>
      <c r="AY599" s="2" t="s">
        <v>79</v>
      </c>
    </row>
    <row r="600" spans="1:51" x14ac:dyDescent="0.2">
      <c r="A600" s="2" t="s">
        <v>1852</v>
      </c>
      <c r="B600" s="2" t="s">
        <v>1853</v>
      </c>
      <c r="C600" s="2" t="s">
        <v>1869</v>
      </c>
      <c r="D600" s="2">
        <v>2023</v>
      </c>
      <c r="E600" s="2" t="s">
        <v>1855</v>
      </c>
      <c r="F600" s="2" t="s">
        <v>1856</v>
      </c>
      <c r="G600" s="2" t="s">
        <v>1879</v>
      </c>
      <c r="H600" s="2" t="s">
        <v>1873</v>
      </c>
      <c r="I600" s="2" t="s">
        <v>512</v>
      </c>
      <c r="J600" s="2" t="s">
        <v>86</v>
      </c>
      <c r="K600" s="2" t="s">
        <v>38</v>
      </c>
      <c r="L600" s="2" t="s">
        <v>12</v>
      </c>
      <c r="P600" s="2" t="s">
        <v>79</v>
      </c>
      <c r="Q600" s="2" t="s">
        <v>1056</v>
      </c>
      <c r="R600" s="2" t="s">
        <v>41</v>
      </c>
      <c r="S600" s="2" t="s">
        <v>626</v>
      </c>
      <c r="T600" s="2" t="s">
        <v>50</v>
      </c>
      <c r="U600" s="2" t="s">
        <v>421</v>
      </c>
      <c r="X600" s="2">
        <v>72</v>
      </c>
      <c r="Y600" s="2">
        <v>87</v>
      </c>
      <c r="AB600" s="2">
        <v>3118688.524590164</v>
      </c>
      <c r="AC600" s="2">
        <v>4210336.2792892745</v>
      </c>
      <c r="AD600" s="2">
        <v>6478150.5882352944</v>
      </c>
      <c r="AE600" s="2">
        <v>5894738.2141401069</v>
      </c>
      <c r="AF600" s="2" t="s">
        <v>74</v>
      </c>
      <c r="AG600" s="2" t="s">
        <v>64</v>
      </c>
      <c r="AH600" s="2" t="s">
        <v>74</v>
      </c>
      <c r="AR600" s="2" t="s">
        <v>222</v>
      </c>
      <c r="AS600" s="2" t="s">
        <v>849</v>
      </c>
      <c r="AU600" s="2" t="s">
        <v>1818</v>
      </c>
      <c r="AV600" s="2" t="s">
        <v>1830</v>
      </c>
      <c r="AW600" s="2" t="s">
        <v>1831</v>
      </c>
      <c r="AX600" s="2" t="s">
        <v>1829</v>
      </c>
      <c r="AY600" s="2" t="s">
        <v>79</v>
      </c>
    </row>
    <row r="601" spans="1:51" x14ac:dyDescent="0.2">
      <c r="A601" s="2" t="s">
        <v>1852</v>
      </c>
      <c r="B601" s="2" t="s">
        <v>1853</v>
      </c>
      <c r="C601" s="2" t="s">
        <v>1869</v>
      </c>
      <c r="D601" s="2">
        <v>2023</v>
      </c>
      <c r="E601" s="2" t="s">
        <v>1855</v>
      </c>
      <c r="F601" s="2" t="s">
        <v>1856</v>
      </c>
      <c r="G601" s="2" t="s">
        <v>1879</v>
      </c>
      <c r="H601" s="2" t="s">
        <v>1874</v>
      </c>
      <c r="I601" s="2" t="s">
        <v>512</v>
      </c>
      <c r="J601" s="2" t="s">
        <v>86</v>
      </c>
      <c r="K601" s="2" t="s">
        <v>38</v>
      </c>
      <c r="L601" s="2" t="s">
        <v>12</v>
      </c>
      <c r="P601" s="2" t="s">
        <v>79</v>
      </c>
      <c r="Q601" s="2" t="s">
        <v>1056</v>
      </c>
      <c r="R601" s="2" t="s">
        <v>41</v>
      </c>
      <c r="S601" s="2" t="s">
        <v>626</v>
      </c>
      <c r="T601" s="2" t="s">
        <v>50</v>
      </c>
      <c r="U601" s="2" t="s">
        <v>421</v>
      </c>
      <c r="X601" s="2">
        <v>50</v>
      </c>
      <c r="Y601" s="2">
        <v>49</v>
      </c>
      <c r="AB601" s="2">
        <v>1340897.9591836734</v>
      </c>
      <c r="AC601" s="2">
        <v>1867680.6053331001</v>
      </c>
      <c r="AD601" s="2">
        <v>1673108.3333333333</v>
      </c>
      <c r="AE601" s="2">
        <v>2335800.4814818366</v>
      </c>
      <c r="AF601" s="2" t="s">
        <v>74</v>
      </c>
      <c r="AG601" s="2" t="s">
        <v>64</v>
      </c>
      <c r="AH601" s="2" t="s">
        <v>74</v>
      </c>
      <c r="AR601" s="2" t="s">
        <v>222</v>
      </c>
      <c r="AS601" s="2" t="s">
        <v>849</v>
      </c>
      <c r="AU601" s="2" t="s">
        <v>1818</v>
      </c>
      <c r="AV601" s="2" t="s">
        <v>1830</v>
      </c>
      <c r="AW601" s="2" t="s">
        <v>1831</v>
      </c>
      <c r="AX601" s="2" t="s">
        <v>1829</v>
      </c>
      <c r="AY601" s="2" t="s">
        <v>79</v>
      </c>
    </row>
    <row r="602" spans="1:51" x14ac:dyDescent="0.2">
      <c r="A602" s="2" t="s">
        <v>1852</v>
      </c>
      <c r="B602" s="2" t="s">
        <v>1853</v>
      </c>
      <c r="C602" s="2" t="s">
        <v>1869</v>
      </c>
      <c r="D602" s="2">
        <v>2023</v>
      </c>
      <c r="E602" s="2" t="s">
        <v>1855</v>
      </c>
      <c r="F602" s="2" t="s">
        <v>1856</v>
      </c>
      <c r="G602" s="2" t="s">
        <v>1879</v>
      </c>
      <c r="H602" s="2" t="s">
        <v>1875</v>
      </c>
      <c r="I602" s="2" t="s">
        <v>512</v>
      </c>
      <c r="J602" s="2" t="s">
        <v>86</v>
      </c>
      <c r="K602" s="2" t="s">
        <v>38</v>
      </c>
      <c r="L602" s="2" t="s">
        <v>12</v>
      </c>
      <c r="P602" s="2" t="s">
        <v>79</v>
      </c>
      <c r="Q602" s="2" t="s">
        <v>1056</v>
      </c>
      <c r="R602" s="2" t="s">
        <v>41</v>
      </c>
      <c r="S602" s="2" t="s">
        <v>626</v>
      </c>
      <c r="T602" s="2" t="s">
        <v>50</v>
      </c>
      <c r="U602" s="2" t="s">
        <v>421</v>
      </c>
      <c r="X602" s="2">
        <v>71</v>
      </c>
      <c r="Y602" s="2">
        <v>53</v>
      </c>
      <c r="AB602" s="2">
        <v>952897.14285714284</v>
      </c>
      <c r="AC602" s="2">
        <v>1511862.9374817179</v>
      </c>
      <c r="AD602" s="2">
        <v>1434831.3725490195</v>
      </c>
      <c r="AE602" s="2">
        <v>2529263.9812791543</v>
      </c>
      <c r="AF602" s="2" t="s">
        <v>74</v>
      </c>
      <c r="AG602" s="2" t="s">
        <v>64</v>
      </c>
      <c r="AH602" s="2" t="s">
        <v>74</v>
      </c>
      <c r="AR602" s="2" t="s">
        <v>222</v>
      </c>
      <c r="AS602" s="2" t="s">
        <v>849</v>
      </c>
      <c r="AU602" s="2" t="s">
        <v>1818</v>
      </c>
      <c r="AV602" s="2" t="s">
        <v>1830</v>
      </c>
      <c r="AW602" s="2" t="s">
        <v>1831</v>
      </c>
      <c r="AX602" s="2" t="s">
        <v>1829</v>
      </c>
      <c r="AY602" s="2" t="s">
        <v>79</v>
      </c>
    </row>
    <row r="603" spans="1:51" x14ac:dyDescent="0.2">
      <c r="A603" s="2" t="s">
        <v>1852</v>
      </c>
      <c r="B603" s="2" t="s">
        <v>1853</v>
      </c>
      <c r="C603" s="2" t="s">
        <v>1869</v>
      </c>
      <c r="D603" s="2">
        <v>2023</v>
      </c>
      <c r="E603" s="2" t="s">
        <v>1855</v>
      </c>
      <c r="F603" s="2" t="s">
        <v>1856</v>
      </c>
      <c r="G603" s="2" t="s">
        <v>1879</v>
      </c>
      <c r="H603" s="2" t="s">
        <v>1876</v>
      </c>
      <c r="I603" s="2" t="s">
        <v>512</v>
      </c>
      <c r="J603" s="2" t="s">
        <v>86</v>
      </c>
      <c r="K603" s="2" t="s">
        <v>38</v>
      </c>
      <c r="L603" s="2" t="s">
        <v>12</v>
      </c>
      <c r="P603" s="2" t="s">
        <v>79</v>
      </c>
      <c r="Q603" s="2" t="s">
        <v>1056</v>
      </c>
      <c r="R603" s="2" t="s">
        <v>41</v>
      </c>
      <c r="S603" s="2" t="s">
        <v>626</v>
      </c>
      <c r="T603" s="2" t="s">
        <v>50</v>
      </c>
      <c r="U603" s="2" t="s">
        <v>421</v>
      </c>
      <c r="X603" s="2">
        <v>73</v>
      </c>
      <c r="Y603" s="2">
        <v>72</v>
      </c>
      <c r="AB603" s="2">
        <v>2815657.1428571427</v>
      </c>
      <c r="AC603" s="2">
        <v>2503254.2986368551</v>
      </c>
      <c r="AD603" s="2">
        <v>1344358.2089552239</v>
      </c>
      <c r="AE603" s="2">
        <v>1671723.8761909953</v>
      </c>
      <c r="AF603" s="2" t="s">
        <v>74</v>
      </c>
      <c r="AG603" s="2" t="s">
        <v>64</v>
      </c>
      <c r="AH603" s="2" t="s">
        <v>74</v>
      </c>
      <c r="AR603" s="2" t="s">
        <v>222</v>
      </c>
      <c r="AS603" s="2" t="s">
        <v>849</v>
      </c>
      <c r="AU603" s="2" t="s">
        <v>1818</v>
      </c>
      <c r="AV603" s="2" t="s">
        <v>1830</v>
      </c>
      <c r="AW603" s="2" t="s">
        <v>1831</v>
      </c>
      <c r="AX603" s="2" t="s">
        <v>1829</v>
      </c>
      <c r="AY603" s="2" t="s">
        <v>79</v>
      </c>
    </row>
    <row r="604" spans="1:51" x14ac:dyDescent="0.2">
      <c r="A604" s="2" t="s">
        <v>1852</v>
      </c>
      <c r="B604" s="2" t="s">
        <v>1853</v>
      </c>
      <c r="C604" s="2" t="s">
        <v>1870</v>
      </c>
      <c r="D604" s="2">
        <v>2023</v>
      </c>
      <c r="E604" s="2" t="s">
        <v>1855</v>
      </c>
      <c r="F604" s="2" t="s">
        <v>1856</v>
      </c>
      <c r="G604" s="2" t="s">
        <v>1879</v>
      </c>
      <c r="H604" s="2" t="s">
        <v>1877</v>
      </c>
      <c r="I604" s="2" t="s">
        <v>512</v>
      </c>
      <c r="J604" s="2" t="s">
        <v>86</v>
      </c>
      <c r="K604" s="2" t="s">
        <v>38</v>
      </c>
      <c r="L604" s="2" t="s">
        <v>12</v>
      </c>
      <c r="P604" s="2" t="s">
        <v>79</v>
      </c>
      <c r="Q604" s="2" t="s">
        <v>1056</v>
      </c>
      <c r="R604" s="2" t="s">
        <v>41</v>
      </c>
      <c r="S604" s="2" t="s">
        <v>626</v>
      </c>
      <c r="T604" s="2" t="s">
        <v>50</v>
      </c>
      <c r="U604" s="2" t="s">
        <v>421</v>
      </c>
      <c r="X604" s="2">
        <v>72</v>
      </c>
      <c r="Y604" s="2">
        <v>72</v>
      </c>
      <c r="AB604" s="2">
        <v>3118688.524590164</v>
      </c>
      <c r="AC604" s="2">
        <v>4210336.2792892745</v>
      </c>
      <c r="AD604" s="2">
        <v>2378707.6923076925</v>
      </c>
      <c r="AE604" s="2">
        <v>3162783.3555028955</v>
      </c>
      <c r="AF604" s="2" t="s">
        <v>74</v>
      </c>
      <c r="AG604" s="2" t="s">
        <v>64</v>
      </c>
      <c r="AH604" s="2" t="s">
        <v>74</v>
      </c>
      <c r="AR604" s="2" t="s">
        <v>222</v>
      </c>
      <c r="AS604" s="2" t="s">
        <v>849</v>
      </c>
      <c r="AU604" s="2" t="s">
        <v>1818</v>
      </c>
      <c r="AV604" s="2" t="s">
        <v>1830</v>
      </c>
      <c r="AW604" s="2" t="s">
        <v>1831</v>
      </c>
      <c r="AX604" s="2" t="s">
        <v>1829</v>
      </c>
      <c r="AY604" s="2" t="s">
        <v>79</v>
      </c>
    </row>
    <row r="605" spans="1:51" x14ac:dyDescent="0.2">
      <c r="A605" s="2" t="s">
        <v>1882</v>
      </c>
      <c r="B605" s="2" t="s">
        <v>1883</v>
      </c>
      <c r="C605" s="2" t="s">
        <v>1884</v>
      </c>
      <c r="D605" s="2">
        <v>2022</v>
      </c>
      <c r="E605" s="2" t="s">
        <v>1885</v>
      </c>
      <c r="F605" s="2" t="s">
        <v>1886</v>
      </c>
      <c r="G605" s="2" t="s">
        <v>1880</v>
      </c>
      <c r="H605" s="2" t="s">
        <v>1878</v>
      </c>
      <c r="I605" s="2" t="s">
        <v>1887</v>
      </c>
      <c r="J605" s="2" t="s">
        <v>536</v>
      </c>
      <c r="K605" s="2" t="s">
        <v>38</v>
      </c>
      <c r="L605" s="2" t="s">
        <v>11</v>
      </c>
      <c r="M605" s="2" t="s">
        <v>14</v>
      </c>
      <c r="N605" s="2" t="s">
        <v>15</v>
      </c>
      <c r="O605" s="2">
        <v>1</v>
      </c>
      <c r="P605" s="2" t="s">
        <v>22</v>
      </c>
      <c r="Q605" s="2" t="s">
        <v>30</v>
      </c>
      <c r="T605" s="2" t="s">
        <v>51</v>
      </c>
      <c r="U605" s="2" t="s">
        <v>54</v>
      </c>
      <c r="X605" s="2">
        <v>12</v>
      </c>
      <c r="Y605" s="2">
        <v>12</v>
      </c>
      <c r="AB605" s="2">
        <v>1.92</v>
      </c>
      <c r="AC605" s="2">
        <v>0.53</v>
      </c>
      <c r="AD605" s="2">
        <v>0.25</v>
      </c>
      <c r="AE605" s="2">
        <v>0.13</v>
      </c>
      <c r="AF605" s="2" t="s">
        <v>74</v>
      </c>
      <c r="AG605" s="2" t="s">
        <v>65</v>
      </c>
      <c r="AH605" s="2" t="s">
        <v>74</v>
      </c>
      <c r="AR605" s="2" t="s">
        <v>849</v>
      </c>
      <c r="AS605" s="2" t="s">
        <v>849</v>
      </c>
      <c r="AU605" s="2" t="s">
        <v>1818</v>
      </c>
      <c r="AV605" s="2" t="s">
        <v>1822</v>
      </c>
      <c r="AW605" s="2" t="s">
        <v>1823</v>
      </c>
      <c r="AX605" s="2" t="s">
        <v>1826</v>
      </c>
      <c r="AY605" s="2" t="s">
        <v>79</v>
      </c>
    </row>
    <row r="606" spans="1:51" x14ac:dyDescent="0.2">
      <c r="A606" s="2" t="s">
        <v>1882</v>
      </c>
      <c r="B606" s="2" t="s">
        <v>1883</v>
      </c>
      <c r="C606" s="2" t="s">
        <v>1884</v>
      </c>
      <c r="D606" s="2">
        <v>2022</v>
      </c>
      <c r="E606" s="2" t="s">
        <v>1885</v>
      </c>
      <c r="F606" s="2" t="s">
        <v>1886</v>
      </c>
      <c r="G606" s="2" t="s">
        <v>1880</v>
      </c>
      <c r="H606" s="2" t="s">
        <v>1888</v>
      </c>
      <c r="I606" s="2" t="s">
        <v>1887</v>
      </c>
      <c r="J606" s="2" t="s">
        <v>536</v>
      </c>
      <c r="K606" s="2" t="s">
        <v>38</v>
      </c>
      <c r="L606" s="2" t="s">
        <v>11</v>
      </c>
      <c r="M606" s="2" t="s">
        <v>14</v>
      </c>
      <c r="N606" s="2" t="s">
        <v>15</v>
      </c>
      <c r="O606" s="2">
        <v>1</v>
      </c>
      <c r="P606" s="2" t="s">
        <v>22</v>
      </c>
      <c r="Q606" s="2" t="s">
        <v>30</v>
      </c>
      <c r="T606" s="2" t="s">
        <v>51</v>
      </c>
      <c r="U606" s="2" t="s">
        <v>54</v>
      </c>
      <c r="X606" s="2">
        <v>10</v>
      </c>
      <c r="Y606" s="2">
        <v>10</v>
      </c>
      <c r="AB606" s="2">
        <v>10.33</v>
      </c>
      <c r="AC606" s="2">
        <v>3.44</v>
      </c>
      <c r="AD606" s="2">
        <v>7.33</v>
      </c>
      <c r="AE606" s="2">
        <v>2.04</v>
      </c>
      <c r="AF606" s="2" t="s">
        <v>74</v>
      </c>
      <c r="AG606" s="2" t="s">
        <v>65</v>
      </c>
      <c r="AH606" s="2" t="s">
        <v>74</v>
      </c>
      <c r="AR606" s="2" t="s">
        <v>849</v>
      </c>
      <c r="AS606" s="2" t="s">
        <v>849</v>
      </c>
      <c r="AU606" s="2" t="s">
        <v>1818</v>
      </c>
      <c r="AV606" s="2" t="s">
        <v>1822</v>
      </c>
      <c r="AW606" s="2" t="s">
        <v>1823</v>
      </c>
      <c r="AX606" s="2" t="s">
        <v>1826</v>
      </c>
      <c r="AY606" s="2" t="s">
        <v>79</v>
      </c>
    </row>
    <row r="607" spans="1:51" x14ac:dyDescent="0.2">
      <c r="A607" s="2" t="s">
        <v>1889</v>
      </c>
      <c r="B607" s="2" t="s">
        <v>1890</v>
      </c>
      <c r="C607" s="2" t="s">
        <v>1891</v>
      </c>
      <c r="D607" s="2">
        <v>2023</v>
      </c>
      <c r="E607" s="2" t="s">
        <v>1892</v>
      </c>
      <c r="F607" s="2" t="s">
        <v>1893</v>
      </c>
      <c r="G607" s="2" t="s">
        <v>1881</v>
      </c>
      <c r="H607" s="2" t="s">
        <v>1894</v>
      </c>
      <c r="I607" s="2" t="s">
        <v>1175</v>
      </c>
      <c r="J607" s="2" t="s">
        <v>36</v>
      </c>
      <c r="K607" s="2" t="s">
        <v>38</v>
      </c>
      <c r="L607" s="2" t="s">
        <v>11</v>
      </c>
      <c r="M607" s="2" t="s">
        <v>14</v>
      </c>
      <c r="N607" s="2" t="s">
        <v>17</v>
      </c>
      <c r="O607" s="2">
        <v>1</v>
      </c>
      <c r="P607" s="2" t="s">
        <v>22</v>
      </c>
      <c r="Q607" s="2" t="s">
        <v>30</v>
      </c>
      <c r="T607" s="2" t="s">
        <v>50</v>
      </c>
      <c r="U607" s="2" t="s">
        <v>421</v>
      </c>
      <c r="X607" s="2">
        <v>39</v>
      </c>
      <c r="Y607" s="2">
        <v>40</v>
      </c>
      <c r="Z607" s="2">
        <v>25</v>
      </c>
      <c r="AA607" s="2">
        <v>27</v>
      </c>
      <c r="AH607" s="2" t="s">
        <v>1804</v>
      </c>
      <c r="AR607" s="2" t="s">
        <v>849</v>
      </c>
      <c r="AS607" s="2" t="s">
        <v>849</v>
      </c>
      <c r="AU607" s="2" t="s">
        <v>1827</v>
      </c>
      <c r="AV607" s="2" t="s">
        <v>1822</v>
      </c>
      <c r="AW607" s="2" t="s">
        <v>1823</v>
      </c>
      <c r="AY607" s="2" t="s">
        <v>1828</v>
      </c>
    </row>
    <row r="608" spans="1:51" x14ac:dyDescent="0.2">
      <c r="A608" s="2" t="s">
        <v>1889</v>
      </c>
      <c r="B608" s="2" t="s">
        <v>1890</v>
      </c>
      <c r="C608" s="2" t="s">
        <v>1895</v>
      </c>
      <c r="D608" s="2">
        <v>2023</v>
      </c>
      <c r="E608" s="2" t="s">
        <v>1892</v>
      </c>
      <c r="F608" s="2" t="s">
        <v>1893</v>
      </c>
      <c r="G608" s="2" t="s">
        <v>1881</v>
      </c>
      <c r="H608" s="2" t="s">
        <v>1901</v>
      </c>
      <c r="I608" s="2" t="s">
        <v>1175</v>
      </c>
      <c r="J608" s="2" t="s">
        <v>36</v>
      </c>
      <c r="K608" s="2" t="s">
        <v>38</v>
      </c>
      <c r="L608" s="2" t="s">
        <v>11</v>
      </c>
      <c r="M608" s="2" t="s">
        <v>14</v>
      </c>
      <c r="N608" s="2" t="s">
        <v>17</v>
      </c>
      <c r="O608" s="2">
        <v>1</v>
      </c>
      <c r="P608" s="2" t="s">
        <v>22</v>
      </c>
      <c r="Q608" s="2" t="s">
        <v>30</v>
      </c>
      <c r="T608" s="2" t="s">
        <v>50</v>
      </c>
      <c r="U608" s="2" t="s">
        <v>421</v>
      </c>
      <c r="X608" s="2">
        <v>47</v>
      </c>
      <c r="Y608" s="2">
        <v>41</v>
      </c>
      <c r="Z608" s="2">
        <v>26</v>
      </c>
      <c r="AA608" s="2">
        <v>20</v>
      </c>
      <c r="AH608" s="2" t="s">
        <v>1804</v>
      </c>
      <c r="AR608" s="2" t="s">
        <v>849</v>
      </c>
      <c r="AS608" s="2" t="s">
        <v>849</v>
      </c>
      <c r="AU608" s="2" t="s">
        <v>1827</v>
      </c>
      <c r="AV608" s="2" t="s">
        <v>1822</v>
      </c>
      <c r="AW608" s="2" t="s">
        <v>1823</v>
      </c>
      <c r="AY608" s="2" t="s">
        <v>1828</v>
      </c>
    </row>
    <row r="609" spans="1:51" x14ac:dyDescent="0.2">
      <c r="A609" s="2" t="s">
        <v>1889</v>
      </c>
      <c r="B609" s="2" t="s">
        <v>1890</v>
      </c>
      <c r="C609" s="2" t="s">
        <v>1896</v>
      </c>
      <c r="D609" s="2">
        <v>2023</v>
      </c>
      <c r="E609" s="2" t="s">
        <v>1892</v>
      </c>
      <c r="F609" s="2" t="s">
        <v>1893</v>
      </c>
      <c r="G609" s="2" t="s">
        <v>1881</v>
      </c>
      <c r="H609" s="2" t="s">
        <v>1902</v>
      </c>
      <c r="I609" s="2" t="s">
        <v>1175</v>
      </c>
      <c r="J609" s="2" t="s">
        <v>36</v>
      </c>
      <c r="K609" s="2" t="s">
        <v>38</v>
      </c>
      <c r="L609" s="2" t="s">
        <v>11</v>
      </c>
      <c r="M609" s="2" t="s">
        <v>14</v>
      </c>
      <c r="N609" s="2" t="s">
        <v>17</v>
      </c>
      <c r="O609" s="2">
        <v>1</v>
      </c>
      <c r="P609" s="2" t="s">
        <v>22</v>
      </c>
      <c r="Q609" s="2" t="s">
        <v>27</v>
      </c>
      <c r="T609" s="2" t="s">
        <v>50</v>
      </c>
      <c r="U609" s="2" t="s">
        <v>421</v>
      </c>
      <c r="X609" s="2">
        <v>25</v>
      </c>
      <c r="Y609" s="2">
        <v>27</v>
      </c>
      <c r="AB609" s="2">
        <v>8.7870050346399999</v>
      </c>
      <c r="AC609" s="2">
        <v>7.9472577469037358</v>
      </c>
      <c r="AD609" s="2">
        <v>7.2636119321481489</v>
      </c>
      <c r="AE609" s="2">
        <v>4.4307327415043218</v>
      </c>
      <c r="AF609" s="2" t="s">
        <v>74</v>
      </c>
      <c r="AG609" s="2" t="s">
        <v>64</v>
      </c>
      <c r="AH609" s="2" t="s">
        <v>74</v>
      </c>
      <c r="AR609" s="2" t="s">
        <v>849</v>
      </c>
      <c r="AS609" s="2" t="s">
        <v>849</v>
      </c>
      <c r="AU609" s="2" t="s">
        <v>1827</v>
      </c>
      <c r="AV609" s="2" t="s">
        <v>1822</v>
      </c>
      <c r="AW609" s="2" t="s">
        <v>1823</v>
      </c>
      <c r="AY609" s="2" t="s">
        <v>1828</v>
      </c>
    </row>
    <row r="610" spans="1:51" x14ac:dyDescent="0.2">
      <c r="A610" s="2" t="s">
        <v>1889</v>
      </c>
      <c r="B610" s="2" t="s">
        <v>1890</v>
      </c>
      <c r="C610" s="2" t="s">
        <v>1897</v>
      </c>
      <c r="D610" s="2">
        <v>2023</v>
      </c>
      <c r="E610" s="2" t="s">
        <v>1892</v>
      </c>
      <c r="F610" s="2" t="s">
        <v>1893</v>
      </c>
      <c r="G610" s="2" t="s">
        <v>1881</v>
      </c>
      <c r="H610" s="2" t="s">
        <v>1903</v>
      </c>
      <c r="I610" s="2" t="s">
        <v>1175</v>
      </c>
      <c r="J610" s="2" t="s">
        <v>36</v>
      </c>
      <c r="K610" s="2" t="s">
        <v>38</v>
      </c>
      <c r="L610" s="2" t="s">
        <v>11</v>
      </c>
      <c r="M610" s="2" t="s">
        <v>14</v>
      </c>
      <c r="N610" s="2" t="s">
        <v>17</v>
      </c>
      <c r="O610" s="2">
        <v>1</v>
      </c>
      <c r="P610" s="2" t="s">
        <v>22</v>
      </c>
      <c r="Q610" s="2" t="s">
        <v>27</v>
      </c>
      <c r="T610" s="2" t="s">
        <v>50</v>
      </c>
      <c r="U610" s="2" t="s">
        <v>421</v>
      </c>
      <c r="X610" s="2">
        <v>26</v>
      </c>
      <c r="Y610" s="2">
        <v>20</v>
      </c>
      <c r="AB610" s="2">
        <v>8.4055103112307687</v>
      </c>
      <c r="AC610" s="2">
        <v>4.3962064183913183</v>
      </c>
      <c r="AD610" s="2">
        <v>10.833883663399998</v>
      </c>
      <c r="AE610" s="2">
        <v>8.6290137996525313</v>
      </c>
      <c r="AF610" s="2" t="s">
        <v>74</v>
      </c>
      <c r="AG610" s="2" t="s">
        <v>64</v>
      </c>
      <c r="AH610" s="2" t="s">
        <v>74</v>
      </c>
      <c r="AR610" s="2" t="s">
        <v>849</v>
      </c>
      <c r="AS610" s="2" t="s">
        <v>849</v>
      </c>
      <c r="AU610" s="2" t="s">
        <v>1827</v>
      </c>
      <c r="AV610" s="2" t="s">
        <v>1822</v>
      </c>
      <c r="AW610" s="2" t="s">
        <v>1823</v>
      </c>
      <c r="AY610" s="2" t="s">
        <v>1828</v>
      </c>
    </row>
    <row r="611" spans="1:51" x14ac:dyDescent="0.2">
      <c r="A611" s="2" t="s">
        <v>1889</v>
      </c>
      <c r="B611" s="2" t="s">
        <v>1890</v>
      </c>
      <c r="C611" s="2" t="s">
        <v>1898</v>
      </c>
      <c r="D611" s="2">
        <v>2023</v>
      </c>
      <c r="E611" s="2" t="s">
        <v>1892</v>
      </c>
      <c r="F611" s="2" t="s">
        <v>1893</v>
      </c>
      <c r="G611" s="2" t="s">
        <v>1881</v>
      </c>
      <c r="H611" s="2" t="s">
        <v>1904</v>
      </c>
      <c r="I611" s="2" t="s">
        <v>1175</v>
      </c>
      <c r="J611" s="2" t="s">
        <v>36</v>
      </c>
      <c r="K611" s="2" t="s">
        <v>38</v>
      </c>
      <c r="L611" s="2" t="s">
        <v>11</v>
      </c>
      <c r="M611" s="2" t="s">
        <v>14</v>
      </c>
      <c r="N611" s="2" t="s">
        <v>17</v>
      </c>
      <c r="O611" s="2">
        <v>1</v>
      </c>
      <c r="P611" s="2" t="s">
        <v>22</v>
      </c>
      <c r="Q611" s="2" t="s">
        <v>27</v>
      </c>
      <c r="T611" s="2" t="s">
        <v>50</v>
      </c>
      <c r="U611" s="2" t="s">
        <v>421</v>
      </c>
      <c r="X611" s="2">
        <v>14</v>
      </c>
      <c r="Y611" s="2">
        <v>13</v>
      </c>
      <c r="AB611" s="2">
        <v>2.6928571429285713</v>
      </c>
      <c r="AC611" s="2">
        <v>0.85151233700805717</v>
      </c>
      <c r="AD611" s="2">
        <v>3.0588916460000002</v>
      </c>
      <c r="AE611" s="2">
        <v>2.0020647994609653</v>
      </c>
      <c r="AF611" s="2" t="s">
        <v>74</v>
      </c>
      <c r="AG611" s="2" t="s">
        <v>64</v>
      </c>
      <c r="AH611" s="2" t="s">
        <v>74</v>
      </c>
      <c r="AR611" s="2" t="s">
        <v>849</v>
      </c>
      <c r="AS611" s="2" t="s">
        <v>849</v>
      </c>
      <c r="AU611" s="2" t="s">
        <v>1827</v>
      </c>
      <c r="AV611" s="2" t="s">
        <v>1822</v>
      </c>
      <c r="AW611" s="2" t="s">
        <v>1823</v>
      </c>
      <c r="AY611" s="2" t="s">
        <v>1828</v>
      </c>
    </row>
    <row r="612" spans="1:51" x14ac:dyDescent="0.2">
      <c r="A612" s="2" t="s">
        <v>1889</v>
      </c>
      <c r="B612" s="2" t="s">
        <v>1890</v>
      </c>
      <c r="C612" s="2" t="s">
        <v>1899</v>
      </c>
      <c r="D612" s="2">
        <v>2023</v>
      </c>
      <c r="E612" s="2" t="s">
        <v>1892</v>
      </c>
      <c r="F612" s="2" t="s">
        <v>1893</v>
      </c>
      <c r="G612" s="2" t="s">
        <v>1881</v>
      </c>
      <c r="H612" s="2" t="s">
        <v>1905</v>
      </c>
      <c r="I612" s="2" t="s">
        <v>1175</v>
      </c>
      <c r="J612" s="2" t="s">
        <v>36</v>
      </c>
      <c r="K612" s="2" t="s">
        <v>38</v>
      </c>
      <c r="L612" s="2" t="s">
        <v>11</v>
      </c>
      <c r="M612" s="2" t="s">
        <v>14</v>
      </c>
      <c r="N612" s="2" t="s">
        <v>17</v>
      </c>
      <c r="O612" s="2">
        <v>1</v>
      </c>
      <c r="P612" s="2" t="s">
        <v>22</v>
      </c>
      <c r="Q612" s="2" t="s">
        <v>27</v>
      </c>
      <c r="T612" s="2" t="s">
        <v>50</v>
      </c>
      <c r="U612" s="2" t="s">
        <v>421</v>
      </c>
      <c r="X612" s="2">
        <v>21</v>
      </c>
      <c r="Y612" s="2">
        <v>21</v>
      </c>
      <c r="AB612" s="2">
        <v>2.7460317459999999</v>
      </c>
      <c r="AC612" s="2">
        <v>0.56585492757555667</v>
      </c>
      <c r="AD612" s="2">
        <v>2.6190476190476191</v>
      </c>
      <c r="AE612" s="2">
        <v>0.8355185634187795</v>
      </c>
      <c r="AF612" s="2" t="s">
        <v>74</v>
      </c>
      <c r="AG612" s="2" t="s">
        <v>64</v>
      </c>
      <c r="AH612" s="2" t="s">
        <v>74</v>
      </c>
      <c r="AR612" s="2" t="s">
        <v>849</v>
      </c>
      <c r="AS612" s="2" t="s">
        <v>849</v>
      </c>
      <c r="AU612" s="2" t="s">
        <v>1827</v>
      </c>
      <c r="AV612" s="2" t="s">
        <v>1822</v>
      </c>
      <c r="AW612" s="2" t="s">
        <v>1823</v>
      </c>
      <c r="AY612" s="2" t="s">
        <v>1828</v>
      </c>
    </row>
    <row r="613" spans="1:51" x14ac:dyDescent="0.2">
      <c r="A613" s="2" t="s">
        <v>1889</v>
      </c>
      <c r="B613" s="2" t="s">
        <v>1890</v>
      </c>
      <c r="C613" s="2" t="s">
        <v>1900</v>
      </c>
      <c r="D613" s="2">
        <v>2023</v>
      </c>
      <c r="E613" s="2" t="s">
        <v>1892</v>
      </c>
      <c r="F613" s="2" t="s">
        <v>1893</v>
      </c>
      <c r="G613" s="2" t="s">
        <v>1881</v>
      </c>
      <c r="H613" s="2" t="s">
        <v>1906</v>
      </c>
      <c r="I613" s="2" t="s">
        <v>1175</v>
      </c>
      <c r="J613" s="2" t="s">
        <v>36</v>
      </c>
      <c r="K613" s="2" t="s">
        <v>38</v>
      </c>
      <c r="L613" s="2" t="s">
        <v>11</v>
      </c>
      <c r="M613" s="2" t="s">
        <v>14</v>
      </c>
      <c r="N613" s="2" t="s">
        <v>17</v>
      </c>
      <c r="O613" s="2">
        <v>1</v>
      </c>
      <c r="P613" s="2" t="s">
        <v>22</v>
      </c>
      <c r="Q613" s="2" t="s">
        <v>1839</v>
      </c>
      <c r="T613" s="2" t="s">
        <v>50</v>
      </c>
      <c r="U613" s="2" t="s">
        <v>421</v>
      </c>
      <c r="X613" s="2">
        <v>25</v>
      </c>
      <c r="Y613" s="2">
        <v>27</v>
      </c>
      <c r="AB613" s="2">
        <v>1</v>
      </c>
      <c r="AC613" s="2">
        <v>1</v>
      </c>
      <c r="AD613" s="2">
        <v>1</v>
      </c>
      <c r="AE613" s="2">
        <v>1</v>
      </c>
      <c r="AF613" s="2" t="s">
        <v>74</v>
      </c>
      <c r="AG613" s="2" t="s">
        <v>64</v>
      </c>
      <c r="AH613" s="2" t="s">
        <v>74</v>
      </c>
      <c r="AR613" s="2" t="s">
        <v>849</v>
      </c>
      <c r="AS613" s="2" t="s">
        <v>222</v>
      </c>
      <c r="AU613" s="2" t="s">
        <v>1827</v>
      </c>
      <c r="AV613" s="2" t="s">
        <v>1822</v>
      </c>
      <c r="AW613" s="2" t="s">
        <v>1823</v>
      </c>
      <c r="AY613" s="2" t="s">
        <v>1828</v>
      </c>
    </row>
    <row r="614" spans="1:51" x14ac:dyDescent="0.2">
      <c r="A614" s="2" t="s">
        <v>1889</v>
      </c>
      <c r="B614" s="2" t="s">
        <v>1890</v>
      </c>
      <c r="C614" s="2" t="s">
        <v>1900</v>
      </c>
      <c r="D614" s="2">
        <v>2023</v>
      </c>
      <c r="E614" s="2" t="s">
        <v>1892</v>
      </c>
      <c r="F614" s="2" t="s">
        <v>1893</v>
      </c>
      <c r="G614" s="2" t="s">
        <v>1881</v>
      </c>
      <c r="H614" s="2" t="s">
        <v>1907</v>
      </c>
      <c r="I614" s="2" t="s">
        <v>1175</v>
      </c>
      <c r="J614" s="2" t="s">
        <v>36</v>
      </c>
      <c r="K614" s="2" t="s">
        <v>38</v>
      </c>
      <c r="L614" s="2" t="s">
        <v>11</v>
      </c>
      <c r="M614" s="2" t="s">
        <v>14</v>
      </c>
      <c r="N614" s="2" t="s">
        <v>17</v>
      </c>
      <c r="O614" s="2">
        <v>1</v>
      </c>
      <c r="P614" s="2" t="s">
        <v>22</v>
      </c>
      <c r="Q614" s="2" t="s">
        <v>1839</v>
      </c>
      <c r="T614" s="2" t="s">
        <v>50</v>
      </c>
      <c r="U614" s="2" t="s">
        <v>421</v>
      </c>
      <c r="X614" s="2">
        <v>26</v>
      </c>
      <c r="Y614" s="2">
        <v>20</v>
      </c>
      <c r="AB614" s="2">
        <v>1</v>
      </c>
      <c r="AC614" s="2">
        <v>1</v>
      </c>
      <c r="AD614" s="2">
        <v>1</v>
      </c>
      <c r="AE614" s="2">
        <v>1</v>
      </c>
      <c r="AF614" s="2" t="s">
        <v>74</v>
      </c>
      <c r="AG614" s="2" t="s">
        <v>64</v>
      </c>
      <c r="AH614" s="2" t="s">
        <v>74</v>
      </c>
      <c r="AR614" s="2" t="s">
        <v>849</v>
      </c>
      <c r="AS614" s="2" t="s">
        <v>222</v>
      </c>
      <c r="AU614" s="2" t="s">
        <v>1827</v>
      </c>
      <c r="AV614" s="2" t="s">
        <v>1822</v>
      </c>
      <c r="AW614" s="2" t="s">
        <v>1823</v>
      </c>
      <c r="AY614" s="2" t="s">
        <v>1828</v>
      </c>
    </row>
    <row r="615" spans="1:51" x14ac:dyDescent="0.2">
      <c r="A615" s="2" t="s">
        <v>1889</v>
      </c>
      <c r="B615" s="2" t="s">
        <v>1890</v>
      </c>
      <c r="C615" s="2" t="s">
        <v>1900</v>
      </c>
      <c r="D615" s="2">
        <v>2023</v>
      </c>
      <c r="E615" s="2" t="s">
        <v>1892</v>
      </c>
      <c r="F615" s="2" t="s">
        <v>1893</v>
      </c>
      <c r="G615" s="2" t="s">
        <v>1881</v>
      </c>
      <c r="H615" s="2" t="s">
        <v>1908</v>
      </c>
      <c r="I615" s="2" t="s">
        <v>1175</v>
      </c>
      <c r="J615" s="2" t="s">
        <v>36</v>
      </c>
      <c r="K615" s="2" t="s">
        <v>38</v>
      </c>
      <c r="L615" s="2" t="s">
        <v>11</v>
      </c>
      <c r="M615" s="2" t="s">
        <v>14</v>
      </c>
      <c r="N615" s="2" t="s">
        <v>17</v>
      </c>
      <c r="O615" s="2">
        <v>1</v>
      </c>
      <c r="P615" s="2" t="s">
        <v>22</v>
      </c>
      <c r="Q615" s="2" t="s">
        <v>1839</v>
      </c>
      <c r="T615" s="2" t="s">
        <v>50</v>
      </c>
      <c r="U615" s="2" t="s">
        <v>421</v>
      </c>
      <c r="X615" s="2">
        <v>14</v>
      </c>
      <c r="Y615" s="2">
        <v>13</v>
      </c>
      <c r="AB615" s="2">
        <v>0</v>
      </c>
      <c r="AC615" s="2">
        <v>0</v>
      </c>
      <c r="AD615" s="2">
        <v>7.6923076923076927E-2</v>
      </c>
      <c r="AE615" s="2">
        <v>0.27735009811261457</v>
      </c>
      <c r="AF615" s="2" t="s">
        <v>74</v>
      </c>
      <c r="AG615" s="2" t="s">
        <v>64</v>
      </c>
      <c r="AH615" s="2" t="s">
        <v>74</v>
      </c>
      <c r="AR615" s="2" t="s">
        <v>849</v>
      </c>
      <c r="AS615" s="2" t="s">
        <v>222</v>
      </c>
      <c r="AU615" s="2" t="s">
        <v>1827</v>
      </c>
      <c r="AV615" s="2" t="s">
        <v>1822</v>
      </c>
      <c r="AW615" s="2" t="s">
        <v>1823</v>
      </c>
      <c r="AY615" s="2" t="s">
        <v>1828</v>
      </c>
    </row>
    <row r="616" spans="1:51" x14ac:dyDescent="0.2">
      <c r="A616" s="2" t="s">
        <v>1889</v>
      </c>
      <c r="B616" s="2" t="s">
        <v>1890</v>
      </c>
      <c r="C616" s="2" t="s">
        <v>1900</v>
      </c>
      <c r="D616" s="2">
        <v>2023</v>
      </c>
      <c r="E616" s="2" t="s">
        <v>1892</v>
      </c>
      <c r="F616" s="2" t="s">
        <v>1893</v>
      </c>
      <c r="G616" s="2" t="s">
        <v>1881</v>
      </c>
      <c r="H616" s="2" t="s">
        <v>1909</v>
      </c>
      <c r="I616" s="2" t="s">
        <v>1175</v>
      </c>
      <c r="J616" s="2" t="s">
        <v>36</v>
      </c>
      <c r="K616" s="2" t="s">
        <v>38</v>
      </c>
      <c r="L616" s="2" t="s">
        <v>11</v>
      </c>
      <c r="M616" s="2" t="s">
        <v>14</v>
      </c>
      <c r="N616" s="2" t="s">
        <v>17</v>
      </c>
      <c r="O616" s="2">
        <v>1</v>
      </c>
      <c r="P616" s="2" t="s">
        <v>22</v>
      </c>
      <c r="Q616" s="2" t="s">
        <v>1839</v>
      </c>
      <c r="T616" s="2" t="s">
        <v>50</v>
      </c>
      <c r="U616" s="2" t="s">
        <v>421</v>
      </c>
      <c r="X616" s="2">
        <v>21</v>
      </c>
      <c r="Y616" s="2">
        <v>21</v>
      </c>
      <c r="AB616" s="2">
        <v>0</v>
      </c>
      <c r="AC616" s="2">
        <v>0</v>
      </c>
      <c r="AD616" s="2">
        <v>4.7619047619047616E-2</v>
      </c>
      <c r="AE616" s="2">
        <v>0.21821789023599236</v>
      </c>
      <c r="AF616" s="2" t="s">
        <v>74</v>
      </c>
      <c r="AG616" s="2" t="s">
        <v>64</v>
      </c>
      <c r="AH616" s="2" t="s">
        <v>74</v>
      </c>
      <c r="AR616" s="2" t="s">
        <v>849</v>
      </c>
      <c r="AS616" s="2" t="s">
        <v>222</v>
      </c>
      <c r="AU616" s="2" t="s">
        <v>1827</v>
      </c>
      <c r="AV616" s="2" t="s">
        <v>1822</v>
      </c>
      <c r="AW616" s="2" t="s">
        <v>1823</v>
      </c>
      <c r="AY616" s="2" t="s">
        <v>1828</v>
      </c>
    </row>
    <row r="617" spans="1:51" x14ac:dyDescent="0.2">
      <c r="A617" s="2" t="s">
        <v>1889</v>
      </c>
      <c r="B617" s="2" t="s">
        <v>1890</v>
      </c>
      <c r="C617" s="2" t="s">
        <v>1900</v>
      </c>
      <c r="D617" s="2">
        <v>2023</v>
      </c>
      <c r="E617" s="2" t="s">
        <v>1892</v>
      </c>
      <c r="F617" s="2" t="s">
        <v>1893</v>
      </c>
      <c r="G617" s="2" t="s">
        <v>1881</v>
      </c>
      <c r="H617" s="2" t="s">
        <v>1910</v>
      </c>
      <c r="I617" s="2" t="s">
        <v>1175</v>
      </c>
      <c r="J617" s="2" t="s">
        <v>36</v>
      </c>
      <c r="K617" s="2" t="s">
        <v>38</v>
      </c>
      <c r="L617" s="2" t="s">
        <v>11</v>
      </c>
      <c r="M617" s="2" t="s">
        <v>14</v>
      </c>
      <c r="N617" s="2" t="s">
        <v>17</v>
      </c>
      <c r="O617" s="2">
        <v>1</v>
      </c>
      <c r="P617" s="2" t="s">
        <v>22</v>
      </c>
      <c r="Q617" s="2" t="s">
        <v>1839</v>
      </c>
      <c r="T617" s="2" t="s">
        <v>50</v>
      </c>
      <c r="U617" s="2" t="s">
        <v>421</v>
      </c>
      <c r="X617" s="2">
        <v>25</v>
      </c>
      <c r="Y617" s="2">
        <v>27</v>
      </c>
      <c r="AB617" s="2">
        <v>3</v>
      </c>
      <c r="AC617" s="2">
        <v>5</v>
      </c>
      <c r="AD617" s="2">
        <v>3</v>
      </c>
      <c r="AE617" s="2">
        <v>3</v>
      </c>
      <c r="AF617" s="2" t="s">
        <v>74</v>
      </c>
      <c r="AG617" s="2" t="s">
        <v>64</v>
      </c>
      <c r="AH617" s="2" t="s">
        <v>74</v>
      </c>
      <c r="AR617" s="2" t="s">
        <v>849</v>
      </c>
      <c r="AS617" s="2" t="s">
        <v>222</v>
      </c>
      <c r="AU617" s="2" t="s">
        <v>1827</v>
      </c>
      <c r="AV617" s="2" t="s">
        <v>1822</v>
      </c>
      <c r="AW617" s="2" t="s">
        <v>1823</v>
      </c>
      <c r="AY617" s="2" t="s">
        <v>1828</v>
      </c>
    </row>
    <row r="618" spans="1:51" x14ac:dyDescent="0.2">
      <c r="A618" s="2" t="s">
        <v>1889</v>
      </c>
      <c r="B618" s="2" t="s">
        <v>1890</v>
      </c>
      <c r="C618" s="2" t="s">
        <v>1900</v>
      </c>
      <c r="D618" s="2">
        <v>2023</v>
      </c>
      <c r="E618" s="2" t="s">
        <v>1892</v>
      </c>
      <c r="F618" s="2" t="s">
        <v>1893</v>
      </c>
      <c r="G618" s="2" t="s">
        <v>1881</v>
      </c>
      <c r="H618" s="2" t="s">
        <v>1911</v>
      </c>
      <c r="I618" s="2" t="s">
        <v>1175</v>
      </c>
      <c r="J618" s="2" t="s">
        <v>36</v>
      </c>
      <c r="K618" s="2" t="s">
        <v>38</v>
      </c>
      <c r="L618" s="2" t="s">
        <v>11</v>
      </c>
      <c r="M618" s="2" t="s">
        <v>14</v>
      </c>
      <c r="N618" s="2" t="s">
        <v>17</v>
      </c>
      <c r="O618" s="2">
        <v>1</v>
      </c>
      <c r="P618" s="2" t="s">
        <v>22</v>
      </c>
      <c r="Q618" s="2" t="s">
        <v>1839</v>
      </c>
      <c r="T618" s="2" t="s">
        <v>50</v>
      </c>
      <c r="U618" s="2" t="s">
        <v>421</v>
      </c>
      <c r="X618" s="2">
        <v>26</v>
      </c>
      <c r="Y618" s="2">
        <v>20</v>
      </c>
      <c r="AB618" s="2">
        <v>3</v>
      </c>
      <c r="AC618" s="2">
        <v>5</v>
      </c>
      <c r="AD618" s="2">
        <v>5</v>
      </c>
      <c r="AE618" s="2">
        <v>6</v>
      </c>
      <c r="AF618" s="2" t="s">
        <v>74</v>
      </c>
      <c r="AG618" s="2" t="s">
        <v>64</v>
      </c>
      <c r="AH618" s="2" t="s">
        <v>74</v>
      </c>
      <c r="AR618" s="2" t="s">
        <v>849</v>
      </c>
      <c r="AS618" s="2" t="s">
        <v>222</v>
      </c>
      <c r="AU618" s="2" t="s">
        <v>1827</v>
      </c>
      <c r="AV618" s="2" t="s">
        <v>1822</v>
      </c>
      <c r="AW618" s="2" t="s">
        <v>1823</v>
      </c>
      <c r="AY618" s="2" t="s">
        <v>1828</v>
      </c>
    </row>
    <row r="619" spans="1:51" x14ac:dyDescent="0.2">
      <c r="A619" s="2" t="s">
        <v>1889</v>
      </c>
      <c r="B619" s="2" t="s">
        <v>1890</v>
      </c>
      <c r="C619" s="2" t="s">
        <v>1900</v>
      </c>
      <c r="D619" s="2">
        <v>2023</v>
      </c>
      <c r="E619" s="2" t="s">
        <v>1892</v>
      </c>
      <c r="F619" s="2" t="s">
        <v>1893</v>
      </c>
      <c r="G619" s="2" t="s">
        <v>1881</v>
      </c>
      <c r="H619" s="2" t="s">
        <v>1912</v>
      </c>
      <c r="I619" s="2" t="s">
        <v>1175</v>
      </c>
      <c r="J619" s="2" t="s">
        <v>36</v>
      </c>
      <c r="K619" s="2" t="s">
        <v>38</v>
      </c>
      <c r="L619" s="2" t="s">
        <v>11</v>
      </c>
      <c r="M619" s="2" t="s">
        <v>14</v>
      </c>
      <c r="N619" s="2" t="s">
        <v>17</v>
      </c>
      <c r="O619" s="2">
        <v>1</v>
      </c>
      <c r="P619" s="2" t="s">
        <v>22</v>
      </c>
      <c r="Q619" s="2" t="s">
        <v>1839</v>
      </c>
      <c r="T619" s="2" t="s">
        <v>50</v>
      </c>
      <c r="U619" s="2" t="s">
        <v>421</v>
      </c>
      <c r="X619" s="2">
        <v>14</v>
      </c>
      <c r="Y619" s="2">
        <v>13</v>
      </c>
      <c r="AB619" s="2">
        <v>11</v>
      </c>
      <c r="AC619" s="2">
        <v>7.2217619840206693</v>
      </c>
      <c r="AD619" s="2">
        <v>12.615384615384615</v>
      </c>
      <c r="AE619" s="2">
        <v>6.6900231880323284</v>
      </c>
      <c r="AF619" s="2" t="s">
        <v>74</v>
      </c>
      <c r="AG619" s="2" t="s">
        <v>64</v>
      </c>
      <c r="AH619" s="2" t="s">
        <v>74</v>
      </c>
      <c r="AR619" s="2" t="s">
        <v>849</v>
      </c>
      <c r="AS619" s="2" t="s">
        <v>222</v>
      </c>
      <c r="AU619" s="2" t="s">
        <v>1827</v>
      </c>
      <c r="AV619" s="2" t="s">
        <v>1822</v>
      </c>
      <c r="AW619" s="2" t="s">
        <v>1823</v>
      </c>
      <c r="AY619" s="2" t="s">
        <v>1828</v>
      </c>
    </row>
    <row r="620" spans="1:51" x14ac:dyDescent="0.2">
      <c r="A620" s="2" t="s">
        <v>1889</v>
      </c>
      <c r="B620" s="2" t="s">
        <v>1890</v>
      </c>
      <c r="C620" s="2" t="s">
        <v>1900</v>
      </c>
      <c r="D620" s="2">
        <v>2023</v>
      </c>
      <c r="E620" s="2" t="s">
        <v>1892</v>
      </c>
      <c r="F620" s="2" t="s">
        <v>1893</v>
      </c>
      <c r="G620" s="2" t="s">
        <v>1881</v>
      </c>
      <c r="H620" s="2" t="s">
        <v>1913</v>
      </c>
      <c r="I620" s="2" t="s">
        <v>1175</v>
      </c>
      <c r="J620" s="2" t="s">
        <v>36</v>
      </c>
      <c r="K620" s="2" t="s">
        <v>38</v>
      </c>
      <c r="L620" s="2" t="s">
        <v>11</v>
      </c>
      <c r="M620" s="2" t="s">
        <v>14</v>
      </c>
      <c r="N620" s="2" t="s">
        <v>17</v>
      </c>
      <c r="O620" s="2">
        <v>1</v>
      </c>
      <c r="P620" s="2" t="s">
        <v>22</v>
      </c>
      <c r="Q620" s="2" t="s">
        <v>1839</v>
      </c>
      <c r="T620" s="2" t="s">
        <v>50</v>
      </c>
      <c r="U620" s="2" t="s">
        <v>421</v>
      </c>
      <c r="X620" s="2">
        <v>21</v>
      </c>
      <c r="Y620" s="2">
        <v>21</v>
      </c>
      <c r="AB620" s="2">
        <v>9.7142857142857135</v>
      </c>
      <c r="AC620" s="2">
        <v>4.4960299948160616</v>
      </c>
      <c r="AD620" s="2">
        <v>14.19047619047619</v>
      </c>
      <c r="AE620" s="2">
        <v>7.5869562251211633</v>
      </c>
      <c r="AF620" s="2" t="s">
        <v>74</v>
      </c>
      <c r="AG620" s="2" t="s">
        <v>64</v>
      </c>
      <c r="AH620" s="2" t="s">
        <v>74</v>
      </c>
      <c r="AR620" s="2" t="s">
        <v>849</v>
      </c>
      <c r="AS620" s="2" t="s">
        <v>222</v>
      </c>
      <c r="AU620" s="2" t="s">
        <v>1827</v>
      </c>
      <c r="AV620" s="2" t="s">
        <v>1822</v>
      </c>
      <c r="AW620" s="2" t="s">
        <v>1823</v>
      </c>
      <c r="AY620" s="2" t="s">
        <v>1828</v>
      </c>
    </row>
    <row r="621" spans="1:51" x14ac:dyDescent="0.2">
      <c r="A621" s="2" t="s">
        <v>1920</v>
      </c>
      <c r="B621" s="2" t="s">
        <v>1921</v>
      </c>
      <c r="D621" s="2">
        <v>2020</v>
      </c>
      <c r="E621" s="2" t="s">
        <v>1914</v>
      </c>
      <c r="F621" s="2" t="s">
        <v>1915</v>
      </c>
      <c r="G621" s="2" t="s">
        <v>1916</v>
      </c>
      <c r="H621" s="2" t="s">
        <v>1917</v>
      </c>
      <c r="I621" s="2" t="s">
        <v>1773</v>
      </c>
      <c r="J621" s="2" t="s">
        <v>84</v>
      </c>
      <c r="K621" s="2" t="s">
        <v>37</v>
      </c>
      <c r="P621" s="2" t="s">
        <v>23</v>
      </c>
      <c r="Q621" s="2" t="s">
        <v>81</v>
      </c>
      <c r="R621" s="2" t="s">
        <v>41</v>
      </c>
      <c r="S621" s="2" t="s">
        <v>47</v>
      </c>
      <c r="T621" s="2" t="s">
        <v>50</v>
      </c>
      <c r="U621" s="2" t="s">
        <v>54</v>
      </c>
      <c r="X621" s="2">
        <v>74</v>
      </c>
      <c r="Y621" s="2">
        <v>10</v>
      </c>
      <c r="AB621" s="2">
        <v>0.75</v>
      </c>
      <c r="AC621" s="2">
        <v>0.72</v>
      </c>
      <c r="AD621" s="2">
        <v>0.55000000000000004</v>
      </c>
      <c r="AE621" s="2">
        <v>0.03</v>
      </c>
      <c r="AF621" s="2" t="s">
        <v>74</v>
      </c>
      <c r="AG621" s="2" t="s">
        <v>64</v>
      </c>
      <c r="AH621" s="2" t="s">
        <v>74</v>
      </c>
      <c r="AR621" s="2" t="s">
        <v>222</v>
      </c>
      <c r="AS621" s="2" t="s">
        <v>849</v>
      </c>
      <c r="AU621" s="2" t="s">
        <v>1818</v>
      </c>
      <c r="AV621" s="2" t="s">
        <v>1822</v>
      </c>
      <c r="AW621" s="2" t="s">
        <v>1823</v>
      </c>
      <c r="AX621" s="2" t="s">
        <v>1821</v>
      </c>
      <c r="AY621" s="2" t="s">
        <v>1824</v>
      </c>
    </row>
    <row r="622" spans="1:51" x14ac:dyDescent="0.2">
      <c r="A622" s="2" t="s">
        <v>1920</v>
      </c>
      <c r="B622" s="2" t="s">
        <v>1921</v>
      </c>
      <c r="D622" s="2">
        <v>2020</v>
      </c>
      <c r="E622" s="2" t="s">
        <v>1914</v>
      </c>
      <c r="F622" s="2" t="s">
        <v>1915</v>
      </c>
      <c r="G622" s="2" t="s">
        <v>1916</v>
      </c>
      <c r="H622" s="2" t="s">
        <v>1918</v>
      </c>
      <c r="I622" s="2" t="s">
        <v>1773</v>
      </c>
      <c r="J622" s="2" t="s">
        <v>84</v>
      </c>
      <c r="K622" s="2" t="s">
        <v>37</v>
      </c>
      <c r="P622" s="2" t="s">
        <v>23</v>
      </c>
      <c r="Q622" s="2" t="s">
        <v>81</v>
      </c>
      <c r="R622" s="2" t="s">
        <v>41</v>
      </c>
      <c r="S622" s="2" t="s">
        <v>47</v>
      </c>
      <c r="T622" s="2" t="s">
        <v>50</v>
      </c>
      <c r="U622" s="2" t="s">
        <v>54</v>
      </c>
      <c r="X622" s="2">
        <v>79</v>
      </c>
      <c r="Y622" s="2">
        <v>13</v>
      </c>
      <c r="AB622" s="2">
        <v>39.08</v>
      </c>
      <c r="AC622" s="2">
        <v>27.9</v>
      </c>
      <c r="AD622" s="2">
        <v>40.85</v>
      </c>
      <c r="AE622" s="2">
        <v>20.94</v>
      </c>
      <c r="AF622" s="2" t="s">
        <v>74</v>
      </c>
      <c r="AG622" s="2" t="s">
        <v>64</v>
      </c>
      <c r="AH622" s="2" t="s">
        <v>74</v>
      </c>
      <c r="AR622" s="2" t="s">
        <v>222</v>
      </c>
      <c r="AS622" s="2" t="s">
        <v>849</v>
      </c>
      <c r="AU622" s="2" t="s">
        <v>1818</v>
      </c>
      <c r="AV622" s="2" t="s">
        <v>1822</v>
      </c>
      <c r="AW622" s="2" t="s">
        <v>1823</v>
      </c>
      <c r="AX622" s="2" t="s">
        <v>1821</v>
      </c>
      <c r="AY622" s="2" t="s">
        <v>1824</v>
      </c>
    </row>
    <row r="623" spans="1:51" x14ac:dyDescent="0.2">
      <c r="A623" s="2" t="s">
        <v>1920</v>
      </c>
      <c r="B623" s="2" t="s">
        <v>1921</v>
      </c>
      <c r="D623" s="2">
        <v>2020</v>
      </c>
      <c r="E623" s="2" t="s">
        <v>1914</v>
      </c>
      <c r="F623" s="2" t="s">
        <v>1915</v>
      </c>
      <c r="G623" s="2" t="s">
        <v>1916</v>
      </c>
      <c r="H623" s="2" t="s">
        <v>1919</v>
      </c>
      <c r="I623" s="2" t="s">
        <v>1773</v>
      </c>
      <c r="J623" s="2" t="s">
        <v>84</v>
      </c>
      <c r="K623" s="2" t="s">
        <v>37</v>
      </c>
      <c r="P623" s="2" t="s">
        <v>23</v>
      </c>
      <c r="Q623" s="2" t="s">
        <v>81</v>
      </c>
      <c r="R623" s="2" t="s">
        <v>41</v>
      </c>
      <c r="S623" s="2" t="s">
        <v>47</v>
      </c>
      <c r="T623" s="2" t="s">
        <v>50</v>
      </c>
      <c r="U623" s="2" t="s">
        <v>54</v>
      </c>
      <c r="X623" s="2">
        <v>66</v>
      </c>
      <c r="Y623" s="2">
        <v>8</v>
      </c>
      <c r="AB623" s="2">
        <v>0.39</v>
      </c>
      <c r="AC623" s="2">
        <v>0.44</v>
      </c>
      <c r="AD623" s="2">
        <v>0.28000000000000003</v>
      </c>
      <c r="AE623" s="2">
        <v>0.32</v>
      </c>
      <c r="AF623" s="2" t="s">
        <v>74</v>
      </c>
      <c r="AG623" s="2" t="s">
        <v>64</v>
      </c>
      <c r="AH623" s="2" t="s">
        <v>74</v>
      </c>
      <c r="AR623" s="2" t="s">
        <v>222</v>
      </c>
      <c r="AS623" s="2" t="s">
        <v>849</v>
      </c>
      <c r="AU623" s="2" t="s">
        <v>1818</v>
      </c>
      <c r="AV623" s="2" t="s">
        <v>1822</v>
      </c>
      <c r="AW623" s="2" t="s">
        <v>1823</v>
      </c>
      <c r="AX623" s="2" t="s">
        <v>1821</v>
      </c>
      <c r="AY623" s="2" t="s">
        <v>1824</v>
      </c>
    </row>
    <row r="624" spans="1:51" x14ac:dyDescent="0.2">
      <c r="A624" s="2" t="s">
        <v>1922</v>
      </c>
      <c r="B624" s="2" t="s">
        <v>1149</v>
      </c>
      <c r="C624" s="2" t="s">
        <v>2295</v>
      </c>
      <c r="D624" s="2">
        <v>2020</v>
      </c>
      <c r="E624" s="2" t="s">
        <v>1923</v>
      </c>
      <c r="F624" s="2" t="s">
        <v>1924</v>
      </c>
      <c r="G624" s="2" t="s">
        <v>1925</v>
      </c>
      <c r="H624" s="2" t="s">
        <v>1926</v>
      </c>
      <c r="I624" s="2" t="s">
        <v>1927</v>
      </c>
      <c r="J624" s="2" t="s">
        <v>84</v>
      </c>
      <c r="K624" s="2" t="s">
        <v>37</v>
      </c>
      <c r="P624" s="2" t="s">
        <v>23</v>
      </c>
      <c r="Q624" s="2" t="s">
        <v>81</v>
      </c>
      <c r="R624" s="2" t="s">
        <v>41</v>
      </c>
      <c r="S624" s="2" t="s">
        <v>47</v>
      </c>
      <c r="T624" s="2" t="s">
        <v>50</v>
      </c>
      <c r="U624" s="2" t="s">
        <v>421</v>
      </c>
      <c r="X624" s="2">
        <v>50</v>
      </c>
      <c r="Y624" s="2">
        <v>29</v>
      </c>
      <c r="AB624" s="7">
        <v>0.88206390106562527</v>
      </c>
      <c r="AC624" s="7">
        <v>7.508526419390249E-2</v>
      </c>
      <c r="AD624" s="7">
        <v>0.88032548153636214</v>
      </c>
      <c r="AE624" s="7">
        <v>5.8528705865483983E-2</v>
      </c>
      <c r="AF624" s="2" t="s">
        <v>74</v>
      </c>
      <c r="AG624" s="2" t="s">
        <v>64</v>
      </c>
      <c r="AH624" s="2" t="s">
        <v>74</v>
      </c>
      <c r="AR624" s="2" t="s">
        <v>222</v>
      </c>
      <c r="AS624" s="2" t="s">
        <v>849</v>
      </c>
      <c r="AU624" s="2" t="s">
        <v>1827</v>
      </c>
      <c r="AV624" s="2" t="s">
        <v>1819</v>
      </c>
      <c r="AW624" s="2" t="s">
        <v>1823</v>
      </c>
      <c r="AY624" s="2" t="s">
        <v>1835</v>
      </c>
    </row>
    <row r="625" spans="1:51" x14ac:dyDescent="0.2">
      <c r="A625" s="2" t="s">
        <v>1922</v>
      </c>
      <c r="B625" s="2" t="s">
        <v>1149</v>
      </c>
      <c r="C625" s="2" t="s">
        <v>2295</v>
      </c>
      <c r="D625" s="2">
        <v>2020</v>
      </c>
      <c r="E625" s="2" t="s">
        <v>1923</v>
      </c>
      <c r="F625" s="2" t="s">
        <v>1924</v>
      </c>
      <c r="G625" s="2" t="s">
        <v>1925</v>
      </c>
      <c r="H625" s="2" t="s">
        <v>1928</v>
      </c>
      <c r="I625" s="2" t="s">
        <v>1927</v>
      </c>
      <c r="J625" s="2" t="s">
        <v>84</v>
      </c>
      <c r="K625" s="2" t="s">
        <v>37</v>
      </c>
      <c r="P625" s="2" t="s">
        <v>23</v>
      </c>
      <c r="Q625" s="2" t="s">
        <v>81</v>
      </c>
      <c r="R625" s="2" t="s">
        <v>41</v>
      </c>
      <c r="S625" s="2" t="s">
        <v>47</v>
      </c>
      <c r="T625" s="2" t="s">
        <v>50</v>
      </c>
      <c r="U625" s="2" t="s">
        <v>421</v>
      </c>
      <c r="X625" s="2">
        <v>50</v>
      </c>
      <c r="Y625" s="2">
        <v>29</v>
      </c>
      <c r="AB625" s="7">
        <v>306714.28571428574</v>
      </c>
      <c r="AC625" s="7">
        <v>144749.67472617453</v>
      </c>
      <c r="AD625" s="7">
        <v>325150</v>
      </c>
      <c r="AE625" s="7">
        <v>138781.68974114492</v>
      </c>
      <c r="AF625" s="2" t="s">
        <v>74</v>
      </c>
      <c r="AG625" s="2" t="s">
        <v>64</v>
      </c>
      <c r="AH625" s="2" t="s">
        <v>74</v>
      </c>
      <c r="AR625" s="2" t="s">
        <v>222</v>
      </c>
      <c r="AS625" s="2" t="s">
        <v>849</v>
      </c>
      <c r="AU625" s="2" t="s">
        <v>1827</v>
      </c>
      <c r="AV625" s="2" t="s">
        <v>1819</v>
      </c>
      <c r="AW625" s="2" t="s">
        <v>1823</v>
      </c>
      <c r="AY625" s="2" t="s">
        <v>1835</v>
      </c>
    </row>
    <row r="626" spans="1:51" x14ac:dyDescent="0.2">
      <c r="A626" s="2" t="s">
        <v>1922</v>
      </c>
      <c r="B626" s="2" t="s">
        <v>1149</v>
      </c>
      <c r="C626" s="2" t="s">
        <v>2295</v>
      </c>
      <c r="D626" s="2">
        <v>2020</v>
      </c>
      <c r="E626" s="2" t="s">
        <v>1923</v>
      </c>
      <c r="F626" s="2" t="s">
        <v>1924</v>
      </c>
      <c r="G626" s="2" t="s">
        <v>1925</v>
      </c>
      <c r="H626" s="2" t="s">
        <v>1929</v>
      </c>
      <c r="I626" s="2" t="s">
        <v>1927</v>
      </c>
      <c r="J626" s="2" t="s">
        <v>84</v>
      </c>
      <c r="K626" s="2" t="s">
        <v>37</v>
      </c>
      <c r="P626" s="2" t="s">
        <v>23</v>
      </c>
      <c r="Q626" s="2" t="s">
        <v>1839</v>
      </c>
      <c r="R626" s="2" t="s">
        <v>41</v>
      </c>
      <c r="S626" s="2" t="s">
        <v>47</v>
      </c>
      <c r="T626" s="2" t="s">
        <v>50</v>
      </c>
      <c r="U626" s="2" t="s">
        <v>421</v>
      </c>
      <c r="X626" s="2">
        <v>50</v>
      </c>
      <c r="Y626" s="2">
        <v>29</v>
      </c>
      <c r="AB626" s="7">
        <v>1.5123449429591895</v>
      </c>
      <c r="AC626" s="7">
        <v>0.31669324896909851</v>
      </c>
      <c r="AD626" s="7">
        <v>1.4456072866510707</v>
      </c>
      <c r="AE626" s="7">
        <v>0.3800310108788012</v>
      </c>
      <c r="AF626" s="2" t="s">
        <v>74</v>
      </c>
      <c r="AG626" s="2" t="s">
        <v>64</v>
      </c>
      <c r="AH626" s="2" t="s">
        <v>74</v>
      </c>
      <c r="AR626" s="2" t="s">
        <v>222</v>
      </c>
      <c r="AS626" s="2" t="s">
        <v>222</v>
      </c>
      <c r="AU626" s="2" t="s">
        <v>1827</v>
      </c>
      <c r="AV626" s="2" t="s">
        <v>1819</v>
      </c>
      <c r="AW626" s="2" t="s">
        <v>1823</v>
      </c>
      <c r="AY626" s="2" t="s">
        <v>1835</v>
      </c>
    </row>
    <row r="627" spans="1:51" x14ac:dyDescent="0.2">
      <c r="A627" s="2" t="s">
        <v>1930</v>
      </c>
      <c r="B627" s="2" t="s">
        <v>1270</v>
      </c>
      <c r="C627" s="2" t="s">
        <v>1931</v>
      </c>
      <c r="D627" s="2">
        <v>2020</v>
      </c>
      <c r="E627" s="2" t="s">
        <v>1933</v>
      </c>
      <c r="F627" s="2" t="s">
        <v>1934</v>
      </c>
      <c r="G627" s="2" t="s">
        <v>1935</v>
      </c>
      <c r="H627" s="2" t="s">
        <v>1932</v>
      </c>
      <c r="I627" s="2" t="s">
        <v>440</v>
      </c>
      <c r="J627" s="2" t="s">
        <v>34</v>
      </c>
      <c r="K627" s="2" t="s">
        <v>38</v>
      </c>
      <c r="L627" s="2" t="s">
        <v>11</v>
      </c>
      <c r="M627" s="2" t="s">
        <v>14</v>
      </c>
      <c r="N627" s="2" t="s">
        <v>17</v>
      </c>
      <c r="O627" s="2">
        <v>1</v>
      </c>
      <c r="P627" s="2" t="s">
        <v>22</v>
      </c>
      <c r="Q627" s="2" t="s">
        <v>27</v>
      </c>
      <c r="T627" s="2" t="s">
        <v>50</v>
      </c>
      <c r="U627" s="2" t="s">
        <v>421</v>
      </c>
      <c r="X627" s="2">
        <v>41</v>
      </c>
      <c r="Y627" s="2">
        <v>47</v>
      </c>
      <c r="AB627" s="2">
        <v>1166.5121951219512</v>
      </c>
      <c r="AC627" s="2">
        <v>1304.2419277486679</v>
      </c>
      <c r="AD627" s="2">
        <v>881.04255319148933</v>
      </c>
      <c r="AE627" s="2">
        <v>1789.1349617044937</v>
      </c>
      <c r="AF627" s="2" t="s">
        <v>74</v>
      </c>
      <c r="AG627" s="2" t="s">
        <v>64</v>
      </c>
      <c r="AH627" s="2" t="s">
        <v>74</v>
      </c>
      <c r="AR627" s="2" t="s">
        <v>849</v>
      </c>
      <c r="AS627" s="2" t="s">
        <v>849</v>
      </c>
      <c r="AU627" s="2" t="s">
        <v>1818</v>
      </c>
      <c r="AV627" s="2" t="s">
        <v>1830</v>
      </c>
      <c r="AW627" s="2" t="s">
        <v>1820</v>
      </c>
      <c r="AX627" s="2" t="s">
        <v>1821</v>
      </c>
      <c r="AY627" s="2" t="s">
        <v>79</v>
      </c>
    </row>
    <row r="628" spans="1:51" x14ac:dyDescent="0.2">
      <c r="A628" s="2" t="s">
        <v>1930</v>
      </c>
      <c r="B628" s="2" t="s">
        <v>1270</v>
      </c>
      <c r="C628" s="2" t="s">
        <v>1931</v>
      </c>
      <c r="D628" s="2">
        <v>2020</v>
      </c>
      <c r="E628" s="2" t="s">
        <v>1933</v>
      </c>
      <c r="F628" s="2" t="s">
        <v>1934</v>
      </c>
      <c r="G628" s="2" t="s">
        <v>1935</v>
      </c>
      <c r="H628" s="2" t="s">
        <v>1937</v>
      </c>
      <c r="I628" s="2" t="s">
        <v>440</v>
      </c>
      <c r="J628" s="2" t="s">
        <v>34</v>
      </c>
      <c r="K628" s="2" t="s">
        <v>38</v>
      </c>
      <c r="L628" s="2" t="s">
        <v>11</v>
      </c>
      <c r="M628" s="2" t="s">
        <v>14</v>
      </c>
      <c r="N628" s="2" t="s">
        <v>17</v>
      </c>
      <c r="O628" s="2">
        <v>1</v>
      </c>
      <c r="P628" s="2" t="s">
        <v>22</v>
      </c>
      <c r="Q628" s="2" t="s">
        <v>27</v>
      </c>
      <c r="T628" s="2" t="s">
        <v>50</v>
      </c>
      <c r="U628" s="2" t="s">
        <v>421</v>
      </c>
      <c r="X628" s="2">
        <v>41</v>
      </c>
      <c r="Y628" s="2">
        <v>41</v>
      </c>
      <c r="AB628" s="2">
        <v>1166.5121951219512</v>
      </c>
      <c r="AC628" s="2">
        <v>1304.2419277486679</v>
      </c>
      <c r="AD628" s="2">
        <v>1704.6097560975609</v>
      </c>
      <c r="AE628" s="2">
        <v>2198.8134286251843</v>
      </c>
      <c r="AF628" s="2" t="s">
        <v>74</v>
      </c>
      <c r="AG628" s="2" t="s">
        <v>64</v>
      </c>
      <c r="AH628" s="2" t="s">
        <v>74</v>
      </c>
      <c r="AR628" s="2" t="s">
        <v>849</v>
      </c>
      <c r="AS628" s="2" t="s">
        <v>849</v>
      </c>
      <c r="AU628" s="2" t="s">
        <v>1818</v>
      </c>
      <c r="AV628" s="2" t="s">
        <v>1830</v>
      </c>
      <c r="AW628" s="2" t="s">
        <v>1820</v>
      </c>
      <c r="AX628" s="2" t="s">
        <v>1821</v>
      </c>
      <c r="AY628" s="2" t="s">
        <v>79</v>
      </c>
    </row>
    <row r="629" spans="1:51" x14ac:dyDescent="0.2">
      <c r="A629" s="2" t="s">
        <v>1930</v>
      </c>
      <c r="B629" s="2" t="s">
        <v>1270</v>
      </c>
      <c r="C629" s="2" t="s">
        <v>1931</v>
      </c>
      <c r="D629" s="2">
        <v>2020</v>
      </c>
      <c r="E629" s="2" t="s">
        <v>1933</v>
      </c>
      <c r="F629" s="2" t="s">
        <v>1934</v>
      </c>
      <c r="G629" s="2" t="s">
        <v>1935</v>
      </c>
      <c r="H629" s="2" t="s">
        <v>1938</v>
      </c>
      <c r="I629" s="2" t="s">
        <v>440</v>
      </c>
      <c r="J629" s="2" t="s">
        <v>34</v>
      </c>
      <c r="K629" s="2" t="s">
        <v>38</v>
      </c>
      <c r="L629" s="2" t="s">
        <v>11</v>
      </c>
      <c r="M629" s="2" t="s">
        <v>14</v>
      </c>
      <c r="N629" s="2" t="s">
        <v>17</v>
      </c>
      <c r="O629" s="2">
        <v>1</v>
      </c>
      <c r="P629" s="2" t="s">
        <v>22</v>
      </c>
      <c r="Q629" s="2" t="s">
        <v>27</v>
      </c>
      <c r="T629" s="2" t="s">
        <v>50</v>
      </c>
      <c r="U629" s="2" t="s">
        <v>421</v>
      </c>
      <c r="X629" s="2">
        <v>41</v>
      </c>
      <c r="Y629" s="2">
        <v>43</v>
      </c>
      <c r="AB629" s="2">
        <v>1166.5121951219512</v>
      </c>
      <c r="AC629" s="2">
        <v>1304.2419277486679</v>
      </c>
      <c r="AD629" s="2">
        <v>790.09302325581393</v>
      </c>
      <c r="AE629" s="2">
        <v>1327.4611789490616</v>
      </c>
      <c r="AF629" s="2" t="s">
        <v>74</v>
      </c>
      <c r="AG629" s="2" t="s">
        <v>64</v>
      </c>
      <c r="AH629" s="2" t="s">
        <v>74</v>
      </c>
      <c r="AR629" s="2" t="s">
        <v>849</v>
      </c>
      <c r="AS629" s="2" t="s">
        <v>849</v>
      </c>
      <c r="AU629" s="2" t="s">
        <v>1818</v>
      </c>
      <c r="AV629" s="2" t="s">
        <v>1830</v>
      </c>
      <c r="AW629" s="2" t="s">
        <v>1820</v>
      </c>
      <c r="AX629" s="2" t="s">
        <v>1821</v>
      </c>
      <c r="AY629" s="2" t="s">
        <v>79</v>
      </c>
    </row>
    <row r="630" spans="1:51" x14ac:dyDescent="0.2">
      <c r="A630" s="2" t="s">
        <v>1930</v>
      </c>
      <c r="B630" s="2" t="s">
        <v>1270</v>
      </c>
      <c r="C630" s="2" t="s">
        <v>1931</v>
      </c>
      <c r="D630" s="2">
        <v>2020</v>
      </c>
      <c r="E630" s="2" t="s">
        <v>1933</v>
      </c>
      <c r="F630" s="2" t="s">
        <v>1934</v>
      </c>
      <c r="G630" s="2" t="s">
        <v>1936</v>
      </c>
      <c r="H630" s="2" t="s">
        <v>1939</v>
      </c>
      <c r="I630" s="2" t="s">
        <v>440</v>
      </c>
      <c r="J630" s="2" t="s">
        <v>34</v>
      </c>
      <c r="K630" s="2" t="s">
        <v>38</v>
      </c>
      <c r="L630" s="2" t="s">
        <v>11</v>
      </c>
      <c r="M630" s="2" t="s">
        <v>14</v>
      </c>
      <c r="N630" s="2" t="s">
        <v>17</v>
      </c>
      <c r="O630" s="2">
        <v>1</v>
      </c>
      <c r="P630" s="2" t="s">
        <v>22</v>
      </c>
      <c r="Q630" s="2" t="s">
        <v>27</v>
      </c>
      <c r="T630" s="2" t="s">
        <v>50</v>
      </c>
      <c r="U630" s="2" t="s">
        <v>421</v>
      </c>
      <c r="X630" s="2">
        <v>37</v>
      </c>
      <c r="Y630" s="2">
        <v>42</v>
      </c>
      <c r="AB630" s="2">
        <v>596.11111111111109</v>
      </c>
      <c r="AC630" s="2">
        <v>1288.50049676309</v>
      </c>
      <c r="AD630" s="2">
        <v>233.65853658536585</v>
      </c>
      <c r="AE630" s="2">
        <v>550.93981566755986</v>
      </c>
      <c r="AF630" s="2" t="s">
        <v>74</v>
      </c>
      <c r="AG630" s="2" t="s">
        <v>64</v>
      </c>
      <c r="AH630" s="2" t="s">
        <v>74</v>
      </c>
      <c r="AR630" s="2" t="s">
        <v>849</v>
      </c>
      <c r="AS630" s="2" t="s">
        <v>849</v>
      </c>
      <c r="AU630" s="2" t="s">
        <v>1818</v>
      </c>
      <c r="AV630" s="2" t="s">
        <v>1830</v>
      </c>
      <c r="AW630" s="2" t="s">
        <v>1820</v>
      </c>
      <c r="AX630" s="2" t="s">
        <v>1821</v>
      </c>
      <c r="AY630" s="2" t="s">
        <v>79</v>
      </c>
    </row>
    <row r="631" spans="1:51" x14ac:dyDescent="0.2">
      <c r="A631" s="2" t="s">
        <v>1930</v>
      </c>
      <c r="B631" s="2" t="s">
        <v>1270</v>
      </c>
      <c r="C631" s="2" t="s">
        <v>1931</v>
      </c>
      <c r="D631" s="2">
        <v>2020</v>
      </c>
      <c r="E631" s="2" t="s">
        <v>1933</v>
      </c>
      <c r="F631" s="2" t="s">
        <v>1934</v>
      </c>
      <c r="G631" s="2" t="s">
        <v>1936</v>
      </c>
      <c r="H631" s="2" t="s">
        <v>1940</v>
      </c>
      <c r="I631" s="2" t="s">
        <v>440</v>
      </c>
      <c r="J631" s="2" t="s">
        <v>34</v>
      </c>
      <c r="K631" s="2" t="s">
        <v>38</v>
      </c>
      <c r="L631" s="2" t="s">
        <v>11</v>
      </c>
      <c r="M631" s="2" t="s">
        <v>14</v>
      </c>
      <c r="N631" s="2" t="s">
        <v>17</v>
      </c>
      <c r="O631" s="2">
        <v>1</v>
      </c>
      <c r="P631" s="2" t="s">
        <v>22</v>
      </c>
      <c r="Q631" s="2" t="s">
        <v>27</v>
      </c>
      <c r="T631" s="2" t="s">
        <v>50</v>
      </c>
      <c r="U631" s="2" t="s">
        <v>421</v>
      </c>
      <c r="X631" s="2">
        <v>37</v>
      </c>
      <c r="Y631" s="2">
        <v>35</v>
      </c>
      <c r="AB631" s="2">
        <v>596.11111111111109</v>
      </c>
      <c r="AC631" s="2">
        <v>1288.50049676309</v>
      </c>
      <c r="AD631" s="2">
        <v>355.77142857142854</v>
      </c>
      <c r="AE631" s="2">
        <v>963.66360025362667</v>
      </c>
      <c r="AF631" s="2" t="s">
        <v>74</v>
      </c>
      <c r="AG631" s="2" t="s">
        <v>64</v>
      </c>
      <c r="AH631" s="2" t="s">
        <v>74</v>
      </c>
      <c r="AR631" s="2" t="s">
        <v>849</v>
      </c>
      <c r="AS631" s="2" t="s">
        <v>849</v>
      </c>
      <c r="AU631" s="2" t="s">
        <v>1818</v>
      </c>
      <c r="AV631" s="2" t="s">
        <v>1830</v>
      </c>
      <c r="AW631" s="2" t="s">
        <v>1820</v>
      </c>
      <c r="AX631" s="2" t="s">
        <v>1821</v>
      </c>
      <c r="AY631" s="2" t="s">
        <v>79</v>
      </c>
    </row>
    <row r="632" spans="1:51" x14ac:dyDescent="0.2">
      <c r="A632" s="2" t="s">
        <v>1930</v>
      </c>
      <c r="B632" s="2" t="s">
        <v>1270</v>
      </c>
      <c r="C632" s="2" t="s">
        <v>1931</v>
      </c>
      <c r="D632" s="2">
        <v>2020</v>
      </c>
      <c r="E632" s="2" t="s">
        <v>1933</v>
      </c>
      <c r="F632" s="2" t="s">
        <v>1934</v>
      </c>
      <c r="G632" s="2" t="s">
        <v>1936</v>
      </c>
      <c r="H632" s="2" t="s">
        <v>1941</v>
      </c>
      <c r="I632" s="2" t="s">
        <v>440</v>
      </c>
      <c r="J632" s="2" t="s">
        <v>34</v>
      </c>
      <c r="K632" s="2" t="s">
        <v>38</v>
      </c>
      <c r="L632" s="2" t="s">
        <v>11</v>
      </c>
      <c r="M632" s="2" t="s">
        <v>14</v>
      </c>
      <c r="N632" s="2" t="s">
        <v>17</v>
      </c>
      <c r="O632" s="2">
        <v>1</v>
      </c>
      <c r="P632" s="2" t="s">
        <v>22</v>
      </c>
      <c r="Q632" s="2" t="s">
        <v>27</v>
      </c>
      <c r="T632" s="2" t="s">
        <v>50</v>
      </c>
      <c r="U632" s="2" t="s">
        <v>421</v>
      </c>
      <c r="X632" s="2">
        <v>37</v>
      </c>
      <c r="Y632" s="2">
        <v>34</v>
      </c>
      <c r="AB632" s="2">
        <v>596.11111111111109</v>
      </c>
      <c r="AC632" s="2">
        <v>1288.50049676309</v>
      </c>
      <c r="AD632" s="2">
        <v>1130.7058823529412</v>
      </c>
      <c r="AE632" s="2">
        <v>3063.2771175249927</v>
      </c>
      <c r="AF632" s="2" t="s">
        <v>74</v>
      </c>
      <c r="AG632" s="2" t="s">
        <v>64</v>
      </c>
      <c r="AH632" s="2" t="s">
        <v>74</v>
      </c>
      <c r="AR632" s="2" t="s">
        <v>849</v>
      </c>
      <c r="AS632" s="2" t="s">
        <v>849</v>
      </c>
      <c r="AU632" s="2" t="s">
        <v>1818</v>
      </c>
      <c r="AV632" s="2" t="s">
        <v>1830</v>
      </c>
      <c r="AW632" s="2" t="s">
        <v>1820</v>
      </c>
      <c r="AX632" s="2" t="s">
        <v>1821</v>
      </c>
      <c r="AY632" s="2" t="s">
        <v>79</v>
      </c>
    </row>
    <row r="633" spans="1:51" x14ac:dyDescent="0.2">
      <c r="A633" s="2" t="s">
        <v>1930</v>
      </c>
      <c r="B633" s="2" t="s">
        <v>1270</v>
      </c>
      <c r="C633" s="2" t="s">
        <v>1931</v>
      </c>
      <c r="D633" s="2">
        <v>2020</v>
      </c>
      <c r="E633" s="2" t="s">
        <v>1933</v>
      </c>
      <c r="F633" s="2" t="s">
        <v>1934</v>
      </c>
      <c r="G633" s="2" t="s">
        <v>1935</v>
      </c>
      <c r="H633" s="2" t="s">
        <v>1942</v>
      </c>
      <c r="I633" s="2" t="s">
        <v>440</v>
      </c>
      <c r="J633" s="2" t="s">
        <v>34</v>
      </c>
      <c r="K633" s="2" t="s">
        <v>38</v>
      </c>
      <c r="L633" s="2" t="s">
        <v>11</v>
      </c>
      <c r="M633" s="2" t="s">
        <v>14</v>
      </c>
      <c r="N633" s="2" t="s">
        <v>17</v>
      </c>
      <c r="O633" s="2">
        <v>1</v>
      </c>
      <c r="P633" s="2" t="s">
        <v>22</v>
      </c>
      <c r="Q633" s="2" t="s">
        <v>27</v>
      </c>
      <c r="T633" s="2" t="s">
        <v>50</v>
      </c>
      <c r="U633" s="2" t="s">
        <v>421</v>
      </c>
      <c r="X633" s="2">
        <v>40</v>
      </c>
      <c r="Y633" s="2">
        <v>36</v>
      </c>
      <c r="Z633" s="2">
        <v>39</v>
      </c>
      <c r="AA633" s="2">
        <v>33</v>
      </c>
      <c r="AH633" s="2" t="s">
        <v>1804</v>
      </c>
      <c r="AR633" s="2" t="s">
        <v>849</v>
      </c>
      <c r="AS633" s="2" t="s">
        <v>849</v>
      </c>
      <c r="AU633" s="2" t="s">
        <v>1818</v>
      </c>
      <c r="AV633" s="2" t="s">
        <v>1830</v>
      </c>
      <c r="AW633" s="2" t="s">
        <v>1820</v>
      </c>
      <c r="AX633" s="2" t="s">
        <v>1821</v>
      </c>
      <c r="AY633" s="2" t="s">
        <v>79</v>
      </c>
    </row>
    <row r="634" spans="1:51" x14ac:dyDescent="0.2">
      <c r="A634" s="2" t="s">
        <v>1930</v>
      </c>
      <c r="B634" s="2" t="s">
        <v>1270</v>
      </c>
      <c r="C634" s="2" t="s">
        <v>1931</v>
      </c>
      <c r="D634" s="2">
        <v>2020</v>
      </c>
      <c r="E634" s="2" t="s">
        <v>1933</v>
      </c>
      <c r="F634" s="2" t="s">
        <v>1934</v>
      </c>
      <c r="G634" s="2" t="s">
        <v>1935</v>
      </c>
      <c r="H634" s="2" t="s">
        <v>1943</v>
      </c>
      <c r="I634" s="2" t="s">
        <v>440</v>
      </c>
      <c r="J634" s="2" t="s">
        <v>34</v>
      </c>
      <c r="K634" s="2" t="s">
        <v>38</v>
      </c>
      <c r="L634" s="2" t="s">
        <v>11</v>
      </c>
      <c r="M634" s="2" t="s">
        <v>14</v>
      </c>
      <c r="N634" s="2" t="s">
        <v>17</v>
      </c>
      <c r="O634" s="2">
        <v>1</v>
      </c>
      <c r="P634" s="2" t="s">
        <v>22</v>
      </c>
      <c r="Q634" s="2" t="s">
        <v>27</v>
      </c>
      <c r="T634" s="2" t="s">
        <v>50</v>
      </c>
      <c r="U634" s="2" t="s">
        <v>421</v>
      </c>
      <c r="X634" s="2">
        <v>40</v>
      </c>
      <c r="Y634" s="2">
        <v>41</v>
      </c>
      <c r="Z634" s="2">
        <v>39</v>
      </c>
      <c r="AA634" s="2">
        <v>37</v>
      </c>
      <c r="AH634" s="2" t="s">
        <v>1804</v>
      </c>
      <c r="AR634" s="2" t="s">
        <v>849</v>
      </c>
      <c r="AS634" s="2" t="s">
        <v>849</v>
      </c>
      <c r="AU634" s="2" t="s">
        <v>1818</v>
      </c>
      <c r="AV634" s="2" t="s">
        <v>1830</v>
      </c>
      <c r="AW634" s="2" t="s">
        <v>1820</v>
      </c>
      <c r="AX634" s="2" t="s">
        <v>1821</v>
      </c>
      <c r="AY634" s="2" t="s">
        <v>79</v>
      </c>
    </row>
    <row r="635" spans="1:51" x14ac:dyDescent="0.2">
      <c r="A635" s="2" t="s">
        <v>1930</v>
      </c>
      <c r="B635" s="2" t="s">
        <v>1270</v>
      </c>
      <c r="C635" s="2" t="s">
        <v>1931</v>
      </c>
      <c r="D635" s="2">
        <v>2020</v>
      </c>
      <c r="E635" s="2" t="s">
        <v>1933</v>
      </c>
      <c r="F635" s="2" t="s">
        <v>1934</v>
      </c>
      <c r="G635" s="2" t="s">
        <v>1935</v>
      </c>
      <c r="H635" s="2" t="s">
        <v>1944</v>
      </c>
      <c r="I635" s="2" t="s">
        <v>440</v>
      </c>
      <c r="J635" s="2" t="s">
        <v>34</v>
      </c>
      <c r="K635" s="2" t="s">
        <v>38</v>
      </c>
      <c r="L635" s="2" t="s">
        <v>11</v>
      </c>
      <c r="M635" s="2" t="s">
        <v>14</v>
      </c>
      <c r="N635" s="2" t="s">
        <v>17</v>
      </c>
      <c r="O635" s="2">
        <v>1</v>
      </c>
      <c r="P635" s="2" t="s">
        <v>22</v>
      </c>
      <c r="Q635" s="2" t="s">
        <v>27</v>
      </c>
      <c r="T635" s="2" t="s">
        <v>50</v>
      </c>
      <c r="U635" s="2" t="s">
        <v>421</v>
      </c>
      <c r="X635" s="2">
        <v>40</v>
      </c>
      <c r="Y635" s="2">
        <v>41</v>
      </c>
      <c r="Z635" s="2">
        <v>39</v>
      </c>
      <c r="AA635" s="2">
        <v>35</v>
      </c>
      <c r="AH635" s="2" t="s">
        <v>1804</v>
      </c>
      <c r="AR635" s="2" t="s">
        <v>849</v>
      </c>
      <c r="AS635" s="2" t="s">
        <v>849</v>
      </c>
      <c r="AU635" s="2" t="s">
        <v>1818</v>
      </c>
      <c r="AV635" s="2" t="s">
        <v>1830</v>
      </c>
      <c r="AW635" s="2" t="s">
        <v>1820</v>
      </c>
      <c r="AX635" s="2" t="s">
        <v>1821</v>
      </c>
      <c r="AY635" s="2" t="s">
        <v>79</v>
      </c>
    </row>
    <row r="636" spans="1:51" x14ac:dyDescent="0.2">
      <c r="A636" s="2" t="s">
        <v>1930</v>
      </c>
      <c r="B636" s="2" t="s">
        <v>1270</v>
      </c>
      <c r="C636" s="2" t="s">
        <v>1931</v>
      </c>
      <c r="D636" s="2">
        <v>2020</v>
      </c>
      <c r="E636" s="2" t="s">
        <v>1933</v>
      </c>
      <c r="F636" s="2" t="s">
        <v>1934</v>
      </c>
      <c r="G636" s="2" t="s">
        <v>1936</v>
      </c>
      <c r="H636" s="2" t="s">
        <v>1945</v>
      </c>
      <c r="I636" s="2" t="s">
        <v>440</v>
      </c>
      <c r="J636" s="2" t="s">
        <v>34</v>
      </c>
      <c r="K636" s="2" t="s">
        <v>38</v>
      </c>
      <c r="L636" s="2" t="s">
        <v>11</v>
      </c>
      <c r="M636" s="2" t="s">
        <v>14</v>
      </c>
      <c r="N636" s="2" t="s">
        <v>17</v>
      </c>
      <c r="O636" s="2">
        <v>1</v>
      </c>
      <c r="P636" s="2" t="s">
        <v>22</v>
      </c>
      <c r="Q636" s="2" t="s">
        <v>27</v>
      </c>
      <c r="T636" s="2" t="s">
        <v>50</v>
      </c>
      <c r="U636" s="2" t="s">
        <v>421</v>
      </c>
      <c r="X636" s="2">
        <v>32</v>
      </c>
      <c r="Y636" s="2">
        <v>23</v>
      </c>
      <c r="Z636" s="2">
        <v>25</v>
      </c>
      <c r="AA636" s="2">
        <v>18</v>
      </c>
      <c r="AH636" s="2" t="s">
        <v>1804</v>
      </c>
      <c r="AR636" s="2" t="s">
        <v>849</v>
      </c>
      <c r="AS636" s="2" t="s">
        <v>849</v>
      </c>
      <c r="AU636" s="2" t="s">
        <v>1818</v>
      </c>
      <c r="AV636" s="2" t="s">
        <v>1830</v>
      </c>
      <c r="AW636" s="2" t="s">
        <v>1820</v>
      </c>
      <c r="AX636" s="2" t="s">
        <v>1821</v>
      </c>
      <c r="AY636" s="2" t="s">
        <v>79</v>
      </c>
    </row>
    <row r="637" spans="1:51" x14ac:dyDescent="0.2">
      <c r="A637" s="2" t="s">
        <v>1930</v>
      </c>
      <c r="B637" s="2" t="s">
        <v>1270</v>
      </c>
      <c r="C637" s="2" t="s">
        <v>1931</v>
      </c>
      <c r="D637" s="2">
        <v>2020</v>
      </c>
      <c r="E637" s="2" t="s">
        <v>1933</v>
      </c>
      <c r="F637" s="2" t="s">
        <v>1934</v>
      </c>
      <c r="G637" s="2" t="s">
        <v>1936</v>
      </c>
      <c r="H637" s="2" t="s">
        <v>1946</v>
      </c>
      <c r="I637" s="2" t="s">
        <v>440</v>
      </c>
      <c r="J637" s="2" t="s">
        <v>34</v>
      </c>
      <c r="K637" s="2" t="s">
        <v>38</v>
      </c>
      <c r="L637" s="2" t="s">
        <v>11</v>
      </c>
      <c r="M637" s="2" t="s">
        <v>14</v>
      </c>
      <c r="N637" s="2" t="s">
        <v>17</v>
      </c>
      <c r="O637" s="2">
        <v>1</v>
      </c>
      <c r="P637" s="2" t="s">
        <v>22</v>
      </c>
      <c r="Q637" s="2" t="s">
        <v>27</v>
      </c>
      <c r="T637" s="2" t="s">
        <v>50</v>
      </c>
      <c r="U637" s="2" t="s">
        <v>421</v>
      </c>
      <c r="X637" s="2">
        <v>32</v>
      </c>
      <c r="Y637" s="2">
        <v>33</v>
      </c>
      <c r="Z637" s="2">
        <v>25</v>
      </c>
      <c r="AA637" s="2">
        <v>27</v>
      </c>
      <c r="AH637" s="2" t="s">
        <v>1804</v>
      </c>
      <c r="AR637" s="2" t="s">
        <v>849</v>
      </c>
      <c r="AS637" s="2" t="s">
        <v>849</v>
      </c>
      <c r="AU637" s="2" t="s">
        <v>1818</v>
      </c>
      <c r="AV637" s="2" t="s">
        <v>1830</v>
      </c>
      <c r="AW637" s="2" t="s">
        <v>1820</v>
      </c>
      <c r="AX637" s="2" t="s">
        <v>1821</v>
      </c>
      <c r="AY637" s="2" t="s">
        <v>79</v>
      </c>
    </row>
    <row r="638" spans="1:51" x14ac:dyDescent="0.2">
      <c r="A638" s="2" t="s">
        <v>1930</v>
      </c>
      <c r="B638" s="2" t="s">
        <v>1270</v>
      </c>
      <c r="C638" s="2" t="s">
        <v>1931</v>
      </c>
      <c r="D638" s="2">
        <v>2020</v>
      </c>
      <c r="E638" s="2" t="s">
        <v>1933</v>
      </c>
      <c r="F638" s="2" t="s">
        <v>1934</v>
      </c>
      <c r="G638" s="2" t="s">
        <v>1936</v>
      </c>
      <c r="H638" s="2" t="s">
        <v>1947</v>
      </c>
      <c r="I638" s="2" t="s">
        <v>440</v>
      </c>
      <c r="J638" s="2" t="s">
        <v>34</v>
      </c>
      <c r="K638" s="2" t="s">
        <v>38</v>
      </c>
      <c r="L638" s="2" t="s">
        <v>11</v>
      </c>
      <c r="M638" s="2" t="s">
        <v>14</v>
      </c>
      <c r="N638" s="2" t="s">
        <v>17</v>
      </c>
      <c r="O638" s="2">
        <v>1</v>
      </c>
      <c r="P638" s="2" t="s">
        <v>22</v>
      </c>
      <c r="Q638" s="2" t="s">
        <v>27</v>
      </c>
      <c r="T638" s="2" t="s">
        <v>50</v>
      </c>
      <c r="U638" s="2" t="s">
        <v>421</v>
      </c>
      <c r="X638" s="2">
        <v>32</v>
      </c>
      <c r="Y638" s="2">
        <v>31</v>
      </c>
      <c r="Z638" s="2">
        <v>25</v>
      </c>
      <c r="AA638" s="2">
        <v>27</v>
      </c>
      <c r="AH638" s="2" t="s">
        <v>1804</v>
      </c>
      <c r="AR638" s="2" t="s">
        <v>849</v>
      </c>
      <c r="AS638" s="2" t="s">
        <v>849</v>
      </c>
      <c r="AU638" s="2" t="s">
        <v>1818</v>
      </c>
      <c r="AV638" s="2" t="s">
        <v>1830</v>
      </c>
      <c r="AW638" s="2" t="s">
        <v>1820</v>
      </c>
      <c r="AX638" s="2" t="s">
        <v>1821</v>
      </c>
      <c r="AY638" s="2" t="s">
        <v>79</v>
      </c>
    </row>
    <row r="639" spans="1:51" x14ac:dyDescent="0.2">
      <c r="A639" s="2" t="s">
        <v>1948</v>
      </c>
      <c r="B639" s="2" t="s">
        <v>1949</v>
      </c>
      <c r="C639" s="2" t="s">
        <v>1950</v>
      </c>
      <c r="D639" s="2">
        <v>2024</v>
      </c>
      <c r="E639" s="2" t="s">
        <v>1951</v>
      </c>
      <c r="F639" s="2" t="s">
        <v>1952</v>
      </c>
      <c r="G639" s="2" t="s">
        <v>1953</v>
      </c>
      <c r="H639" s="2" t="s">
        <v>1954</v>
      </c>
      <c r="I639" s="2" t="s">
        <v>1955</v>
      </c>
      <c r="J639" s="2" t="s">
        <v>86</v>
      </c>
      <c r="K639" s="2" t="s">
        <v>38</v>
      </c>
      <c r="L639" s="2" t="s">
        <v>11</v>
      </c>
      <c r="M639" s="2" t="s">
        <v>14</v>
      </c>
      <c r="N639" s="2" t="s">
        <v>16</v>
      </c>
      <c r="O639" s="2">
        <v>1</v>
      </c>
      <c r="P639" s="2" t="s">
        <v>22</v>
      </c>
      <c r="Q639" s="2" t="s">
        <v>1839</v>
      </c>
      <c r="T639" s="2" t="s">
        <v>50</v>
      </c>
      <c r="U639" s="2" t="s">
        <v>421</v>
      </c>
      <c r="X639" s="2">
        <v>8</v>
      </c>
      <c r="Y639" s="2">
        <v>2</v>
      </c>
      <c r="AB639" s="2">
        <v>13.65142917</v>
      </c>
      <c r="AC639" s="2">
        <v>4.4118917870000001</v>
      </c>
      <c r="AD639" s="2">
        <v>40.64445834</v>
      </c>
      <c r="AE639" s="2">
        <v>16.540017219999999</v>
      </c>
      <c r="AF639" s="2" t="s">
        <v>74</v>
      </c>
      <c r="AG639" s="2" t="s">
        <v>64</v>
      </c>
      <c r="AH639" s="2" t="s">
        <v>74</v>
      </c>
      <c r="AR639" s="2" t="s">
        <v>849</v>
      </c>
      <c r="AS639" s="2" t="s">
        <v>222</v>
      </c>
      <c r="AU639" s="2" t="s">
        <v>1827</v>
      </c>
      <c r="AV639" s="2" t="s">
        <v>1822</v>
      </c>
      <c r="AW639" s="2" t="s">
        <v>1823</v>
      </c>
      <c r="AY639" s="2" t="s">
        <v>1828</v>
      </c>
    </row>
    <row r="640" spans="1:51" x14ac:dyDescent="0.2">
      <c r="A640" s="2" t="s">
        <v>1948</v>
      </c>
      <c r="B640" s="2" t="s">
        <v>1949</v>
      </c>
      <c r="C640" s="2" t="s">
        <v>1950</v>
      </c>
      <c r="D640" s="2">
        <v>2024</v>
      </c>
      <c r="E640" s="2" t="s">
        <v>1951</v>
      </c>
      <c r="F640" s="2" t="s">
        <v>1952</v>
      </c>
      <c r="G640" s="2" t="s">
        <v>1953</v>
      </c>
      <c r="H640" s="2" t="s">
        <v>1956</v>
      </c>
      <c r="I640" s="2" t="s">
        <v>1955</v>
      </c>
      <c r="J640" s="2" t="s">
        <v>86</v>
      </c>
      <c r="K640" s="2" t="s">
        <v>38</v>
      </c>
      <c r="L640" s="2" t="s">
        <v>11</v>
      </c>
      <c r="M640" s="2" t="s">
        <v>14</v>
      </c>
      <c r="N640" s="2" t="s">
        <v>16</v>
      </c>
      <c r="O640" s="2">
        <v>1</v>
      </c>
      <c r="P640" s="2" t="s">
        <v>22</v>
      </c>
      <c r="Q640" s="2" t="s">
        <v>1839</v>
      </c>
      <c r="T640" s="2" t="s">
        <v>50</v>
      </c>
      <c r="U640" s="2" t="s">
        <v>421</v>
      </c>
      <c r="X640" s="2">
        <v>26</v>
      </c>
      <c r="Y640" s="2">
        <v>9</v>
      </c>
      <c r="Z640" s="2">
        <v>21</v>
      </c>
      <c r="AA640" s="2">
        <v>0</v>
      </c>
      <c r="AH640" s="2" t="s">
        <v>1804</v>
      </c>
      <c r="AR640" s="2" t="s">
        <v>849</v>
      </c>
      <c r="AS640" s="2" t="s">
        <v>849</v>
      </c>
      <c r="AU640" s="2" t="s">
        <v>1827</v>
      </c>
      <c r="AV640" s="2" t="s">
        <v>1822</v>
      </c>
      <c r="AW640" s="2" t="s">
        <v>1823</v>
      </c>
      <c r="AY640" s="2" t="s">
        <v>1828</v>
      </c>
    </row>
    <row r="641" spans="1:51" x14ac:dyDescent="0.2">
      <c r="A641" s="2" t="s">
        <v>1948</v>
      </c>
      <c r="B641" s="2" t="s">
        <v>1949</v>
      </c>
      <c r="C641" s="2" t="s">
        <v>1950</v>
      </c>
      <c r="D641" s="2">
        <v>2024</v>
      </c>
      <c r="E641" s="2" t="s">
        <v>1951</v>
      </c>
      <c r="F641" s="2" t="s">
        <v>1952</v>
      </c>
      <c r="G641" s="2" t="s">
        <v>1953</v>
      </c>
      <c r="H641" s="2" t="s">
        <v>1957</v>
      </c>
      <c r="I641" s="2" t="s">
        <v>1955</v>
      </c>
      <c r="J641" s="2" t="s">
        <v>86</v>
      </c>
      <c r="K641" s="2" t="s">
        <v>38</v>
      </c>
      <c r="L641" s="2" t="s">
        <v>11</v>
      </c>
      <c r="M641" s="2" t="s">
        <v>14</v>
      </c>
      <c r="N641" s="2" t="s">
        <v>16</v>
      </c>
      <c r="O641" s="2">
        <v>1</v>
      </c>
      <c r="P641" s="2" t="s">
        <v>22</v>
      </c>
      <c r="Q641" s="2" t="s">
        <v>1839</v>
      </c>
      <c r="T641" s="2" t="s">
        <v>50</v>
      </c>
      <c r="U641" s="2" t="s">
        <v>421</v>
      </c>
      <c r="X641" s="2">
        <v>9</v>
      </c>
      <c r="Y641" s="2">
        <v>36</v>
      </c>
      <c r="AB641" s="2">
        <v>11.66666667</v>
      </c>
      <c r="AC641" s="2">
        <v>29.064583259999999</v>
      </c>
      <c r="AD641" s="2">
        <v>4.25</v>
      </c>
      <c r="AE641" s="2">
        <v>7.537998977</v>
      </c>
      <c r="AF641" s="2" t="s">
        <v>74</v>
      </c>
      <c r="AG641" s="2" t="s">
        <v>64</v>
      </c>
      <c r="AH641" s="2" t="s">
        <v>74</v>
      </c>
      <c r="AR641" s="2" t="s">
        <v>849</v>
      </c>
      <c r="AS641" s="2" t="s">
        <v>222</v>
      </c>
      <c r="AU641" s="2" t="s">
        <v>1827</v>
      </c>
      <c r="AV641" s="2" t="s">
        <v>1822</v>
      </c>
      <c r="AW641" s="2" t="s">
        <v>1823</v>
      </c>
      <c r="AY641" s="2" t="s">
        <v>1828</v>
      </c>
    </row>
    <row r="642" spans="1:51" x14ac:dyDescent="0.2">
      <c r="A642" s="2" t="s">
        <v>1948</v>
      </c>
      <c r="B642" s="2" t="s">
        <v>1949</v>
      </c>
      <c r="C642" s="2" t="s">
        <v>1950</v>
      </c>
      <c r="D642" s="2">
        <v>2024</v>
      </c>
      <c r="E642" s="2" t="s">
        <v>1951</v>
      </c>
      <c r="F642" s="2" t="s">
        <v>1952</v>
      </c>
      <c r="G642" s="2" t="s">
        <v>1953</v>
      </c>
      <c r="H642" s="2" t="s">
        <v>1958</v>
      </c>
      <c r="I642" s="2" t="s">
        <v>1955</v>
      </c>
      <c r="J642" s="2" t="s">
        <v>86</v>
      </c>
      <c r="K642" s="2" t="s">
        <v>38</v>
      </c>
      <c r="L642" s="2" t="s">
        <v>11</v>
      </c>
      <c r="M642" s="2" t="s">
        <v>14</v>
      </c>
      <c r="N642" s="2" t="s">
        <v>16</v>
      </c>
      <c r="O642" s="2">
        <v>1</v>
      </c>
      <c r="P642" s="2" t="s">
        <v>22</v>
      </c>
      <c r="Q642" s="2" t="s">
        <v>1839</v>
      </c>
      <c r="T642" s="2" t="s">
        <v>50</v>
      </c>
      <c r="U642" s="2" t="s">
        <v>421</v>
      </c>
      <c r="X642" s="2">
        <v>8</v>
      </c>
      <c r="Y642" s="2">
        <v>11</v>
      </c>
      <c r="AB642" s="2">
        <v>1</v>
      </c>
      <c r="AC642" s="2">
        <v>2.0701966780270626</v>
      </c>
      <c r="AD642" s="2">
        <v>6.7272727272727275</v>
      </c>
      <c r="AE642" s="2">
        <v>9.6134375651055137</v>
      </c>
      <c r="AF642" s="2" t="s">
        <v>74</v>
      </c>
      <c r="AG642" s="2" t="s">
        <v>64</v>
      </c>
      <c r="AH642" s="2" t="s">
        <v>74</v>
      </c>
      <c r="AR642" s="2" t="s">
        <v>849</v>
      </c>
      <c r="AS642" s="2" t="s">
        <v>222</v>
      </c>
      <c r="AU642" s="2" t="s">
        <v>1827</v>
      </c>
      <c r="AV642" s="2" t="s">
        <v>1822</v>
      </c>
      <c r="AW642" s="2" t="s">
        <v>1823</v>
      </c>
      <c r="AY642" s="2" t="s">
        <v>1828</v>
      </c>
    </row>
    <row r="643" spans="1:51" x14ac:dyDescent="0.2">
      <c r="A643" s="2" t="s">
        <v>1948</v>
      </c>
      <c r="B643" s="2" t="s">
        <v>1949</v>
      </c>
      <c r="C643" s="2" t="s">
        <v>1950</v>
      </c>
      <c r="D643" s="2">
        <v>2024</v>
      </c>
      <c r="E643" s="2" t="s">
        <v>1951</v>
      </c>
      <c r="F643" s="2" t="s">
        <v>1952</v>
      </c>
      <c r="G643" s="2" t="s">
        <v>1953</v>
      </c>
      <c r="H643" s="2" t="s">
        <v>1959</v>
      </c>
      <c r="I643" s="2" t="s">
        <v>1955</v>
      </c>
      <c r="J643" s="2" t="s">
        <v>86</v>
      </c>
      <c r="K643" s="2" t="s">
        <v>38</v>
      </c>
      <c r="L643" s="2" t="s">
        <v>11</v>
      </c>
      <c r="M643" s="2" t="s">
        <v>14</v>
      </c>
      <c r="N643" s="2" t="s">
        <v>16</v>
      </c>
      <c r="O643" s="2">
        <v>1</v>
      </c>
      <c r="P643" s="2" t="s">
        <v>22</v>
      </c>
      <c r="Q643" s="2" t="s">
        <v>1839</v>
      </c>
      <c r="T643" s="2" t="s">
        <v>50</v>
      </c>
      <c r="U643" s="2" t="s">
        <v>421</v>
      </c>
      <c r="X643" s="2">
        <v>8</v>
      </c>
      <c r="Y643" s="2">
        <v>11</v>
      </c>
      <c r="AB643" s="2">
        <v>0.625</v>
      </c>
      <c r="AC643" s="2">
        <v>1.0606601717798212</v>
      </c>
      <c r="AD643" s="2">
        <v>7.1818181818181817</v>
      </c>
      <c r="AE643" s="2">
        <v>14.756816606695237</v>
      </c>
      <c r="AF643" s="2" t="s">
        <v>74</v>
      </c>
      <c r="AG643" s="2" t="s">
        <v>64</v>
      </c>
      <c r="AH643" s="2" t="s">
        <v>74</v>
      </c>
      <c r="AR643" s="2" t="s">
        <v>849</v>
      </c>
      <c r="AS643" s="2" t="s">
        <v>222</v>
      </c>
      <c r="AU643" s="2" t="s">
        <v>1827</v>
      </c>
      <c r="AV643" s="2" t="s">
        <v>1822</v>
      </c>
      <c r="AW643" s="2" t="s">
        <v>1823</v>
      </c>
      <c r="AY643" s="2" t="s">
        <v>1828</v>
      </c>
    </row>
    <row r="644" spans="1:51" x14ac:dyDescent="0.2">
      <c r="A644" s="2" t="s">
        <v>1948</v>
      </c>
      <c r="B644" s="2" t="s">
        <v>1949</v>
      </c>
      <c r="C644" s="2" t="s">
        <v>1950</v>
      </c>
      <c r="D644" s="2">
        <v>2024</v>
      </c>
      <c r="E644" s="2" t="s">
        <v>1951</v>
      </c>
      <c r="F644" s="2" t="s">
        <v>1952</v>
      </c>
      <c r="G644" s="2" t="s">
        <v>1953</v>
      </c>
      <c r="H644" s="2" t="s">
        <v>1960</v>
      </c>
      <c r="I644" s="2" t="s">
        <v>1955</v>
      </c>
      <c r="J644" s="2" t="s">
        <v>86</v>
      </c>
      <c r="K644" s="2" t="s">
        <v>38</v>
      </c>
      <c r="L644" s="2" t="s">
        <v>11</v>
      </c>
      <c r="M644" s="2" t="s">
        <v>14</v>
      </c>
      <c r="N644" s="2" t="s">
        <v>16</v>
      </c>
      <c r="O644" s="2">
        <v>1</v>
      </c>
      <c r="P644" s="2" t="s">
        <v>22</v>
      </c>
      <c r="Q644" s="2" t="s">
        <v>1056</v>
      </c>
      <c r="T644" s="2" t="s">
        <v>50</v>
      </c>
      <c r="U644" s="2" t="s">
        <v>421</v>
      </c>
      <c r="X644" s="2">
        <v>8</v>
      </c>
      <c r="Y644" s="2">
        <v>2</v>
      </c>
      <c r="AB644" s="2">
        <v>5780.1837500000001</v>
      </c>
      <c r="AC644" s="2">
        <v>410.48957463349171</v>
      </c>
      <c r="AD644" s="2">
        <v>4938.37</v>
      </c>
      <c r="AE644" s="2">
        <v>481.72073732402941</v>
      </c>
      <c r="AF644" s="2" t="s">
        <v>74</v>
      </c>
      <c r="AG644" s="2" t="s">
        <v>64</v>
      </c>
      <c r="AH644" s="2" t="s">
        <v>74</v>
      </c>
      <c r="AR644" s="2" t="s">
        <v>849</v>
      </c>
      <c r="AS644" s="2" t="s">
        <v>849</v>
      </c>
      <c r="AU644" s="2" t="s">
        <v>1827</v>
      </c>
      <c r="AV644" s="2" t="s">
        <v>1822</v>
      </c>
      <c r="AW644" s="2" t="s">
        <v>1823</v>
      </c>
      <c r="AY644" s="2" t="s">
        <v>1828</v>
      </c>
    </row>
    <row r="645" spans="1:51" x14ac:dyDescent="0.2">
      <c r="A645" s="2" t="s">
        <v>1948</v>
      </c>
      <c r="B645" s="2" t="s">
        <v>1949</v>
      </c>
      <c r="C645" s="2" t="s">
        <v>1950</v>
      </c>
      <c r="D645" s="2">
        <v>2024</v>
      </c>
      <c r="E645" s="2" t="s">
        <v>1951</v>
      </c>
      <c r="F645" s="2" t="s">
        <v>1952</v>
      </c>
      <c r="G645" s="2" t="s">
        <v>1962</v>
      </c>
      <c r="H645" s="2" t="s">
        <v>1961</v>
      </c>
      <c r="I645" s="2" t="s">
        <v>1955</v>
      </c>
      <c r="J645" s="2" t="s">
        <v>86</v>
      </c>
      <c r="K645" s="2" t="s">
        <v>38</v>
      </c>
      <c r="L645" s="2" t="s">
        <v>11</v>
      </c>
      <c r="M645" s="2" t="s">
        <v>14</v>
      </c>
      <c r="N645" s="2" t="s">
        <v>16</v>
      </c>
      <c r="O645" s="2">
        <v>1</v>
      </c>
      <c r="P645" s="2" t="s">
        <v>23</v>
      </c>
      <c r="Q645" s="2" t="s">
        <v>81</v>
      </c>
      <c r="T645" s="2" t="s">
        <v>50</v>
      </c>
      <c r="U645" s="2" t="s">
        <v>421</v>
      </c>
      <c r="X645" s="2">
        <v>5</v>
      </c>
      <c r="Y645" s="2">
        <v>10</v>
      </c>
      <c r="AB645" s="2">
        <v>0.37364049370409724</v>
      </c>
      <c r="AC645" s="2">
        <v>0.116599884</v>
      </c>
      <c r="AD645" s="2">
        <v>0.2450763895081951</v>
      </c>
      <c r="AE645" s="2">
        <v>9.8287558790861707E-2</v>
      </c>
      <c r="AF645" s="2" t="s">
        <v>74</v>
      </c>
      <c r="AG645" s="2" t="s">
        <v>64</v>
      </c>
      <c r="AH645" s="2" t="s">
        <v>74</v>
      </c>
      <c r="AR645" s="2" t="s">
        <v>849</v>
      </c>
      <c r="AS645" s="2" t="s">
        <v>849</v>
      </c>
      <c r="AU645" s="2" t="s">
        <v>1827</v>
      </c>
      <c r="AV645" s="2" t="s">
        <v>1822</v>
      </c>
      <c r="AW645" s="2" t="s">
        <v>1823</v>
      </c>
      <c r="AY645" s="2" t="s">
        <v>1828</v>
      </c>
    </row>
    <row r="646" spans="1:51" x14ac:dyDescent="0.2">
      <c r="A646" s="2" t="s">
        <v>1970</v>
      </c>
      <c r="B646" s="2" t="s">
        <v>1971</v>
      </c>
      <c r="C646" s="2" t="s">
        <v>1972</v>
      </c>
      <c r="D646" s="2">
        <v>2024</v>
      </c>
      <c r="E646" s="2" t="s">
        <v>1966</v>
      </c>
      <c r="F646" s="2" t="s">
        <v>1967</v>
      </c>
      <c r="G646" s="2" t="s">
        <v>1968</v>
      </c>
      <c r="H646" s="2" t="s">
        <v>1969</v>
      </c>
      <c r="I646" s="2" t="s">
        <v>2283</v>
      </c>
      <c r="J646" s="2" t="s">
        <v>35</v>
      </c>
      <c r="K646" s="2" t="s">
        <v>38</v>
      </c>
      <c r="L646" s="2" t="s">
        <v>12</v>
      </c>
      <c r="P646" s="2" t="s">
        <v>22</v>
      </c>
      <c r="Q646" s="2" t="s">
        <v>1056</v>
      </c>
      <c r="R646" s="2" t="s">
        <v>41</v>
      </c>
      <c r="S646" s="2" t="s">
        <v>46</v>
      </c>
      <c r="T646" s="2" t="s">
        <v>50</v>
      </c>
      <c r="U646" s="2" t="s">
        <v>421</v>
      </c>
      <c r="X646" s="2">
        <v>32</v>
      </c>
      <c r="Y646" s="2">
        <v>37</v>
      </c>
      <c r="AB646" s="8">
        <v>106.04015625</v>
      </c>
      <c r="AC646" s="8">
        <v>11.244903255825138</v>
      </c>
      <c r="AD646" s="8">
        <v>106.99051351351349</v>
      </c>
      <c r="AE646" s="8">
        <v>13.652910539559063</v>
      </c>
      <c r="AF646" s="2" t="s">
        <v>74</v>
      </c>
      <c r="AG646" s="2" t="s">
        <v>64</v>
      </c>
      <c r="AH646" s="2" t="s">
        <v>74</v>
      </c>
      <c r="AR646" s="2" t="s">
        <v>849</v>
      </c>
      <c r="AS646" s="2" t="s">
        <v>222</v>
      </c>
      <c r="AU646" s="2" t="s">
        <v>1827</v>
      </c>
      <c r="AV646" s="2" t="s">
        <v>1830</v>
      </c>
      <c r="AW646" s="2" t="s">
        <v>1820</v>
      </c>
    </row>
    <row r="647" spans="1:51" x14ac:dyDescent="0.2">
      <c r="A647" s="2" t="s">
        <v>1970</v>
      </c>
      <c r="B647" s="2" t="s">
        <v>1971</v>
      </c>
      <c r="C647" s="2" t="s">
        <v>1972</v>
      </c>
      <c r="D647" s="2">
        <v>2024</v>
      </c>
      <c r="E647" s="2" t="s">
        <v>1966</v>
      </c>
      <c r="F647" s="2" t="s">
        <v>1967</v>
      </c>
      <c r="G647" s="2" t="s">
        <v>1968</v>
      </c>
      <c r="H647" s="2" t="s">
        <v>1974</v>
      </c>
      <c r="I647" s="2" t="s">
        <v>2283</v>
      </c>
      <c r="J647" s="2" t="s">
        <v>35</v>
      </c>
      <c r="K647" s="2" t="s">
        <v>38</v>
      </c>
      <c r="L647" s="2" t="s">
        <v>12</v>
      </c>
      <c r="P647" s="2" t="s">
        <v>22</v>
      </c>
      <c r="Q647" s="2" t="s">
        <v>1056</v>
      </c>
      <c r="R647" s="2" t="s">
        <v>41</v>
      </c>
      <c r="S647" s="2" t="s">
        <v>46</v>
      </c>
      <c r="T647" s="2" t="s">
        <v>50</v>
      </c>
      <c r="U647" s="2" t="s">
        <v>421</v>
      </c>
      <c r="X647" s="2">
        <v>31</v>
      </c>
      <c r="Y647" s="2">
        <v>39</v>
      </c>
      <c r="AB647" s="8">
        <v>0.2421903225806451</v>
      </c>
      <c r="AC647" s="8">
        <v>8.9254170228767638E-2</v>
      </c>
      <c r="AD647" s="8">
        <v>0.23751538461538471</v>
      </c>
      <c r="AE647" s="8">
        <v>7.6293855510545142E-2</v>
      </c>
      <c r="AF647" s="2" t="s">
        <v>74</v>
      </c>
      <c r="AG647" s="2" t="s">
        <v>64</v>
      </c>
      <c r="AH647" s="2" t="s">
        <v>74</v>
      </c>
      <c r="AR647" s="2" t="s">
        <v>849</v>
      </c>
      <c r="AS647" s="2" t="s">
        <v>222</v>
      </c>
      <c r="AU647" s="2" t="s">
        <v>1827</v>
      </c>
      <c r="AV647" s="2" t="s">
        <v>1830</v>
      </c>
      <c r="AW647" s="2" t="s">
        <v>1820</v>
      </c>
    </row>
    <row r="648" spans="1:51" x14ac:dyDescent="0.2">
      <c r="A648" s="2" t="s">
        <v>1970</v>
      </c>
      <c r="B648" s="2" t="s">
        <v>1971</v>
      </c>
      <c r="C648" s="2" t="s">
        <v>1972</v>
      </c>
      <c r="D648" s="2">
        <v>2024</v>
      </c>
      <c r="E648" s="2" t="s">
        <v>1966</v>
      </c>
      <c r="F648" s="2" t="s">
        <v>1973</v>
      </c>
      <c r="G648" s="2" t="s">
        <v>1977</v>
      </c>
      <c r="H648" s="2" t="s">
        <v>1975</v>
      </c>
      <c r="I648" s="2" t="s">
        <v>2282</v>
      </c>
      <c r="J648" s="2" t="s">
        <v>35</v>
      </c>
      <c r="K648" s="2" t="s">
        <v>38</v>
      </c>
      <c r="L648" s="2" t="s">
        <v>12</v>
      </c>
      <c r="P648" s="2" t="s">
        <v>22</v>
      </c>
      <c r="Q648" s="2" t="s">
        <v>1056</v>
      </c>
      <c r="R648" s="2" t="s">
        <v>41</v>
      </c>
      <c r="S648" s="2" t="s">
        <v>46</v>
      </c>
      <c r="T648" s="2" t="s">
        <v>50</v>
      </c>
      <c r="U648" s="2" t="s">
        <v>421</v>
      </c>
      <c r="X648" s="2">
        <v>41</v>
      </c>
      <c r="Y648" s="2">
        <v>40</v>
      </c>
      <c r="AB648" s="8">
        <v>96.790536585365842</v>
      </c>
      <c r="AC648" s="8">
        <v>99.12715</v>
      </c>
      <c r="AD648" s="8">
        <v>24.404529374787725</v>
      </c>
      <c r="AE648" s="8">
        <v>21.564172729677978</v>
      </c>
      <c r="AF648" s="2" t="s">
        <v>74</v>
      </c>
      <c r="AG648" s="2" t="s">
        <v>64</v>
      </c>
      <c r="AH648" s="2" t="s">
        <v>74</v>
      </c>
      <c r="AR648" s="2" t="s">
        <v>849</v>
      </c>
      <c r="AS648" s="2" t="s">
        <v>222</v>
      </c>
      <c r="AU648" s="2" t="s">
        <v>1827</v>
      </c>
      <c r="AV648" s="2" t="s">
        <v>1830</v>
      </c>
      <c r="AW648" s="2" t="s">
        <v>1820</v>
      </c>
      <c r="AY648" s="2" t="s">
        <v>1828</v>
      </c>
    </row>
    <row r="649" spans="1:51" x14ac:dyDescent="0.2">
      <c r="A649" s="2" t="s">
        <v>1970</v>
      </c>
      <c r="B649" s="2" t="s">
        <v>1971</v>
      </c>
      <c r="C649" s="2" t="s">
        <v>1972</v>
      </c>
      <c r="D649" s="2">
        <v>2024</v>
      </c>
      <c r="E649" s="2" t="s">
        <v>1966</v>
      </c>
      <c r="F649" s="2" t="s">
        <v>1973</v>
      </c>
      <c r="G649" s="2" t="s">
        <v>1977</v>
      </c>
      <c r="H649" s="2" t="s">
        <v>1976</v>
      </c>
      <c r="I649" s="2" t="s">
        <v>2282</v>
      </c>
      <c r="J649" s="2" t="s">
        <v>35</v>
      </c>
      <c r="K649" s="2" t="s">
        <v>38</v>
      </c>
      <c r="L649" s="2" t="s">
        <v>12</v>
      </c>
      <c r="P649" s="2" t="s">
        <v>22</v>
      </c>
      <c r="Q649" s="2" t="s">
        <v>1056</v>
      </c>
      <c r="R649" s="2" t="s">
        <v>41</v>
      </c>
      <c r="S649" s="2" t="s">
        <v>46</v>
      </c>
      <c r="T649" s="2" t="s">
        <v>50</v>
      </c>
      <c r="U649" s="2" t="s">
        <v>421</v>
      </c>
      <c r="X649" s="2">
        <v>40</v>
      </c>
      <c r="Y649" s="2">
        <v>39</v>
      </c>
      <c r="AB649" s="8">
        <v>0.27940750000000003</v>
      </c>
      <c r="AC649" s="8">
        <v>7.4132830844197098E-2</v>
      </c>
      <c r="AD649" s="8">
        <v>0.28120256410256406</v>
      </c>
      <c r="AE649" s="8">
        <v>8.1519740867762286E-2</v>
      </c>
      <c r="AF649" s="2" t="s">
        <v>74</v>
      </c>
      <c r="AG649" s="2" t="s">
        <v>64</v>
      </c>
      <c r="AH649" s="2" t="s">
        <v>74</v>
      </c>
      <c r="AR649" s="2" t="s">
        <v>849</v>
      </c>
      <c r="AS649" s="2" t="s">
        <v>222</v>
      </c>
      <c r="AU649" s="2" t="s">
        <v>1827</v>
      </c>
      <c r="AV649" s="2" t="s">
        <v>1830</v>
      </c>
      <c r="AW649" s="2" t="s">
        <v>1820</v>
      </c>
      <c r="AY649" s="2" t="s">
        <v>1828</v>
      </c>
    </row>
    <row r="650" spans="1:51" x14ac:dyDescent="0.2">
      <c r="A650" s="2" t="s">
        <v>1978</v>
      </c>
      <c r="B650" s="2" t="s">
        <v>1979</v>
      </c>
      <c r="C650" s="2" t="s">
        <v>1980</v>
      </c>
      <c r="D650" s="2">
        <v>2022</v>
      </c>
      <c r="E650" s="2" t="s">
        <v>1981</v>
      </c>
      <c r="F650" s="2" t="s">
        <v>1982</v>
      </c>
      <c r="G650" s="2" t="s">
        <v>1983</v>
      </c>
      <c r="H650" s="2" t="s">
        <v>1984</v>
      </c>
      <c r="I650" s="2" t="s">
        <v>512</v>
      </c>
      <c r="J650" s="2" t="s">
        <v>86</v>
      </c>
      <c r="K650" s="2" t="s">
        <v>38</v>
      </c>
      <c r="L650" s="2" t="s">
        <v>11</v>
      </c>
      <c r="M650" s="2" t="s">
        <v>14</v>
      </c>
      <c r="N650" s="2" t="s">
        <v>17</v>
      </c>
      <c r="O650" s="2">
        <v>1</v>
      </c>
      <c r="P650" s="2" t="s">
        <v>22</v>
      </c>
      <c r="Q650" s="2" t="s">
        <v>21</v>
      </c>
      <c r="T650" s="2" t="s">
        <v>50</v>
      </c>
      <c r="U650" s="2" t="s">
        <v>421</v>
      </c>
      <c r="X650" s="2">
        <v>32</v>
      </c>
      <c r="Y650" s="2">
        <v>31</v>
      </c>
      <c r="AB650" s="2">
        <v>82.954435697197084</v>
      </c>
      <c r="AC650" s="2">
        <v>21.3708675947688</v>
      </c>
      <c r="AD650" s="2">
        <v>82.706344465853576</v>
      </c>
      <c r="AE650" s="2">
        <v>15.846678615461281</v>
      </c>
      <c r="AF650" s="2" t="s">
        <v>74</v>
      </c>
      <c r="AG650" s="2" t="s">
        <v>64</v>
      </c>
      <c r="AH650" s="2" t="s">
        <v>74</v>
      </c>
      <c r="AR650" s="2" t="s">
        <v>849</v>
      </c>
      <c r="AS650" s="2" t="s">
        <v>849</v>
      </c>
      <c r="AU650" s="2" t="s">
        <v>1818</v>
      </c>
      <c r="AV650" s="2" t="s">
        <v>1830</v>
      </c>
      <c r="AW650" s="2" t="s">
        <v>1831</v>
      </c>
      <c r="AX650" s="2" t="s">
        <v>1829</v>
      </c>
      <c r="AY650" s="2" t="s">
        <v>79</v>
      </c>
    </row>
    <row r="651" spans="1:51" x14ac:dyDescent="0.2">
      <c r="A651" s="2" t="s">
        <v>1978</v>
      </c>
      <c r="B651" s="2" t="s">
        <v>1979</v>
      </c>
      <c r="C651" s="2" t="s">
        <v>1980</v>
      </c>
      <c r="D651" s="2">
        <v>2022</v>
      </c>
      <c r="E651" s="2" t="s">
        <v>1981</v>
      </c>
      <c r="F651" s="2" t="s">
        <v>1982</v>
      </c>
      <c r="G651" s="2" t="s">
        <v>1983</v>
      </c>
      <c r="H651" s="2" t="s">
        <v>1985</v>
      </c>
      <c r="I651" s="2" t="s">
        <v>512</v>
      </c>
      <c r="J651" s="2" t="s">
        <v>86</v>
      </c>
      <c r="K651" s="2" t="s">
        <v>38</v>
      </c>
      <c r="L651" s="2" t="s">
        <v>11</v>
      </c>
      <c r="M651" s="2" t="s">
        <v>14</v>
      </c>
      <c r="N651" s="2" t="s">
        <v>17</v>
      </c>
      <c r="O651" s="2">
        <v>1</v>
      </c>
      <c r="P651" s="2" t="s">
        <v>22</v>
      </c>
      <c r="Q651" s="2" t="s">
        <v>30</v>
      </c>
      <c r="T651" s="2" t="s">
        <v>50</v>
      </c>
      <c r="U651" s="2" t="s">
        <v>421</v>
      </c>
      <c r="X651" s="2">
        <v>32</v>
      </c>
      <c r="Y651" s="2">
        <v>31</v>
      </c>
      <c r="Z651" s="2">
        <v>32</v>
      </c>
      <c r="AA651" s="2">
        <v>30</v>
      </c>
      <c r="AH651" s="2" t="s">
        <v>1804</v>
      </c>
      <c r="AR651" s="2" t="s">
        <v>849</v>
      </c>
      <c r="AS651" s="2" t="s">
        <v>849</v>
      </c>
      <c r="AU651" s="2" t="s">
        <v>1818</v>
      </c>
      <c r="AV651" s="2" t="s">
        <v>1830</v>
      </c>
      <c r="AW651" s="2" t="s">
        <v>1831</v>
      </c>
      <c r="AX651" s="2" t="s">
        <v>1829</v>
      </c>
      <c r="AY651" s="2" t="s">
        <v>79</v>
      </c>
    </row>
    <row r="652" spans="1:51" x14ac:dyDescent="0.2">
      <c r="A652" s="2" t="s">
        <v>1978</v>
      </c>
      <c r="B652" s="2" t="s">
        <v>1979</v>
      </c>
      <c r="C652" s="2" t="s">
        <v>1980</v>
      </c>
      <c r="D652" s="2">
        <v>2022</v>
      </c>
      <c r="E652" s="2" t="s">
        <v>1981</v>
      </c>
      <c r="F652" s="2" t="s">
        <v>1982</v>
      </c>
      <c r="G652" s="2" t="s">
        <v>2001</v>
      </c>
      <c r="H652" s="2" t="s">
        <v>1986</v>
      </c>
      <c r="I652" s="2" t="s">
        <v>512</v>
      </c>
      <c r="J652" s="2" t="s">
        <v>86</v>
      </c>
      <c r="K652" s="2" t="s">
        <v>38</v>
      </c>
      <c r="L652" s="2" t="s">
        <v>11</v>
      </c>
      <c r="M652" s="2" t="s">
        <v>14</v>
      </c>
      <c r="N652" s="2" t="s">
        <v>17</v>
      </c>
      <c r="O652" s="2">
        <v>1</v>
      </c>
      <c r="P652" s="2" t="s">
        <v>22</v>
      </c>
      <c r="Q652" s="2" t="s">
        <v>21</v>
      </c>
      <c r="T652" s="2" t="s">
        <v>50</v>
      </c>
      <c r="U652" s="2" t="s">
        <v>421</v>
      </c>
      <c r="X652" s="2">
        <v>30</v>
      </c>
      <c r="Y652" s="2">
        <v>31</v>
      </c>
      <c r="AB652" s="2">
        <v>81.840393004565769</v>
      </c>
      <c r="AC652" s="2">
        <v>13.807994071269759</v>
      </c>
      <c r="AD652" s="2">
        <v>81.418610298675674</v>
      </c>
      <c r="AE652" s="2">
        <v>14.580086679199439</v>
      </c>
      <c r="AF652" s="2" t="s">
        <v>74</v>
      </c>
      <c r="AG652" s="2" t="s">
        <v>64</v>
      </c>
      <c r="AH652" s="2" t="s">
        <v>74</v>
      </c>
      <c r="AR652" s="2" t="s">
        <v>849</v>
      </c>
      <c r="AS652" s="2" t="s">
        <v>849</v>
      </c>
      <c r="AU652" s="2" t="s">
        <v>1818</v>
      </c>
      <c r="AV652" s="2" t="s">
        <v>1830</v>
      </c>
      <c r="AW652" s="2" t="s">
        <v>1831</v>
      </c>
      <c r="AX652" s="2" t="s">
        <v>1829</v>
      </c>
      <c r="AY652" s="2" t="s">
        <v>79</v>
      </c>
    </row>
    <row r="653" spans="1:51" x14ac:dyDescent="0.2">
      <c r="A653" s="2" t="s">
        <v>1978</v>
      </c>
      <c r="B653" s="2" t="s">
        <v>1979</v>
      </c>
      <c r="C653" s="2" t="s">
        <v>1980</v>
      </c>
      <c r="D653" s="2">
        <v>2022</v>
      </c>
      <c r="E653" s="2" t="s">
        <v>1981</v>
      </c>
      <c r="F653" s="2" t="s">
        <v>1982</v>
      </c>
      <c r="G653" s="2" t="s">
        <v>2001</v>
      </c>
      <c r="H653" s="2" t="s">
        <v>1987</v>
      </c>
      <c r="I653" s="2" t="s">
        <v>512</v>
      </c>
      <c r="J653" s="2" t="s">
        <v>86</v>
      </c>
      <c r="K653" s="2" t="s">
        <v>38</v>
      </c>
      <c r="L653" s="2" t="s">
        <v>11</v>
      </c>
      <c r="M653" s="2" t="s">
        <v>14</v>
      </c>
      <c r="N653" s="2" t="s">
        <v>17</v>
      </c>
      <c r="O653" s="2">
        <v>1</v>
      </c>
      <c r="P653" s="2" t="s">
        <v>22</v>
      </c>
      <c r="Q653" s="2" t="s">
        <v>30</v>
      </c>
      <c r="T653" s="2" t="s">
        <v>50</v>
      </c>
      <c r="U653" s="2" t="s">
        <v>421</v>
      </c>
      <c r="X653" s="2">
        <v>30</v>
      </c>
      <c r="Y653" s="2">
        <v>31</v>
      </c>
      <c r="Z653" s="2">
        <v>30</v>
      </c>
      <c r="AA653" s="2">
        <v>31</v>
      </c>
      <c r="AH653" s="2" t="s">
        <v>1804</v>
      </c>
      <c r="AR653" s="2" t="s">
        <v>849</v>
      </c>
      <c r="AS653" s="2" t="s">
        <v>849</v>
      </c>
      <c r="AU653" s="2" t="s">
        <v>1818</v>
      </c>
      <c r="AV653" s="2" t="s">
        <v>1830</v>
      </c>
      <c r="AW653" s="2" t="s">
        <v>1831</v>
      </c>
      <c r="AX653" s="2" t="s">
        <v>1829</v>
      </c>
      <c r="AY653" s="2" t="s">
        <v>79</v>
      </c>
    </row>
    <row r="654" spans="1:51" x14ac:dyDescent="0.2">
      <c r="A654" s="2" t="s">
        <v>1978</v>
      </c>
      <c r="B654" s="2" t="s">
        <v>1979</v>
      </c>
      <c r="C654" s="2" t="s">
        <v>1980</v>
      </c>
      <c r="D654" s="2">
        <v>2022</v>
      </c>
      <c r="E654" s="2" t="s">
        <v>1981</v>
      </c>
      <c r="F654" s="2" t="s">
        <v>1982</v>
      </c>
      <c r="G654" s="2" t="s">
        <v>2002</v>
      </c>
      <c r="H654" s="2" t="s">
        <v>1988</v>
      </c>
      <c r="I654" s="2" t="s">
        <v>512</v>
      </c>
      <c r="J654" s="2" t="s">
        <v>86</v>
      </c>
      <c r="K654" s="2" t="s">
        <v>38</v>
      </c>
      <c r="L654" s="2" t="s">
        <v>11</v>
      </c>
      <c r="M654" s="2" t="s">
        <v>14</v>
      </c>
      <c r="N654" s="2" t="s">
        <v>17</v>
      </c>
      <c r="O654" s="2">
        <v>1</v>
      </c>
      <c r="P654" s="2" t="s">
        <v>22</v>
      </c>
      <c r="Q654" s="2" t="s">
        <v>21</v>
      </c>
      <c r="T654" s="2" t="s">
        <v>50</v>
      </c>
      <c r="U654" s="2" t="s">
        <v>421</v>
      </c>
      <c r="X654" s="2">
        <v>21</v>
      </c>
      <c r="Y654" s="2">
        <v>22</v>
      </c>
      <c r="AB654" s="2">
        <v>77.876190476190487</v>
      </c>
      <c r="AC654" s="2">
        <v>17.890162234085651</v>
      </c>
      <c r="AD654" s="2">
        <v>77.504545454545465</v>
      </c>
      <c r="AE654" s="2">
        <v>23.27640287363857</v>
      </c>
      <c r="AF654" s="2" t="s">
        <v>74</v>
      </c>
      <c r="AG654" s="2" t="s">
        <v>64</v>
      </c>
      <c r="AH654" s="2" t="s">
        <v>74</v>
      </c>
      <c r="AR654" s="2" t="s">
        <v>849</v>
      </c>
      <c r="AS654" s="2" t="s">
        <v>849</v>
      </c>
      <c r="AU654" s="2" t="s">
        <v>1818</v>
      </c>
      <c r="AV654" s="2" t="s">
        <v>1830</v>
      </c>
      <c r="AW654" s="2" t="s">
        <v>1831</v>
      </c>
      <c r="AX654" s="2" t="s">
        <v>1829</v>
      </c>
      <c r="AY654" s="2" t="s">
        <v>79</v>
      </c>
    </row>
    <row r="655" spans="1:51" x14ac:dyDescent="0.2">
      <c r="A655" s="2" t="s">
        <v>1978</v>
      </c>
      <c r="B655" s="2" t="s">
        <v>1979</v>
      </c>
      <c r="C655" s="2" t="s">
        <v>1980</v>
      </c>
      <c r="D655" s="2">
        <v>2022</v>
      </c>
      <c r="E655" s="2" t="s">
        <v>1981</v>
      </c>
      <c r="F655" s="2" t="s">
        <v>1982</v>
      </c>
      <c r="G655" s="2" t="s">
        <v>2002</v>
      </c>
      <c r="H655" s="2" t="s">
        <v>1989</v>
      </c>
      <c r="I655" s="2" t="s">
        <v>512</v>
      </c>
      <c r="J655" s="2" t="s">
        <v>86</v>
      </c>
      <c r="K655" s="2" t="s">
        <v>38</v>
      </c>
      <c r="L655" s="2" t="s">
        <v>11</v>
      </c>
      <c r="M655" s="2" t="s">
        <v>14</v>
      </c>
      <c r="N655" s="2" t="s">
        <v>17</v>
      </c>
      <c r="O655" s="2">
        <v>1</v>
      </c>
      <c r="P655" s="2" t="s">
        <v>22</v>
      </c>
      <c r="Q655" s="2" t="s">
        <v>30</v>
      </c>
      <c r="T655" s="2" t="s">
        <v>50</v>
      </c>
      <c r="U655" s="2" t="s">
        <v>421</v>
      </c>
      <c r="X655" s="2">
        <v>21</v>
      </c>
      <c r="Y655" s="2">
        <v>22</v>
      </c>
      <c r="Z655" s="2">
        <v>20</v>
      </c>
      <c r="AA655" s="2">
        <v>22</v>
      </c>
      <c r="AH655" s="2" t="s">
        <v>1804</v>
      </c>
      <c r="AR655" s="2" t="s">
        <v>849</v>
      </c>
      <c r="AS655" s="2" t="s">
        <v>849</v>
      </c>
      <c r="AU655" s="2" t="s">
        <v>1818</v>
      </c>
      <c r="AV655" s="2" t="s">
        <v>1830</v>
      </c>
      <c r="AW655" s="2" t="s">
        <v>1831</v>
      </c>
      <c r="AX655" s="2" t="s">
        <v>1829</v>
      </c>
      <c r="AY655" s="2" t="s">
        <v>79</v>
      </c>
    </row>
    <row r="656" spans="1:51" x14ac:dyDescent="0.2">
      <c r="A656" s="2" t="s">
        <v>1978</v>
      </c>
      <c r="B656" s="2" t="s">
        <v>1979</v>
      </c>
      <c r="C656" s="2" t="s">
        <v>1980</v>
      </c>
      <c r="D656" s="2">
        <v>2022</v>
      </c>
      <c r="E656" s="2" t="s">
        <v>1981</v>
      </c>
      <c r="F656" s="2" t="s">
        <v>1982</v>
      </c>
      <c r="G656" s="2" t="s">
        <v>2003</v>
      </c>
      <c r="H656" s="2" t="s">
        <v>1990</v>
      </c>
      <c r="I656" s="2" t="s">
        <v>512</v>
      </c>
      <c r="J656" s="2" t="s">
        <v>86</v>
      </c>
      <c r="K656" s="2" t="s">
        <v>38</v>
      </c>
      <c r="L656" s="2" t="s">
        <v>11</v>
      </c>
      <c r="M656" s="2" t="s">
        <v>14</v>
      </c>
      <c r="N656" s="2" t="s">
        <v>17</v>
      </c>
      <c r="O656" s="2">
        <v>1</v>
      </c>
      <c r="P656" s="2" t="s">
        <v>22</v>
      </c>
      <c r="Q656" s="2" t="s">
        <v>21</v>
      </c>
      <c r="T656" s="2" t="s">
        <v>50</v>
      </c>
      <c r="U656" s="2" t="s">
        <v>421</v>
      </c>
      <c r="X656" s="2">
        <v>29</v>
      </c>
      <c r="Y656" s="2">
        <v>30</v>
      </c>
      <c r="AB656" s="2">
        <v>92.133797947720808</v>
      </c>
      <c r="AC656" s="2">
        <v>12.157550150728124</v>
      </c>
      <c r="AD656" s="2">
        <v>88.832266985886207</v>
      </c>
      <c r="AE656" s="2">
        <v>12.224453258359127</v>
      </c>
      <c r="AF656" s="2" t="s">
        <v>74</v>
      </c>
      <c r="AG656" s="2" t="s">
        <v>64</v>
      </c>
      <c r="AH656" s="2" t="s">
        <v>74</v>
      </c>
      <c r="AR656" s="2" t="s">
        <v>849</v>
      </c>
      <c r="AS656" s="2" t="s">
        <v>849</v>
      </c>
      <c r="AU656" s="2" t="s">
        <v>1818</v>
      </c>
      <c r="AV656" s="2" t="s">
        <v>1830</v>
      </c>
      <c r="AW656" s="2" t="s">
        <v>1831</v>
      </c>
      <c r="AX656" s="2" t="s">
        <v>1829</v>
      </c>
      <c r="AY656" s="2" t="s">
        <v>79</v>
      </c>
    </row>
    <row r="657" spans="1:51" x14ac:dyDescent="0.2">
      <c r="A657" s="2" t="s">
        <v>1978</v>
      </c>
      <c r="B657" s="2" t="s">
        <v>1979</v>
      </c>
      <c r="C657" s="2" t="s">
        <v>1980</v>
      </c>
      <c r="D657" s="2">
        <v>2022</v>
      </c>
      <c r="E657" s="2" t="s">
        <v>1981</v>
      </c>
      <c r="F657" s="2" t="s">
        <v>1982</v>
      </c>
      <c r="G657" s="2" t="s">
        <v>2003</v>
      </c>
      <c r="H657" s="2" t="s">
        <v>1991</v>
      </c>
      <c r="I657" s="2" t="s">
        <v>512</v>
      </c>
      <c r="J657" s="2" t="s">
        <v>86</v>
      </c>
      <c r="K657" s="2" t="s">
        <v>38</v>
      </c>
      <c r="L657" s="2" t="s">
        <v>11</v>
      </c>
      <c r="M657" s="2" t="s">
        <v>14</v>
      </c>
      <c r="N657" s="2" t="s">
        <v>17</v>
      </c>
      <c r="O657" s="2">
        <v>1</v>
      </c>
      <c r="P657" s="2" t="s">
        <v>22</v>
      </c>
      <c r="Q657" s="2" t="s">
        <v>30</v>
      </c>
      <c r="T657" s="2" t="s">
        <v>50</v>
      </c>
      <c r="U657" s="2" t="s">
        <v>421</v>
      </c>
      <c r="X657" s="2">
        <v>29</v>
      </c>
      <c r="Y657" s="2">
        <v>30</v>
      </c>
      <c r="Z657" s="2">
        <v>29</v>
      </c>
      <c r="AA657" s="2">
        <v>26</v>
      </c>
      <c r="AH657" s="2" t="s">
        <v>1804</v>
      </c>
      <c r="AR657" s="2" t="s">
        <v>849</v>
      </c>
      <c r="AS657" s="2" t="s">
        <v>849</v>
      </c>
      <c r="AU657" s="2" t="s">
        <v>1818</v>
      </c>
      <c r="AV657" s="2" t="s">
        <v>1830</v>
      </c>
      <c r="AW657" s="2" t="s">
        <v>1831</v>
      </c>
      <c r="AX657" s="2" t="s">
        <v>1829</v>
      </c>
      <c r="AY657" s="2" t="s">
        <v>79</v>
      </c>
    </row>
    <row r="658" spans="1:51" x14ac:dyDescent="0.2">
      <c r="A658" s="2" t="s">
        <v>1978</v>
      </c>
      <c r="B658" s="2" t="s">
        <v>1979</v>
      </c>
      <c r="C658" s="2" t="s">
        <v>1980</v>
      </c>
      <c r="D658" s="2">
        <v>2022</v>
      </c>
      <c r="E658" s="2" t="s">
        <v>1981</v>
      </c>
      <c r="F658" s="2" t="s">
        <v>1982</v>
      </c>
      <c r="G658" s="2" t="s">
        <v>2004</v>
      </c>
      <c r="H658" s="2" t="s">
        <v>1992</v>
      </c>
      <c r="I658" s="2" t="s">
        <v>512</v>
      </c>
      <c r="J658" s="2" t="s">
        <v>86</v>
      </c>
      <c r="K658" s="2" t="s">
        <v>38</v>
      </c>
      <c r="L658" s="2" t="s">
        <v>11</v>
      </c>
      <c r="M658" s="2" t="s">
        <v>14</v>
      </c>
      <c r="N658" s="2" t="s">
        <v>17</v>
      </c>
      <c r="O658" s="2">
        <v>1</v>
      </c>
      <c r="P658" s="2" t="s">
        <v>22</v>
      </c>
      <c r="Q658" s="2" t="s">
        <v>21</v>
      </c>
      <c r="T658" s="2" t="s">
        <v>50</v>
      </c>
      <c r="U658" s="2" t="s">
        <v>421</v>
      </c>
      <c r="X658" s="2">
        <v>17</v>
      </c>
      <c r="Y658" s="2">
        <v>19</v>
      </c>
      <c r="AB658" s="2">
        <v>89.034668467032205</v>
      </c>
      <c r="AC658" s="2">
        <v>15.046364992073567</v>
      </c>
      <c r="AD658" s="2">
        <v>83.793335126863283</v>
      </c>
      <c r="AE658" s="2">
        <v>15.272249311845014</v>
      </c>
      <c r="AF658" s="2" t="s">
        <v>74</v>
      </c>
      <c r="AG658" s="2" t="s">
        <v>64</v>
      </c>
      <c r="AH658" s="2" t="s">
        <v>74</v>
      </c>
      <c r="AR658" s="2" t="s">
        <v>849</v>
      </c>
      <c r="AS658" s="2" t="s">
        <v>849</v>
      </c>
      <c r="AU658" s="2" t="s">
        <v>1818</v>
      </c>
      <c r="AV658" s="2" t="s">
        <v>1830</v>
      </c>
      <c r="AW658" s="2" t="s">
        <v>1831</v>
      </c>
      <c r="AX658" s="2" t="s">
        <v>1829</v>
      </c>
      <c r="AY658" s="2" t="s">
        <v>79</v>
      </c>
    </row>
    <row r="659" spans="1:51" x14ac:dyDescent="0.2">
      <c r="A659" s="2" t="s">
        <v>1978</v>
      </c>
      <c r="B659" s="2" t="s">
        <v>1979</v>
      </c>
      <c r="C659" s="2" t="s">
        <v>1980</v>
      </c>
      <c r="D659" s="2">
        <v>2022</v>
      </c>
      <c r="E659" s="2" t="s">
        <v>1981</v>
      </c>
      <c r="F659" s="2" t="s">
        <v>1982</v>
      </c>
      <c r="G659" s="2" t="s">
        <v>2004</v>
      </c>
      <c r="H659" s="2" t="s">
        <v>1993</v>
      </c>
      <c r="I659" s="2" t="s">
        <v>512</v>
      </c>
      <c r="J659" s="2" t="s">
        <v>86</v>
      </c>
      <c r="K659" s="2" t="s">
        <v>38</v>
      </c>
      <c r="L659" s="2" t="s">
        <v>11</v>
      </c>
      <c r="M659" s="2" t="s">
        <v>14</v>
      </c>
      <c r="N659" s="2" t="s">
        <v>17</v>
      </c>
      <c r="O659" s="2">
        <v>1</v>
      </c>
      <c r="P659" s="2" t="s">
        <v>22</v>
      </c>
      <c r="Q659" s="2" t="s">
        <v>30</v>
      </c>
      <c r="T659" s="2" t="s">
        <v>50</v>
      </c>
      <c r="U659" s="2" t="s">
        <v>421</v>
      </c>
      <c r="X659" s="2">
        <v>17</v>
      </c>
      <c r="Y659" s="2">
        <v>19</v>
      </c>
      <c r="Z659" s="2">
        <v>16</v>
      </c>
      <c r="AA659" s="2">
        <v>18</v>
      </c>
      <c r="AH659" s="2" t="s">
        <v>1804</v>
      </c>
      <c r="AR659" s="2" t="s">
        <v>849</v>
      </c>
      <c r="AS659" s="2" t="s">
        <v>849</v>
      </c>
      <c r="AU659" s="2" t="s">
        <v>1818</v>
      </c>
      <c r="AV659" s="2" t="s">
        <v>1830</v>
      </c>
      <c r="AW659" s="2" t="s">
        <v>1831</v>
      </c>
      <c r="AX659" s="2" t="s">
        <v>1829</v>
      </c>
      <c r="AY659" s="2" t="s">
        <v>79</v>
      </c>
    </row>
    <row r="660" spans="1:51" x14ac:dyDescent="0.2">
      <c r="A660" s="2" t="s">
        <v>1978</v>
      </c>
      <c r="B660" s="2" t="s">
        <v>1979</v>
      </c>
      <c r="C660" s="2" t="s">
        <v>1980</v>
      </c>
      <c r="D660" s="2">
        <v>2022</v>
      </c>
      <c r="E660" s="2" t="s">
        <v>1981</v>
      </c>
      <c r="F660" s="2" t="s">
        <v>1982</v>
      </c>
      <c r="G660" s="2" t="s">
        <v>2005</v>
      </c>
      <c r="H660" s="2" t="s">
        <v>1994</v>
      </c>
      <c r="I660" s="2" t="s">
        <v>512</v>
      </c>
      <c r="J660" s="2" t="s">
        <v>86</v>
      </c>
      <c r="K660" s="2" t="s">
        <v>38</v>
      </c>
      <c r="L660" s="2" t="s">
        <v>11</v>
      </c>
      <c r="M660" s="2" t="s">
        <v>14</v>
      </c>
      <c r="N660" s="2" t="s">
        <v>17</v>
      </c>
      <c r="O660" s="2">
        <v>1</v>
      </c>
      <c r="P660" s="2" t="s">
        <v>22</v>
      </c>
      <c r="Q660" s="2" t="s">
        <v>21</v>
      </c>
      <c r="T660" s="2" t="s">
        <v>50</v>
      </c>
      <c r="U660" s="2" t="s">
        <v>421</v>
      </c>
      <c r="X660" s="2">
        <v>21</v>
      </c>
      <c r="Y660" s="2">
        <v>23</v>
      </c>
      <c r="AB660" s="2">
        <v>87.722109435092591</v>
      </c>
      <c r="AC660" s="2">
        <v>18.604928778444734</v>
      </c>
      <c r="AD660" s="2">
        <v>88.808513420402164</v>
      </c>
      <c r="AE660" s="2">
        <v>17.008272303647892</v>
      </c>
      <c r="AF660" s="2" t="s">
        <v>74</v>
      </c>
      <c r="AG660" s="2" t="s">
        <v>64</v>
      </c>
      <c r="AH660" s="2" t="s">
        <v>74</v>
      </c>
      <c r="AR660" s="2" t="s">
        <v>849</v>
      </c>
      <c r="AS660" s="2" t="s">
        <v>849</v>
      </c>
      <c r="AU660" s="2" t="s">
        <v>1818</v>
      </c>
      <c r="AV660" s="2" t="s">
        <v>1830</v>
      </c>
      <c r="AW660" s="2" t="s">
        <v>1831</v>
      </c>
      <c r="AX660" s="2" t="s">
        <v>1829</v>
      </c>
      <c r="AY660" s="2" t="s">
        <v>79</v>
      </c>
    </row>
    <row r="661" spans="1:51" x14ac:dyDescent="0.2">
      <c r="A661" s="2" t="s">
        <v>1978</v>
      </c>
      <c r="B661" s="2" t="s">
        <v>1979</v>
      </c>
      <c r="C661" s="2" t="s">
        <v>1980</v>
      </c>
      <c r="D661" s="2">
        <v>2022</v>
      </c>
      <c r="E661" s="2" t="s">
        <v>1981</v>
      </c>
      <c r="F661" s="2" t="s">
        <v>1982</v>
      </c>
      <c r="G661" s="2" t="s">
        <v>2005</v>
      </c>
      <c r="H661" s="2" t="s">
        <v>1995</v>
      </c>
      <c r="I661" s="2" t="s">
        <v>512</v>
      </c>
      <c r="J661" s="2" t="s">
        <v>86</v>
      </c>
      <c r="K661" s="2" t="s">
        <v>38</v>
      </c>
      <c r="L661" s="2" t="s">
        <v>11</v>
      </c>
      <c r="M661" s="2" t="s">
        <v>14</v>
      </c>
      <c r="N661" s="2" t="s">
        <v>17</v>
      </c>
      <c r="O661" s="2">
        <v>1</v>
      </c>
      <c r="P661" s="2" t="s">
        <v>22</v>
      </c>
      <c r="Q661" s="2" t="s">
        <v>30</v>
      </c>
      <c r="T661" s="2" t="s">
        <v>50</v>
      </c>
      <c r="U661" s="2" t="s">
        <v>421</v>
      </c>
      <c r="X661" s="2">
        <v>21</v>
      </c>
      <c r="Y661" s="2">
        <v>23</v>
      </c>
      <c r="Z661" s="2">
        <v>19</v>
      </c>
      <c r="AA661" s="2">
        <v>23</v>
      </c>
      <c r="AH661" s="2" t="s">
        <v>1804</v>
      </c>
      <c r="AR661" s="2" t="s">
        <v>849</v>
      </c>
      <c r="AS661" s="2" t="s">
        <v>849</v>
      </c>
      <c r="AU661" s="2" t="s">
        <v>1818</v>
      </c>
      <c r="AV661" s="2" t="s">
        <v>1830</v>
      </c>
      <c r="AW661" s="2" t="s">
        <v>1831</v>
      </c>
      <c r="AX661" s="2" t="s">
        <v>1829</v>
      </c>
      <c r="AY661" s="2" t="s">
        <v>79</v>
      </c>
    </row>
    <row r="662" spans="1:51" x14ac:dyDescent="0.2">
      <c r="A662" s="2" t="s">
        <v>1978</v>
      </c>
      <c r="B662" s="2" t="s">
        <v>1979</v>
      </c>
      <c r="C662" s="2" t="s">
        <v>1980</v>
      </c>
      <c r="D662" s="2">
        <v>2022</v>
      </c>
      <c r="E662" s="2" t="s">
        <v>1981</v>
      </c>
      <c r="F662" s="2" t="s">
        <v>1982</v>
      </c>
      <c r="G662" s="2" t="s">
        <v>2006</v>
      </c>
      <c r="H662" s="2" t="s">
        <v>1996</v>
      </c>
      <c r="I662" s="2" t="s">
        <v>512</v>
      </c>
      <c r="J662" s="2" t="s">
        <v>86</v>
      </c>
      <c r="K662" s="2" t="s">
        <v>38</v>
      </c>
      <c r="L662" s="2" t="s">
        <v>11</v>
      </c>
      <c r="M662" s="2" t="s">
        <v>14</v>
      </c>
      <c r="N662" s="2" t="s">
        <v>17</v>
      </c>
      <c r="O662" s="2">
        <v>1</v>
      </c>
      <c r="P662" s="2" t="s">
        <v>22</v>
      </c>
      <c r="Q662" s="2" t="s">
        <v>21</v>
      </c>
      <c r="T662" s="2" t="s">
        <v>50</v>
      </c>
      <c r="U662" s="2" t="s">
        <v>421</v>
      </c>
      <c r="X662" s="2">
        <v>57</v>
      </c>
      <c r="Y662" s="2">
        <v>57</v>
      </c>
      <c r="AB662" s="2">
        <v>51.185150636579884</v>
      </c>
      <c r="AC662" s="2">
        <v>30.878792113969801</v>
      </c>
      <c r="AD662" s="2">
        <v>61.00669949966958</v>
      </c>
      <c r="AE662" s="2">
        <v>30.402287617769318</v>
      </c>
      <c r="AF662" s="2" t="s">
        <v>74</v>
      </c>
      <c r="AG662" s="2" t="s">
        <v>64</v>
      </c>
      <c r="AH662" s="2" t="s">
        <v>74</v>
      </c>
      <c r="AR662" s="2" t="s">
        <v>849</v>
      </c>
      <c r="AS662" s="2" t="s">
        <v>849</v>
      </c>
      <c r="AU662" s="2" t="s">
        <v>1818</v>
      </c>
      <c r="AV662" s="2" t="s">
        <v>1830</v>
      </c>
      <c r="AW662" s="2" t="s">
        <v>1831</v>
      </c>
      <c r="AX662" s="2" t="s">
        <v>1829</v>
      </c>
      <c r="AY662" s="2" t="s">
        <v>79</v>
      </c>
    </row>
    <row r="663" spans="1:51" x14ac:dyDescent="0.2">
      <c r="A663" s="2" t="s">
        <v>1978</v>
      </c>
      <c r="B663" s="2" t="s">
        <v>1979</v>
      </c>
      <c r="C663" s="2" t="s">
        <v>1980</v>
      </c>
      <c r="D663" s="2">
        <v>2022</v>
      </c>
      <c r="E663" s="2" t="s">
        <v>1981</v>
      </c>
      <c r="F663" s="2" t="s">
        <v>2000</v>
      </c>
      <c r="G663" s="2" t="s">
        <v>2006</v>
      </c>
      <c r="H663" s="2" t="s">
        <v>1997</v>
      </c>
      <c r="I663" s="2" t="s">
        <v>512</v>
      </c>
      <c r="J663" s="2" t="s">
        <v>86</v>
      </c>
      <c r="K663" s="2" t="s">
        <v>38</v>
      </c>
      <c r="L663" s="2" t="s">
        <v>11</v>
      </c>
      <c r="M663" s="2" t="s">
        <v>14</v>
      </c>
      <c r="N663" s="2" t="s">
        <v>17</v>
      </c>
      <c r="O663" s="2">
        <v>1</v>
      </c>
      <c r="P663" s="2" t="s">
        <v>22</v>
      </c>
      <c r="Q663" s="2" t="s">
        <v>30</v>
      </c>
      <c r="T663" s="2" t="s">
        <v>50</v>
      </c>
      <c r="U663" s="2" t="s">
        <v>421</v>
      </c>
      <c r="X663" s="2">
        <v>52</v>
      </c>
      <c r="Y663" s="2">
        <v>52</v>
      </c>
      <c r="Z663" s="2">
        <v>24</v>
      </c>
      <c r="AA663" s="2">
        <v>28</v>
      </c>
      <c r="AH663" s="2" t="s">
        <v>1804</v>
      </c>
      <c r="AR663" s="2" t="s">
        <v>849</v>
      </c>
      <c r="AS663" s="2" t="s">
        <v>849</v>
      </c>
      <c r="AU663" s="2" t="s">
        <v>1818</v>
      </c>
      <c r="AV663" s="2" t="s">
        <v>1830</v>
      </c>
      <c r="AW663" s="2" t="s">
        <v>1831</v>
      </c>
      <c r="AX663" s="2" t="s">
        <v>1829</v>
      </c>
      <c r="AY663" s="2" t="s">
        <v>79</v>
      </c>
    </row>
    <row r="664" spans="1:51" x14ac:dyDescent="0.2">
      <c r="A664" s="2" t="s">
        <v>1978</v>
      </c>
      <c r="B664" s="2" t="s">
        <v>1979</v>
      </c>
      <c r="C664" s="2" t="s">
        <v>1980</v>
      </c>
      <c r="D664" s="2">
        <v>2022</v>
      </c>
      <c r="E664" s="2" t="s">
        <v>1981</v>
      </c>
      <c r="F664" s="2" t="s">
        <v>2000</v>
      </c>
      <c r="G664" s="2" t="s">
        <v>2007</v>
      </c>
      <c r="H664" s="2" t="s">
        <v>1998</v>
      </c>
      <c r="I664" s="2" t="s">
        <v>512</v>
      </c>
      <c r="J664" s="2" t="s">
        <v>86</v>
      </c>
      <c r="K664" s="2" t="s">
        <v>38</v>
      </c>
      <c r="L664" s="2" t="s">
        <v>11</v>
      </c>
      <c r="M664" s="2" t="s">
        <v>14</v>
      </c>
      <c r="N664" s="2" t="s">
        <v>17</v>
      </c>
      <c r="O664" s="2">
        <v>1</v>
      </c>
      <c r="P664" s="2" t="s">
        <v>22</v>
      </c>
      <c r="Q664" s="2" t="s">
        <v>21</v>
      </c>
      <c r="T664" s="2" t="s">
        <v>50</v>
      </c>
      <c r="U664" s="2" t="s">
        <v>421</v>
      </c>
      <c r="X664" s="2">
        <v>38</v>
      </c>
      <c r="Y664" s="2">
        <v>38</v>
      </c>
      <c r="AB664" s="2">
        <v>68.045130098193425</v>
      </c>
      <c r="AC664" s="2">
        <v>65.46435982007803</v>
      </c>
      <c r="AD664" s="2">
        <v>23.954198074026369</v>
      </c>
      <c r="AE664" s="2">
        <v>22.092281700502799</v>
      </c>
      <c r="AF664" s="2" t="s">
        <v>74</v>
      </c>
      <c r="AG664" s="2" t="s">
        <v>64</v>
      </c>
      <c r="AH664" s="2" t="s">
        <v>74</v>
      </c>
      <c r="AR664" s="2" t="s">
        <v>849</v>
      </c>
      <c r="AS664" s="2" t="s">
        <v>849</v>
      </c>
      <c r="AU664" s="2" t="s">
        <v>1818</v>
      </c>
      <c r="AV664" s="2" t="s">
        <v>1830</v>
      </c>
      <c r="AW664" s="2" t="s">
        <v>1831</v>
      </c>
      <c r="AX664" s="2" t="s">
        <v>1829</v>
      </c>
      <c r="AY664" s="2" t="s">
        <v>79</v>
      </c>
    </row>
    <row r="665" spans="1:51" x14ac:dyDescent="0.2">
      <c r="A665" s="2" t="s">
        <v>1978</v>
      </c>
      <c r="B665" s="2" t="s">
        <v>1979</v>
      </c>
      <c r="C665" s="2" t="s">
        <v>1980</v>
      </c>
      <c r="D665" s="2">
        <v>2022</v>
      </c>
      <c r="E665" s="2" t="s">
        <v>1981</v>
      </c>
      <c r="F665" s="2" t="s">
        <v>2000</v>
      </c>
      <c r="G665" s="2" t="s">
        <v>2007</v>
      </c>
      <c r="H665" s="2" t="s">
        <v>1999</v>
      </c>
      <c r="I665" s="2" t="s">
        <v>512</v>
      </c>
      <c r="J665" s="2" t="s">
        <v>86</v>
      </c>
      <c r="K665" s="2" t="s">
        <v>38</v>
      </c>
      <c r="L665" s="2" t="s">
        <v>11</v>
      </c>
      <c r="M665" s="2" t="s">
        <v>14</v>
      </c>
      <c r="N665" s="2" t="s">
        <v>17</v>
      </c>
      <c r="O665" s="2">
        <v>1</v>
      </c>
      <c r="P665" s="2" t="s">
        <v>22</v>
      </c>
      <c r="Q665" s="2" t="s">
        <v>30</v>
      </c>
      <c r="T665" s="2" t="s">
        <v>50</v>
      </c>
      <c r="U665" s="2" t="s">
        <v>421</v>
      </c>
      <c r="X665" s="2">
        <v>38</v>
      </c>
      <c r="Y665" s="2">
        <v>38</v>
      </c>
      <c r="Z665" s="2">
        <v>22</v>
      </c>
      <c r="AA665" s="2">
        <v>16</v>
      </c>
      <c r="AH665" s="2" t="s">
        <v>1804</v>
      </c>
      <c r="AR665" s="2" t="s">
        <v>849</v>
      </c>
      <c r="AS665" s="2" t="s">
        <v>849</v>
      </c>
      <c r="AU665" s="2" t="s">
        <v>1818</v>
      </c>
      <c r="AV665" s="2" t="s">
        <v>1830</v>
      </c>
      <c r="AW665" s="2" t="s">
        <v>1831</v>
      </c>
      <c r="AX665" s="2" t="s">
        <v>1829</v>
      </c>
      <c r="AY665" s="2" t="s">
        <v>79</v>
      </c>
    </row>
    <row r="666" spans="1:51" x14ac:dyDescent="0.2">
      <c r="A666" s="2" t="s">
        <v>2015</v>
      </c>
      <c r="B666" s="2" t="s">
        <v>2016</v>
      </c>
      <c r="C666" s="2" t="s">
        <v>2009</v>
      </c>
      <c r="D666" s="2">
        <v>2023</v>
      </c>
      <c r="E666" s="2" t="s">
        <v>2010</v>
      </c>
      <c r="F666" s="2" t="s">
        <v>2011</v>
      </c>
      <c r="G666" s="2" t="s">
        <v>2012</v>
      </c>
      <c r="H666" s="2" t="s">
        <v>2013</v>
      </c>
      <c r="I666" s="2" t="s">
        <v>2279</v>
      </c>
      <c r="J666" s="2" t="s">
        <v>2008</v>
      </c>
      <c r="K666" s="2" t="s">
        <v>37</v>
      </c>
      <c r="P666" s="2" t="s">
        <v>23</v>
      </c>
      <c r="Q666" s="2" t="s">
        <v>81</v>
      </c>
      <c r="R666" s="2" t="s">
        <v>40</v>
      </c>
      <c r="S666" s="2" t="s">
        <v>42</v>
      </c>
      <c r="T666" s="2" t="s">
        <v>50</v>
      </c>
      <c r="U666" s="2" t="s">
        <v>421</v>
      </c>
      <c r="AH666" s="2" t="s">
        <v>4</v>
      </c>
      <c r="AN666" s="2">
        <v>20</v>
      </c>
      <c r="AO666" s="2">
        <v>6.1869384210338788E-2</v>
      </c>
      <c r="AR666" s="2" t="s">
        <v>849</v>
      </c>
      <c r="AS666" s="2" t="s">
        <v>849</v>
      </c>
      <c r="AU666" s="2" t="s">
        <v>1818</v>
      </c>
      <c r="AW666" s="2" t="s">
        <v>2280</v>
      </c>
      <c r="AX666" s="2" t="s">
        <v>1821</v>
      </c>
      <c r="AY666" s="2" t="s">
        <v>1824</v>
      </c>
    </row>
    <row r="667" spans="1:51" x14ac:dyDescent="0.2">
      <c r="A667" s="2" t="s">
        <v>2015</v>
      </c>
      <c r="B667" s="2" t="s">
        <v>2016</v>
      </c>
      <c r="C667" s="2" t="s">
        <v>2009</v>
      </c>
      <c r="D667" s="2">
        <v>2023</v>
      </c>
      <c r="E667" s="2" t="s">
        <v>2010</v>
      </c>
      <c r="F667" s="2" t="s">
        <v>2011</v>
      </c>
      <c r="G667" s="2" t="s">
        <v>2012</v>
      </c>
      <c r="H667" s="2" t="s">
        <v>2014</v>
      </c>
      <c r="I667" s="2" t="s">
        <v>2279</v>
      </c>
      <c r="J667" s="2" t="s">
        <v>2008</v>
      </c>
      <c r="K667" s="2" t="s">
        <v>37</v>
      </c>
      <c r="P667" s="2" t="s">
        <v>23</v>
      </c>
      <c r="Q667" s="2" t="s">
        <v>81</v>
      </c>
      <c r="R667" s="2" t="s">
        <v>40</v>
      </c>
      <c r="S667" s="2" t="s">
        <v>2017</v>
      </c>
      <c r="T667" s="2" t="s">
        <v>50</v>
      </c>
      <c r="U667" s="2" t="s">
        <v>421</v>
      </c>
      <c r="AH667" s="2" t="s">
        <v>4</v>
      </c>
      <c r="AN667" s="2">
        <v>20</v>
      </c>
      <c r="AO667" s="2">
        <v>-2.6875323232318844E-2</v>
      </c>
      <c r="AR667" s="2" t="s">
        <v>849</v>
      </c>
      <c r="AS667" s="2" t="s">
        <v>849</v>
      </c>
      <c r="AU667" s="2" t="s">
        <v>1818</v>
      </c>
      <c r="AW667" s="2" t="s">
        <v>2280</v>
      </c>
      <c r="AX667" s="2" t="s">
        <v>1821</v>
      </c>
      <c r="AY667" s="2" t="s">
        <v>1824</v>
      </c>
    </row>
    <row r="668" spans="1:51" x14ac:dyDescent="0.2">
      <c r="A668" s="2" t="s">
        <v>2018</v>
      </c>
      <c r="B668" s="2" t="s">
        <v>1190</v>
      </c>
      <c r="C668" s="2" t="s">
        <v>2019</v>
      </c>
      <c r="D668" s="2">
        <v>2023</v>
      </c>
      <c r="E668" s="2" t="s">
        <v>2020</v>
      </c>
      <c r="F668" s="2" t="s">
        <v>2021</v>
      </c>
      <c r="G668" s="2" t="s">
        <v>2022</v>
      </c>
      <c r="H668" s="2" t="s">
        <v>2023</v>
      </c>
      <c r="I668" s="2" t="s">
        <v>2024</v>
      </c>
      <c r="J668" s="2" t="s">
        <v>34</v>
      </c>
      <c r="K668" s="2" t="s">
        <v>37</v>
      </c>
      <c r="P668" s="2" t="s">
        <v>23</v>
      </c>
      <c r="Q668" s="2" t="s">
        <v>81</v>
      </c>
      <c r="R668" s="2" t="s">
        <v>41</v>
      </c>
      <c r="S668" s="2" t="s">
        <v>46</v>
      </c>
      <c r="T668" s="2" t="s">
        <v>50</v>
      </c>
      <c r="U668" s="2" t="s">
        <v>147</v>
      </c>
      <c r="V668" s="2">
        <v>841</v>
      </c>
      <c r="W668" s="2">
        <v>2</v>
      </c>
      <c r="AH668" s="2" t="s">
        <v>4</v>
      </c>
      <c r="AN668" s="2">
        <v>177</v>
      </c>
      <c r="AO668" s="2">
        <v>-0.1</v>
      </c>
      <c r="AR668" s="2" t="s">
        <v>849</v>
      </c>
      <c r="AS668" s="2" t="s">
        <v>849</v>
      </c>
      <c r="AU668" s="2" t="s">
        <v>1818</v>
      </c>
      <c r="AV668" s="2" t="s">
        <v>1819</v>
      </c>
      <c r="AW668" s="2" t="s">
        <v>2281</v>
      </c>
      <c r="AX668" s="2" t="s">
        <v>1821</v>
      </c>
      <c r="AY668" s="2" t="s">
        <v>79</v>
      </c>
    </row>
    <row r="669" spans="1:51" x14ac:dyDescent="0.2">
      <c r="A669" s="2" t="s">
        <v>2018</v>
      </c>
      <c r="B669" s="2" t="s">
        <v>1190</v>
      </c>
      <c r="C669" s="2" t="s">
        <v>2019</v>
      </c>
      <c r="D669" s="2">
        <v>2023</v>
      </c>
      <c r="E669" s="2" t="s">
        <v>2020</v>
      </c>
      <c r="F669" s="2" t="s">
        <v>2021</v>
      </c>
      <c r="G669" s="2" t="s">
        <v>2022</v>
      </c>
      <c r="H669" s="2" t="s">
        <v>2026</v>
      </c>
      <c r="I669" s="2" t="s">
        <v>2024</v>
      </c>
      <c r="J669" s="2" t="s">
        <v>34</v>
      </c>
      <c r="K669" s="2" t="s">
        <v>37</v>
      </c>
      <c r="P669" s="2" t="s">
        <v>22</v>
      </c>
      <c r="Q669" s="2" t="s">
        <v>1832</v>
      </c>
      <c r="R669" s="2" t="s">
        <v>41</v>
      </c>
      <c r="S669" s="2" t="s">
        <v>46</v>
      </c>
      <c r="T669" s="2" t="s">
        <v>50</v>
      </c>
      <c r="U669" s="2" t="s">
        <v>147</v>
      </c>
      <c r="V669" s="2">
        <v>841</v>
      </c>
      <c r="W669" s="2">
        <v>2</v>
      </c>
      <c r="AH669" s="2" t="s">
        <v>4</v>
      </c>
      <c r="AN669" s="2">
        <v>177</v>
      </c>
      <c r="AO669" s="2">
        <v>0.14000000000000001</v>
      </c>
      <c r="AR669" s="2" t="s">
        <v>849</v>
      </c>
      <c r="AS669" s="2" t="s">
        <v>849</v>
      </c>
      <c r="AU669" s="2" t="s">
        <v>1818</v>
      </c>
      <c r="AV669" s="2" t="s">
        <v>1819</v>
      </c>
      <c r="AW669" s="2" t="s">
        <v>2281</v>
      </c>
      <c r="AX669" s="2" t="s">
        <v>1821</v>
      </c>
      <c r="AY669" s="2" t="s">
        <v>79</v>
      </c>
    </row>
    <row r="670" spans="1:51" x14ac:dyDescent="0.2">
      <c r="A670" s="2" t="s">
        <v>2018</v>
      </c>
      <c r="B670" s="2" t="s">
        <v>1190</v>
      </c>
      <c r="C670" s="2" t="s">
        <v>2019</v>
      </c>
      <c r="D670" s="2">
        <v>2023</v>
      </c>
      <c r="E670" s="2" t="s">
        <v>2020</v>
      </c>
      <c r="F670" s="2" t="s">
        <v>2021</v>
      </c>
      <c r="G670" s="2" t="s">
        <v>2022</v>
      </c>
      <c r="H670" s="2" t="s">
        <v>2027</v>
      </c>
      <c r="I670" s="2" t="s">
        <v>2024</v>
      </c>
      <c r="J670" s="2" t="s">
        <v>34</v>
      </c>
      <c r="K670" s="2" t="s">
        <v>37</v>
      </c>
      <c r="P670" s="2" t="s">
        <v>22</v>
      </c>
      <c r="Q670" s="2" t="s">
        <v>2025</v>
      </c>
      <c r="R670" s="2" t="s">
        <v>41</v>
      </c>
      <c r="S670" s="2" t="s">
        <v>46</v>
      </c>
      <c r="T670" s="2" t="s">
        <v>50</v>
      </c>
      <c r="U670" s="2" t="s">
        <v>147</v>
      </c>
      <c r="V670" s="2">
        <v>841</v>
      </c>
      <c r="W670" s="2">
        <v>2</v>
      </c>
      <c r="AH670" s="2" t="s">
        <v>4</v>
      </c>
      <c r="AN670" s="2">
        <v>177</v>
      </c>
      <c r="AO670" s="2">
        <v>0.02</v>
      </c>
      <c r="AR670" s="2" t="s">
        <v>849</v>
      </c>
      <c r="AS670" s="2" t="s">
        <v>849</v>
      </c>
      <c r="AU670" s="2" t="s">
        <v>1818</v>
      </c>
      <c r="AV670" s="2" t="s">
        <v>1819</v>
      </c>
      <c r="AW670" s="2" t="s">
        <v>2281</v>
      </c>
      <c r="AX670" s="2" t="s">
        <v>1821</v>
      </c>
      <c r="AY670" s="2" t="s">
        <v>79</v>
      </c>
    </row>
    <row r="671" spans="1:51" x14ac:dyDescent="0.2">
      <c r="A671" s="2" t="s">
        <v>2028</v>
      </c>
      <c r="B671" s="2" t="s">
        <v>1190</v>
      </c>
      <c r="C671" s="2" t="s">
        <v>2029</v>
      </c>
      <c r="D671" s="2">
        <v>2020</v>
      </c>
      <c r="E671" s="2" t="s">
        <v>2030</v>
      </c>
      <c r="F671" s="2" t="s">
        <v>2031</v>
      </c>
      <c r="G671" s="2" t="s">
        <v>2032</v>
      </c>
      <c r="H671" s="2" t="s">
        <v>2033</v>
      </c>
      <c r="I671" s="2" t="s">
        <v>2024</v>
      </c>
      <c r="J671" s="2" t="s">
        <v>34</v>
      </c>
      <c r="K671" s="2" t="s">
        <v>37</v>
      </c>
      <c r="P671" s="2" t="s">
        <v>22</v>
      </c>
      <c r="Q671" s="2" t="s">
        <v>1839</v>
      </c>
      <c r="R671" s="2" t="s">
        <v>41</v>
      </c>
      <c r="S671" s="2" t="s">
        <v>44</v>
      </c>
      <c r="T671" s="2" t="s">
        <v>50</v>
      </c>
      <c r="U671" s="2" t="s">
        <v>421</v>
      </c>
      <c r="X671" s="2">
        <v>84</v>
      </c>
      <c r="Y671" s="2">
        <v>95</v>
      </c>
      <c r="AB671" s="2">
        <v>5.9016455696202517</v>
      </c>
      <c r="AC671" s="2">
        <v>12.329780856744078</v>
      </c>
      <c r="AD671" s="2">
        <v>5.7346067415730326</v>
      </c>
      <c r="AE671" s="2">
        <v>11.925966518501074</v>
      </c>
      <c r="AF671" s="2" t="s">
        <v>74</v>
      </c>
      <c r="AG671" s="2" t="s">
        <v>64</v>
      </c>
      <c r="AH671" s="2" t="s">
        <v>74</v>
      </c>
      <c r="AR671" s="2" t="s">
        <v>222</v>
      </c>
      <c r="AS671" s="2" t="s">
        <v>222</v>
      </c>
      <c r="AU671" s="2" t="s">
        <v>1818</v>
      </c>
      <c r="AV671" s="2" t="s">
        <v>1819</v>
      </c>
      <c r="AW671" s="2" t="s">
        <v>2281</v>
      </c>
      <c r="AX671" s="2" t="s">
        <v>1821</v>
      </c>
      <c r="AY671" s="2" t="s">
        <v>79</v>
      </c>
    </row>
    <row r="672" spans="1:51" x14ac:dyDescent="0.2">
      <c r="A672" s="2" t="s">
        <v>2028</v>
      </c>
      <c r="B672" s="2" t="s">
        <v>1190</v>
      </c>
      <c r="C672" s="2" t="s">
        <v>2029</v>
      </c>
      <c r="D672" s="2">
        <v>2020</v>
      </c>
      <c r="E672" s="2" t="s">
        <v>2030</v>
      </c>
      <c r="F672" s="2" t="s">
        <v>2031</v>
      </c>
      <c r="G672" s="2" t="s">
        <v>2037</v>
      </c>
      <c r="H672" s="2" t="s">
        <v>2036</v>
      </c>
      <c r="I672" s="2" t="s">
        <v>2024</v>
      </c>
      <c r="J672" s="2" t="s">
        <v>34</v>
      </c>
      <c r="K672" s="2" t="s">
        <v>37</v>
      </c>
      <c r="P672" s="2" t="s">
        <v>22</v>
      </c>
      <c r="Q672" s="2" t="s">
        <v>1839</v>
      </c>
      <c r="R672" s="2" t="s">
        <v>41</v>
      </c>
      <c r="S672" s="2" t="s">
        <v>2035</v>
      </c>
      <c r="T672" s="2" t="s">
        <v>50</v>
      </c>
      <c r="U672" s="2" t="s">
        <v>421</v>
      </c>
      <c r="AH672" s="2" t="s">
        <v>4</v>
      </c>
      <c r="AN672" s="2">
        <v>90</v>
      </c>
      <c r="AO672" s="2">
        <v>9.1795600000000005E-2</v>
      </c>
      <c r="AR672" s="2" t="s">
        <v>849</v>
      </c>
      <c r="AS672" s="2" t="s">
        <v>222</v>
      </c>
      <c r="AU672" s="2" t="s">
        <v>1818</v>
      </c>
      <c r="AV672" s="2" t="s">
        <v>1819</v>
      </c>
      <c r="AW672" s="2" t="s">
        <v>2281</v>
      </c>
      <c r="AX672" s="2" t="s">
        <v>1821</v>
      </c>
      <c r="AY672" s="2" t="s">
        <v>79</v>
      </c>
    </row>
    <row r="673" spans="1:51" x14ac:dyDescent="0.2">
      <c r="A673" s="2" t="s">
        <v>2040</v>
      </c>
      <c r="B673" s="2" t="s">
        <v>2041</v>
      </c>
      <c r="C673" s="2" t="s">
        <v>2042</v>
      </c>
      <c r="D673" s="2">
        <v>2023</v>
      </c>
      <c r="E673" s="2" t="s">
        <v>2043</v>
      </c>
      <c r="F673" s="2" t="s">
        <v>2044</v>
      </c>
      <c r="G673" s="2" t="s">
        <v>2045</v>
      </c>
      <c r="H673" s="2" t="s">
        <v>2046</v>
      </c>
      <c r="I673" s="2" t="s">
        <v>2047</v>
      </c>
      <c r="J673" s="2" t="s">
        <v>2048</v>
      </c>
      <c r="K673" s="2" t="s">
        <v>37</v>
      </c>
      <c r="P673" s="2" t="s">
        <v>23</v>
      </c>
      <c r="Q673" s="2" t="s">
        <v>21</v>
      </c>
      <c r="R673" s="2" t="s">
        <v>41</v>
      </c>
      <c r="S673" s="2" t="s">
        <v>47</v>
      </c>
      <c r="T673" s="2" t="s">
        <v>50</v>
      </c>
      <c r="U673" s="2" t="s">
        <v>147</v>
      </c>
      <c r="V673" s="2">
        <v>4</v>
      </c>
      <c r="W673" s="2">
        <v>2</v>
      </c>
      <c r="X673" s="2">
        <v>10</v>
      </c>
      <c r="Y673" s="2">
        <v>10</v>
      </c>
      <c r="AB673" s="2">
        <v>0.31</v>
      </c>
      <c r="AC673" s="2">
        <v>0.02</v>
      </c>
      <c r="AD673" s="2">
        <v>0.18</v>
      </c>
      <c r="AE673" s="2">
        <v>0.05</v>
      </c>
      <c r="AF673" s="2" t="s">
        <v>74</v>
      </c>
      <c r="AG673" s="2" t="s">
        <v>65</v>
      </c>
      <c r="AH673" s="2" t="s">
        <v>74</v>
      </c>
      <c r="AR673" s="2" t="s">
        <v>849</v>
      </c>
      <c r="AS673" s="2" t="s">
        <v>849</v>
      </c>
      <c r="AU673" s="2" t="s">
        <v>1825</v>
      </c>
      <c r="AV673" s="2" t="s">
        <v>1819</v>
      </c>
      <c r="AW673" s="2" t="s">
        <v>1832</v>
      </c>
      <c r="AY673" s="2" t="s">
        <v>1828</v>
      </c>
    </row>
    <row r="674" spans="1:51" x14ac:dyDescent="0.2">
      <c r="A674" s="2" t="s">
        <v>2040</v>
      </c>
      <c r="B674" s="2" t="s">
        <v>2041</v>
      </c>
      <c r="C674" s="2" t="s">
        <v>2042</v>
      </c>
      <c r="D674" s="2">
        <v>2023</v>
      </c>
      <c r="E674" s="2" t="s">
        <v>2043</v>
      </c>
      <c r="F674" s="2" t="s">
        <v>2044</v>
      </c>
      <c r="G674" s="2" t="s">
        <v>2045</v>
      </c>
      <c r="H674" s="2" t="s">
        <v>2049</v>
      </c>
      <c r="I674" s="2" t="s">
        <v>2047</v>
      </c>
      <c r="J674" s="2" t="s">
        <v>2048</v>
      </c>
      <c r="K674" s="2" t="s">
        <v>37</v>
      </c>
      <c r="P674" s="2" t="s">
        <v>23</v>
      </c>
      <c r="Q674" s="2" t="s">
        <v>21</v>
      </c>
      <c r="R674" s="2" t="s">
        <v>41</v>
      </c>
      <c r="S674" s="2" t="s">
        <v>47</v>
      </c>
      <c r="T674" s="2" t="s">
        <v>50</v>
      </c>
      <c r="U674" s="2" t="s">
        <v>147</v>
      </c>
      <c r="V674" s="2">
        <v>4</v>
      </c>
      <c r="W674" s="2">
        <v>2</v>
      </c>
      <c r="X674" s="2">
        <v>10</v>
      </c>
      <c r="Y674" s="2">
        <v>10</v>
      </c>
      <c r="AB674" s="2">
        <v>2.0499999999999998</v>
      </c>
      <c r="AC674" s="2">
        <v>7.0000000000000007E-2</v>
      </c>
      <c r="AD674" s="2">
        <v>1.58</v>
      </c>
      <c r="AE674" s="2">
        <v>0.36</v>
      </c>
      <c r="AF674" s="2" t="s">
        <v>74</v>
      </c>
      <c r="AG674" s="2" t="s">
        <v>65</v>
      </c>
      <c r="AH674" s="2" t="s">
        <v>74</v>
      </c>
      <c r="AR674" s="2" t="s">
        <v>849</v>
      </c>
      <c r="AS674" s="2" t="s">
        <v>849</v>
      </c>
      <c r="AU674" s="2" t="s">
        <v>1825</v>
      </c>
      <c r="AV674" s="2" t="s">
        <v>1819</v>
      </c>
      <c r="AW674" s="2" t="s">
        <v>1832</v>
      </c>
      <c r="AY674" s="2" t="s">
        <v>1828</v>
      </c>
    </row>
    <row r="675" spans="1:51" x14ac:dyDescent="0.2">
      <c r="A675" s="2" t="s">
        <v>2050</v>
      </c>
      <c r="B675" s="2" t="s">
        <v>2051</v>
      </c>
      <c r="C675" s="2" t="s">
        <v>2052</v>
      </c>
      <c r="D675" s="2">
        <v>2022</v>
      </c>
      <c r="E675" s="2" t="s">
        <v>2053</v>
      </c>
      <c r="F675" s="2" t="s">
        <v>2054</v>
      </c>
      <c r="G675" s="2" t="s">
        <v>2055</v>
      </c>
      <c r="H675" s="2" t="s">
        <v>2056</v>
      </c>
      <c r="I675" s="2" t="s">
        <v>2057</v>
      </c>
      <c r="J675" s="2" t="s">
        <v>536</v>
      </c>
      <c r="K675" s="2" t="s">
        <v>38</v>
      </c>
      <c r="L675" s="2" t="s">
        <v>11</v>
      </c>
      <c r="M675" s="2" t="s">
        <v>14</v>
      </c>
      <c r="N675" s="2" t="s">
        <v>20</v>
      </c>
      <c r="O675" s="2">
        <v>0</v>
      </c>
      <c r="P675" s="2" t="s">
        <v>22</v>
      </c>
      <c r="Q675" s="2" t="s">
        <v>21</v>
      </c>
      <c r="T675" s="2" t="s">
        <v>50</v>
      </c>
      <c r="U675" s="2" t="s">
        <v>147</v>
      </c>
      <c r="V675" s="2">
        <v>5</v>
      </c>
      <c r="W675" s="2">
        <v>2</v>
      </c>
      <c r="X675" s="2">
        <v>26</v>
      </c>
      <c r="Y675" s="2">
        <v>27</v>
      </c>
      <c r="AB675" s="2">
        <v>5.27</v>
      </c>
      <c r="AC675" s="2">
        <v>0.04</v>
      </c>
      <c r="AD675" s="2">
        <v>5.23</v>
      </c>
      <c r="AE675" s="2">
        <v>0.04</v>
      </c>
      <c r="AF675" s="2" t="s">
        <v>74</v>
      </c>
      <c r="AG675" s="2" t="s">
        <v>65</v>
      </c>
      <c r="AH675" s="2" t="s">
        <v>74</v>
      </c>
      <c r="AR675" s="2" t="s">
        <v>849</v>
      </c>
      <c r="AS675" s="2" t="s">
        <v>849</v>
      </c>
      <c r="AU675" s="2" t="s">
        <v>1825</v>
      </c>
      <c r="AV675" s="2" t="s">
        <v>1822</v>
      </c>
      <c r="AW675" s="2" t="s">
        <v>1837</v>
      </c>
      <c r="AX675" s="2" t="s">
        <v>1821</v>
      </c>
      <c r="AY675" s="2" t="s">
        <v>79</v>
      </c>
    </row>
    <row r="676" spans="1:51" x14ac:dyDescent="0.2">
      <c r="A676" s="2" t="s">
        <v>2050</v>
      </c>
      <c r="B676" s="2" t="s">
        <v>2051</v>
      </c>
      <c r="C676" s="2" t="s">
        <v>2052</v>
      </c>
      <c r="D676" s="2">
        <v>2022</v>
      </c>
      <c r="E676" s="2" t="s">
        <v>2053</v>
      </c>
      <c r="F676" s="2" t="s">
        <v>2054</v>
      </c>
      <c r="G676" s="2" t="s">
        <v>2055</v>
      </c>
      <c r="H676" s="2" t="s">
        <v>2058</v>
      </c>
      <c r="I676" s="2" t="s">
        <v>2057</v>
      </c>
      <c r="J676" s="2" t="s">
        <v>536</v>
      </c>
      <c r="K676" s="2" t="s">
        <v>38</v>
      </c>
      <c r="L676" s="2" t="s">
        <v>11</v>
      </c>
      <c r="M676" s="2" t="s">
        <v>14</v>
      </c>
      <c r="N676" s="2" t="s">
        <v>20</v>
      </c>
      <c r="O676" s="2">
        <v>0</v>
      </c>
      <c r="P676" s="2" t="s">
        <v>22</v>
      </c>
      <c r="Q676" s="2" t="s">
        <v>21</v>
      </c>
      <c r="T676" s="2" t="s">
        <v>50</v>
      </c>
      <c r="U676" s="2" t="s">
        <v>147</v>
      </c>
      <c r="V676" s="2">
        <v>5</v>
      </c>
      <c r="W676" s="2">
        <v>2</v>
      </c>
      <c r="X676" s="2">
        <v>26</v>
      </c>
      <c r="Y676" s="2">
        <v>23</v>
      </c>
      <c r="AB676" s="2">
        <v>5.27</v>
      </c>
      <c r="AC676" s="2">
        <v>0.04</v>
      </c>
      <c r="AD676" s="2">
        <v>5.33</v>
      </c>
      <c r="AE676" s="2">
        <v>0.05</v>
      </c>
      <c r="AF676" s="2" t="s">
        <v>74</v>
      </c>
      <c r="AG676" s="2" t="s">
        <v>65</v>
      </c>
      <c r="AH676" s="2" t="s">
        <v>74</v>
      </c>
      <c r="AR676" s="2" t="s">
        <v>849</v>
      </c>
      <c r="AS676" s="2" t="s">
        <v>849</v>
      </c>
      <c r="AU676" s="2" t="s">
        <v>1825</v>
      </c>
      <c r="AV676" s="2" t="s">
        <v>1822</v>
      </c>
      <c r="AW676" s="2" t="s">
        <v>1837</v>
      </c>
      <c r="AX676" s="2" t="s">
        <v>1821</v>
      </c>
      <c r="AY676" s="2" t="s">
        <v>79</v>
      </c>
    </row>
    <row r="677" spans="1:51" x14ac:dyDescent="0.2">
      <c r="A677" s="2" t="s">
        <v>2050</v>
      </c>
      <c r="B677" s="2" t="s">
        <v>2051</v>
      </c>
      <c r="C677" s="2" t="s">
        <v>2052</v>
      </c>
      <c r="D677" s="2">
        <v>2022</v>
      </c>
      <c r="E677" s="2" t="s">
        <v>2053</v>
      </c>
      <c r="F677" s="2" t="s">
        <v>2054</v>
      </c>
      <c r="G677" s="2" t="s">
        <v>2055</v>
      </c>
      <c r="H677" s="2" t="s">
        <v>2059</v>
      </c>
      <c r="I677" s="2" t="s">
        <v>2057</v>
      </c>
      <c r="J677" s="2" t="s">
        <v>536</v>
      </c>
      <c r="K677" s="2" t="s">
        <v>38</v>
      </c>
      <c r="L677" s="2" t="s">
        <v>11</v>
      </c>
      <c r="M677" s="2" t="s">
        <v>14</v>
      </c>
      <c r="N677" s="2" t="s">
        <v>20</v>
      </c>
      <c r="O677" s="2">
        <v>0</v>
      </c>
      <c r="P677" s="2" t="s">
        <v>22</v>
      </c>
      <c r="Q677" s="2" t="s">
        <v>21</v>
      </c>
      <c r="T677" s="2" t="s">
        <v>50</v>
      </c>
      <c r="U677" s="2" t="s">
        <v>147</v>
      </c>
      <c r="V677" s="2">
        <v>5</v>
      </c>
      <c r="W677" s="2">
        <v>2</v>
      </c>
      <c r="X677" s="2">
        <v>26</v>
      </c>
      <c r="Y677" s="2">
        <v>27</v>
      </c>
      <c r="AB677" s="2">
        <v>49.61</v>
      </c>
      <c r="AC677" s="2">
        <v>0.5</v>
      </c>
      <c r="AD677" s="2">
        <v>49.11</v>
      </c>
      <c r="AE677" s="2">
        <v>0.28999999999999998</v>
      </c>
      <c r="AF677" s="2" t="s">
        <v>74</v>
      </c>
      <c r="AG677" s="2" t="s">
        <v>65</v>
      </c>
      <c r="AH677" s="2" t="s">
        <v>74</v>
      </c>
      <c r="AR677" s="2" t="s">
        <v>849</v>
      </c>
      <c r="AS677" s="2" t="s">
        <v>849</v>
      </c>
      <c r="AU677" s="2" t="s">
        <v>1825</v>
      </c>
      <c r="AV677" s="2" t="s">
        <v>1822</v>
      </c>
      <c r="AW677" s="2" t="s">
        <v>1837</v>
      </c>
      <c r="AX677" s="2" t="s">
        <v>1821</v>
      </c>
      <c r="AY677" s="2" t="s">
        <v>79</v>
      </c>
    </row>
    <row r="678" spans="1:51" x14ac:dyDescent="0.2">
      <c r="A678" s="2" t="s">
        <v>2050</v>
      </c>
      <c r="B678" s="2" t="s">
        <v>2051</v>
      </c>
      <c r="C678" s="2" t="s">
        <v>2052</v>
      </c>
      <c r="D678" s="2">
        <v>2022</v>
      </c>
      <c r="E678" s="2" t="s">
        <v>2053</v>
      </c>
      <c r="F678" s="2" t="s">
        <v>2054</v>
      </c>
      <c r="G678" s="2" t="s">
        <v>2055</v>
      </c>
      <c r="H678" s="2" t="s">
        <v>2060</v>
      </c>
      <c r="I678" s="2" t="s">
        <v>2057</v>
      </c>
      <c r="J678" s="2" t="s">
        <v>536</v>
      </c>
      <c r="K678" s="2" t="s">
        <v>38</v>
      </c>
      <c r="L678" s="2" t="s">
        <v>11</v>
      </c>
      <c r="M678" s="2" t="s">
        <v>14</v>
      </c>
      <c r="N678" s="2" t="s">
        <v>20</v>
      </c>
      <c r="O678" s="2">
        <v>0</v>
      </c>
      <c r="P678" s="2" t="s">
        <v>22</v>
      </c>
      <c r="Q678" s="2" t="s">
        <v>21</v>
      </c>
      <c r="T678" s="2" t="s">
        <v>50</v>
      </c>
      <c r="U678" s="2" t="s">
        <v>147</v>
      </c>
      <c r="V678" s="2">
        <v>5</v>
      </c>
      <c r="W678" s="2">
        <v>2</v>
      </c>
      <c r="X678" s="2">
        <v>26</v>
      </c>
      <c r="Y678" s="2">
        <v>23</v>
      </c>
      <c r="AB678" s="2">
        <v>49.61</v>
      </c>
      <c r="AC678" s="2">
        <v>0.5</v>
      </c>
      <c r="AD678" s="2">
        <v>49.57</v>
      </c>
      <c r="AE678" s="2">
        <v>0.54</v>
      </c>
      <c r="AF678" s="2" t="s">
        <v>74</v>
      </c>
      <c r="AG678" s="2" t="s">
        <v>65</v>
      </c>
      <c r="AH678" s="2" t="s">
        <v>74</v>
      </c>
      <c r="AR678" s="2" t="s">
        <v>849</v>
      </c>
      <c r="AS678" s="2" t="s">
        <v>849</v>
      </c>
      <c r="AU678" s="2" t="s">
        <v>1825</v>
      </c>
      <c r="AV678" s="2" t="s">
        <v>1822</v>
      </c>
      <c r="AW678" s="2" t="s">
        <v>1837</v>
      </c>
      <c r="AX678" s="2" t="s">
        <v>1821</v>
      </c>
      <c r="AY678" s="2" t="s">
        <v>79</v>
      </c>
    </row>
    <row r="679" spans="1:51" x14ac:dyDescent="0.2">
      <c r="A679" s="2" t="s">
        <v>2050</v>
      </c>
      <c r="B679" s="2" t="s">
        <v>2051</v>
      </c>
      <c r="C679" s="2" t="s">
        <v>2052</v>
      </c>
      <c r="D679" s="2">
        <v>2022</v>
      </c>
      <c r="E679" s="2" t="s">
        <v>2053</v>
      </c>
      <c r="F679" s="2" t="s">
        <v>2054</v>
      </c>
      <c r="G679" s="2" t="s">
        <v>2055</v>
      </c>
      <c r="H679" s="2" t="s">
        <v>2061</v>
      </c>
      <c r="I679" s="2" t="s">
        <v>2057</v>
      </c>
      <c r="J679" s="2" t="s">
        <v>536</v>
      </c>
      <c r="K679" s="2" t="s">
        <v>38</v>
      </c>
      <c r="L679" s="2" t="s">
        <v>11</v>
      </c>
      <c r="M679" s="2" t="s">
        <v>14</v>
      </c>
      <c r="N679" s="2" t="s">
        <v>20</v>
      </c>
      <c r="O679" s="2">
        <v>0</v>
      </c>
      <c r="P679" s="2" t="s">
        <v>22</v>
      </c>
      <c r="Q679" s="2" t="s">
        <v>21</v>
      </c>
      <c r="T679" s="2" t="s">
        <v>50</v>
      </c>
      <c r="U679" s="2" t="s">
        <v>147</v>
      </c>
      <c r="V679" s="2">
        <v>5</v>
      </c>
      <c r="W679" s="2">
        <v>2</v>
      </c>
      <c r="X679" s="2">
        <v>26</v>
      </c>
      <c r="Y679" s="2">
        <v>27</v>
      </c>
      <c r="AB679" s="2">
        <v>5.29</v>
      </c>
      <c r="AC679" s="2">
        <v>0.09</v>
      </c>
      <c r="AD679" s="2">
        <v>5.01</v>
      </c>
      <c r="AE679" s="2">
        <v>0.12</v>
      </c>
      <c r="AF679" s="2" t="s">
        <v>74</v>
      </c>
      <c r="AG679" s="2" t="s">
        <v>65</v>
      </c>
      <c r="AH679" s="2" t="s">
        <v>74</v>
      </c>
      <c r="AR679" s="2" t="s">
        <v>849</v>
      </c>
      <c r="AS679" s="2" t="s">
        <v>849</v>
      </c>
      <c r="AU679" s="2" t="s">
        <v>1825</v>
      </c>
      <c r="AV679" s="2" t="s">
        <v>1822</v>
      </c>
      <c r="AW679" s="2" t="s">
        <v>1837</v>
      </c>
      <c r="AX679" s="2" t="s">
        <v>1821</v>
      </c>
      <c r="AY679" s="2" t="s">
        <v>79</v>
      </c>
    </row>
    <row r="680" spans="1:51" x14ac:dyDescent="0.2">
      <c r="A680" s="2" t="s">
        <v>2050</v>
      </c>
      <c r="B680" s="2" t="s">
        <v>2051</v>
      </c>
      <c r="C680" s="2" t="s">
        <v>2052</v>
      </c>
      <c r="D680" s="2">
        <v>2022</v>
      </c>
      <c r="E680" s="2" t="s">
        <v>2053</v>
      </c>
      <c r="F680" s="2" t="s">
        <v>2054</v>
      </c>
      <c r="G680" s="2" t="s">
        <v>2055</v>
      </c>
      <c r="H680" s="2" t="s">
        <v>2062</v>
      </c>
      <c r="I680" s="2" t="s">
        <v>2057</v>
      </c>
      <c r="J680" s="2" t="s">
        <v>536</v>
      </c>
      <c r="K680" s="2" t="s">
        <v>38</v>
      </c>
      <c r="L680" s="2" t="s">
        <v>11</v>
      </c>
      <c r="M680" s="2" t="s">
        <v>14</v>
      </c>
      <c r="N680" s="2" t="s">
        <v>20</v>
      </c>
      <c r="O680" s="2">
        <v>0</v>
      </c>
      <c r="P680" s="2" t="s">
        <v>22</v>
      </c>
      <c r="Q680" s="2" t="s">
        <v>21</v>
      </c>
      <c r="T680" s="2" t="s">
        <v>50</v>
      </c>
      <c r="U680" s="2" t="s">
        <v>147</v>
      </c>
      <c r="V680" s="2">
        <v>5</v>
      </c>
      <c r="W680" s="2">
        <v>2</v>
      </c>
      <c r="X680" s="2">
        <v>26</v>
      </c>
      <c r="Y680" s="2">
        <v>23</v>
      </c>
      <c r="AB680" s="2">
        <v>5.29</v>
      </c>
      <c r="AC680" s="2">
        <v>0.09</v>
      </c>
      <c r="AD680" s="2">
        <v>5.01</v>
      </c>
      <c r="AE680" s="2">
        <v>0.09</v>
      </c>
      <c r="AF680" s="2" t="s">
        <v>74</v>
      </c>
      <c r="AG680" s="2" t="s">
        <v>65</v>
      </c>
      <c r="AH680" s="2" t="s">
        <v>74</v>
      </c>
      <c r="AR680" s="2" t="s">
        <v>849</v>
      </c>
      <c r="AS680" s="2" t="s">
        <v>849</v>
      </c>
      <c r="AU680" s="2" t="s">
        <v>1825</v>
      </c>
      <c r="AV680" s="2" t="s">
        <v>1822</v>
      </c>
      <c r="AW680" s="2" t="s">
        <v>1837</v>
      </c>
      <c r="AX680" s="2" t="s">
        <v>1821</v>
      </c>
      <c r="AY680" s="2" t="s">
        <v>79</v>
      </c>
    </row>
    <row r="681" spans="1:51" x14ac:dyDescent="0.2">
      <c r="A681" s="2" t="s">
        <v>2050</v>
      </c>
      <c r="B681" s="2" t="s">
        <v>2051</v>
      </c>
      <c r="C681" s="2" t="s">
        <v>2052</v>
      </c>
      <c r="D681" s="2">
        <v>2022</v>
      </c>
      <c r="E681" s="2" t="s">
        <v>2053</v>
      </c>
      <c r="F681" s="2" t="s">
        <v>2054</v>
      </c>
      <c r="G681" s="2" t="s">
        <v>2055</v>
      </c>
      <c r="H681" s="2" t="s">
        <v>2063</v>
      </c>
      <c r="I681" s="2" t="s">
        <v>2057</v>
      </c>
      <c r="J681" s="2" t="s">
        <v>536</v>
      </c>
      <c r="K681" s="2" t="s">
        <v>38</v>
      </c>
      <c r="L681" s="2" t="s">
        <v>11</v>
      </c>
      <c r="M681" s="2" t="s">
        <v>14</v>
      </c>
      <c r="N681" s="2" t="s">
        <v>20</v>
      </c>
      <c r="O681" s="2">
        <v>0</v>
      </c>
      <c r="P681" s="2" t="s">
        <v>23</v>
      </c>
      <c r="Q681" s="2" t="s">
        <v>81</v>
      </c>
      <c r="T681" s="2" t="s">
        <v>50</v>
      </c>
      <c r="U681" s="2" t="s">
        <v>147</v>
      </c>
      <c r="V681" s="2">
        <v>5</v>
      </c>
      <c r="W681" s="2">
        <v>2</v>
      </c>
      <c r="X681" s="2">
        <v>26</v>
      </c>
      <c r="Y681" s="2">
        <v>27</v>
      </c>
      <c r="AB681" s="2">
        <v>0.26</v>
      </c>
      <c r="AC681" s="2">
        <v>0.01</v>
      </c>
      <c r="AD681" s="2">
        <v>0.27</v>
      </c>
      <c r="AE681" s="2">
        <v>0.01</v>
      </c>
      <c r="AF681" s="2" t="s">
        <v>74</v>
      </c>
      <c r="AG681" s="2" t="s">
        <v>65</v>
      </c>
      <c r="AH681" s="2" t="s">
        <v>74</v>
      </c>
      <c r="AR681" s="2" t="s">
        <v>849</v>
      </c>
      <c r="AS681" s="2" t="s">
        <v>849</v>
      </c>
      <c r="AU681" s="2" t="s">
        <v>1825</v>
      </c>
      <c r="AV681" s="2" t="s">
        <v>1822</v>
      </c>
      <c r="AW681" s="2" t="s">
        <v>1837</v>
      </c>
      <c r="AX681" s="2" t="s">
        <v>1821</v>
      </c>
      <c r="AY681" s="2" t="s">
        <v>79</v>
      </c>
    </row>
    <row r="682" spans="1:51" x14ac:dyDescent="0.2">
      <c r="A682" s="2" t="s">
        <v>2050</v>
      </c>
      <c r="B682" s="2" t="s">
        <v>2051</v>
      </c>
      <c r="C682" s="2" t="s">
        <v>2052</v>
      </c>
      <c r="D682" s="2">
        <v>2022</v>
      </c>
      <c r="E682" s="2" t="s">
        <v>2053</v>
      </c>
      <c r="F682" s="2" t="s">
        <v>2054</v>
      </c>
      <c r="G682" s="2" t="s">
        <v>2055</v>
      </c>
      <c r="H682" s="2" t="s">
        <v>2064</v>
      </c>
      <c r="I682" s="2" t="s">
        <v>2057</v>
      </c>
      <c r="J682" s="2" t="s">
        <v>536</v>
      </c>
      <c r="K682" s="2" t="s">
        <v>38</v>
      </c>
      <c r="L682" s="2" t="s">
        <v>11</v>
      </c>
      <c r="M682" s="2" t="s">
        <v>14</v>
      </c>
      <c r="N682" s="2" t="s">
        <v>20</v>
      </c>
      <c r="O682" s="2">
        <v>0</v>
      </c>
      <c r="P682" s="2" t="s">
        <v>23</v>
      </c>
      <c r="Q682" s="2" t="s">
        <v>81</v>
      </c>
      <c r="T682" s="2" t="s">
        <v>50</v>
      </c>
      <c r="U682" s="2" t="s">
        <v>147</v>
      </c>
      <c r="V682" s="2">
        <v>5</v>
      </c>
      <c r="W682" s="2">
        <v>2</v>
      </c>
      <c r="X682" s="2">
        <v>26</v>
      </c>
      <c r="Y682" s="2">
        <v>23</v>
      </c>
      <c r="AB682" s="2">
        <v>0.26</v>
      </c>
      <c r="AC682" s="2">
        <v>0.01</v>
      </c>
      <c r="AD682" s="2">
        <v>0.27</v>
      </c>
      <c r="AE682" s="2">
        <v>0.01</v>
      </c>
      <c r="AF682" s="2" t="s">
        <v>74</v>
      </c>
      <c r="AG682" s="2" t="s">
        <v>65</v>
      </c>
      <c r="AH682" s="2" t="s">
        <v>74</v>
      </c>
      <c r="AR682" s="2" t="s">
        <v>849</v>
      </c>
      <c r="AS682" s="2" t="s">
        <v>849</v>
      </c>
      <c r="AU682" s="2" t="s">
        <v>1825</v>
      </c>
      <c r="AV682" s="2" t="s">
        <v>1822</v>
      </c>
      <c r="AW682" s="2" t="s">
        <v>1837</v>
      </c>
      <c r="AX682" s="2" t="s">
        <v>1821</v>
      </c>
      <c r="AY682" s="2" t="s">
        <v>79</v>
      </c>
    </row>
    <row r="683" spans="1:51" x14ac:dyDescent="0.2">
      <c r="A683" s="2" t="s">
        <v>2068</v>
      </c>
      <c r="B683" s="2" t="s">
        <v>2069</v>
      </c>
      <c r="C683" s="2" t="s">
        <v>2070</v>
      </c>
      <c r="D683" s="2">
        <v>2024</v>
      </c>
      <c r="E683" s="2" t="s">
        <v>2071</v>
      </c>
      <c r="F683" s="2" t="s">
        <v>2072</v>
      </c>
      <c r="G683" s="2" t="s">
        <v>2065</v>
      </c>
      <c r="H683" s="2" t="s">
        <v>2073</v>
      </c>
      <c r="I683" s="2" t="s">
        <v>2074</v>
      </c>
      <c r="J683" s="2" t="s">
        <v>2081</v>
      </c>
      <c r="K683" s="2" t="s">
        <v>37</v>
      </c>
      <c r="P683" s="2" t="s">
        <v>23</v>
      </c>
      <c r="Q683" s="2" t="s">
        <v>30</v>
      </c>
      <c r="R683" s="2" t="s">
        <v>40</v>
      </c>
      <c r="S683" s="2" t="s">
        <v>45</v>
      </c>
      <c r="T683" s="2" t="s">
        <v>50</v>
      </c>
      <c r="U683" s="2" t="s">
        <v>398</v>
      </c>
      <c r="V683" s="2">
        <v>7</v>
      </c>
      <c r="W683" s="2">
        <v>2</v>
      </c>
      <c r="X683" s="2">
        <v>36</v>
      </c>
      <c r="Y683" s="2">
        <v>36</v>
      </c>
      <c r="AB683" s="2">
        <v>225.13211920529801</v>
      </c>
      <c r="AC683" s="2">
        <v>26.105960264900801</v>
      </c>
      <c r="AD683" s="2">
        <v>81.5493377483443</v>
      </c>
      <c r="AE683" s="2">
        <v>26.105960264900801</v>
      </c>
      <c r="AF683" s="2" t="s">
        <v>74</v>
      </c>
      <c r="AG683" s="2" t="s">
        <v>64</v>
      </c>
      <c r="AH683" s="2" t="s">
        <v>74</v>
      </c>
      <c r="AR683" s="2" t="s">
        <v>849</v>
      </c>
      <c r="AS683" s="2" t="s">
        <v>849</v>
      </c>
      <c r="AU683" s="2" t="s">
        <v>1818</v>
      </c>
      <c r="AY683" s="2" t="s">
        <v>1824</v>
      </c>
    </row>
    <row r="684" spans="1:51" x14ac:dyDescent="0.2">
      <c r="A684" s="2" t="s">
        <v>2075</v>
      </c>
      <c r="B684" s="2" t="s">
        <v>2076</v>
      </c>
      <c r="C684" s="2" t="s">
        <v>2077</v>
      </c>
      <c r="D684" s="2">
        <v>2021</v>
      </c>
      <c r="E684" s="2" t="s">
        <v>2078</v>
      </c>
      <c r="F684" s="2" t="s">
        <v>2079</v>
      </c>
      <c r="G684" s="2" t="s">
        <v>2066</v>
      </c>
      <c r="H684" s="2" t="s">
        <v>2080</v>
      </c>
      <c r="I684" s="2" t="s">
        <v>576</v>
      </c>
      <c r="J684" s="2" t="s">
        <v>536</v>
      </c>
      <c r="K684" s="2" t="s">
        <v>38</v>
      </c>
      <c r="L684" s="2" t="s">
        <v>11</v>
      </c>
      <c r="M684" s="2" t="s">
        <v>14</v>
      </c>
      <c r="N684" s="2" t="s">
        <v>15</v>
      </c>
      <c r="O684" s="2">
        <v>1</v>
      </c>
      <c r="P684" s="2" t="s">
        <v>22</v>
      </c>
      <c r="Q684" s="2" t="s">
        <v>30</v>
      </c>
      <c r="T684" s="2" t="s">
        <v>50</v>
      </c>
      <c r="U684" s="2" t="s">
        <v>2034</v>
      </c>
      <c r="V684" s="2">
        <v>108</v>
      </c>
      <c r="X684" s="2">
        <v>28</v>
      </c>
      <c r="Y684" s="2">
        <v>33</v>
      </c>
      <c r="Z684" s="2">
        <v>25</v>
      </c>
      <c r="AA684" s="2">
        <v>24</v>
      </c>
      <c r="AH684" s="2" t="s">
        <v>1804</v>
      </c>
      <c r="AR684" s="2" t="s">
        <v>849</v>
      </c>
      <c r="AS684" s="2" t="s">
        <v>849</v>
      </c>
      <c r="AU684" s="2" t="s">
        <v>1818</v>
      </c>
      <c r="AV684" s="2" t="s">
        <v>1822</v>
      </c>
      <c r="AW684" s="2" t="s">
        <v>1823</v>
      </c>
      <c r="AX684" s="2" t="s">
        <v>1826</v>
      </c>
      <c r="AY684" s="2" t="s">
        <v>79</v>
      </c>
    </row>
    <row r="685" spans="1:51" x14ac:dyDescent="0.2">
      <c r="A685" s="2" t="s">
        <v>2075</v>
      </c>
      <c r="B685" s="2" t="s">
        <v>2076</v>
      </c>
      <c r="C685" s="2" t="s">
        <v>2077</v>
      </c>
      <c r="D685" s="2">
        <v>2022</v>
      </c>
      <c r="E685" s="2" t="s">
        <v>2078</v>
      </c>
      <c r="F685" s="2" t="s">
        <v>2079</v>
      </c>
      <c r="G685" s="2" t="s">
        <v>2066</v>
      </c>
      <c r="H685" s="2" t="s">
        <v>2082</v>
      </c>
      <c r="I685" s="2" t="s">
        <v>576</v>
      </c>
      <c r="J685" s="2" t="s">
        <v>536</v>
      </c>
      <c r="K685" s="2" t="s">
        <v>38</v>
      </c>
      <c r="L685" s="2" t="s">
        <v>11</v>
      </c>
      <c r="M685" s="2" t="s">
        <v>14</v>
      </c>
      <c r="N685" s="2" t="s">
        <v>15</v>
      </c>
      <c r="O685" s="2">
        <v>1</v>
      </c>
      <c r="P685" s="2" t="s">
        <v>22</v>
      </c>
      <c r="Q685" s="2" t="s">
        <v>30</v>
      </c>
      <c r="T685" s="2" t="s">
        <v>50</v>
      </c>
      <c r="U685" s="2" t="s">
        <v>2034</v>
      </c>
      <c r="V685" s="2">
        <v>108</v>
      </c>
      <c r="X685" s="2">
        <v>32</v>
      </c>
      <c r="Y685" s="2">
        <v>25</v>
      </c>
      <c r="Z685" s="2">
        <v>30</v>
      </c>
      <c r="AA685" s="2">
        <v>11</v>
      </c>
      <c r="AH685" s="2" t="s">
        <v>1804</v>
      </c>
      <c r="AR685" s="2" t="s">
        <v>849</v>
      </c>
      <c r="AS685" s="2" t="s">
        <v>849</v>
      </c>
      <c r="AU685" s="2" t="s">
        <v>1818</v>
      </c>
      <c r="AV685" s="2" t="s">
        <v>1822</v>
      </c>
      <c r="AW685" s="2" t="s">
        <v>1823</v>
      </c>
      <c r="AX685" s="2" t="s">
        <v>1826</v>
      </c>
      <c r="AY685" s="2" t="s">
        <v>79</v>
      </c>
    </row>
    <row r="686" spans="1:51" x14ac:dyDescent="0.2">
      <c r="A686" s="2" t="s">
        <v>2075</v>
      </c>
      <c r="B686" s="2" t="s">
        <v>2076</v>
      </c>
      <c r="C686" s="2" t="s">
        <v>2077</v>
      </c>
      <c r="D686" s="2">
        <v>2022</v>
      </c>
      <c r="E686" s="2" t="s">
        <v>2078</v>
      </c>
      <c r="F686" s="2" t="s">
        <v>2079</v>
      </c>
      <c r="G686" s="2" t="s">
        <v>2067</v>
      </c>
      <c r="H686" s="2" t="s">
        <v>2084</v>
      </c>
      <c r="I686" s="2" t="s">
        <v>576</v>
      </c>
      <c r="J686" s="2" t="s">
        <v>536</v>
      </c>
      <c r="K686" s="2" t="s">
        <v>38</v>
      </c>
      <c r="L686" s="2" t="s">
        <v>11</v>
      </c>
      <c r="M686" s="2" t="s">
        <v>14</v>
      </c>
      <c r="N686" s="2" t="s">
        <v>15</v>
      </c>
      <c r="O686" s="2">
        <v>1</v>
      </c>
      <c r="P686" s="2" t="s">
        <v>22</v>
      </c>
      <c r="Q686" s="2" t="s">
        <v>30</v>
      </c>
      <c r="T686" s="2" t="s">
        <v>50</v>
      </c>
      <c r="U686" s="2" t="s">
        <v>398</v>
      </c>
      <c r="V686" s="2">
        <v>111</v>
      </c>
      <c r="W686" s="2">
        <v>4</v>
      </c>
      <c r="X686" s="2">
        <v>43</v>
      </c>
      <c r="Y686" s="2">
        <v>43</v>
      </c>
      <c r="Z686" s="2">
        <v>24</v>
      </c>
      <c r="AA686" s="2">
        <v>19</v>
      </c>
      <c r="AH686" s="2" t="s">
        <v>1804</v>
      </c>
      <c r="AR686" s="2" t="s">
        <v>849</v>
      </c>
      <c r="AS686" s="2" t="s">
        <v>849</v>
      </c>
      <c r="AU686" s="2" t="s">
        <v>1818</v>
      </c>
      <c r="AV686" s="2" t="s">
        <v>1822</v>
      </c>
      <c r="AW686" s="2" t="s">
        <v>1823</v>
      </c>
      <c r="AX686" s="2" t="s">
        <v>1826</v>
      </c>
      <c r="AY686" s="2" t="s">
        <v>79</v>
      </c>
    </row>
    <row r="687" spans="1:51" x14ac:dyDescent="0.2">
      <c r="A687" s="2" t="s">
        <v>2075</v>
      </c>
      <c r="B687" s="2" t="s">
        <v>2076</v>
      </c>
      <c r="C687" s="2" t="s">
        <v>2077</v>
      </c>
      <c r="D687" s="2">
        <v>2022</v>
      </c>
      <c r="E687" s="2" t="s">
        <v>2078</v>
      </c>
      <c r="F687" s="2" t="s">
        <v>2079</v>
      </c>
      <c r="G687" s="2" t="s">
        <v>2067</v>
      </c>
      <c r="H687" s="2" t="s">
        <v>2085</v>
      </c>
      <c r="I687" s="2" t="s">
        <v>576</v>
      </c>
      <c r="J687" s="2" t="s">
        <v>536</v>
      </c>
      <c r="K687" s="2" t="s">
        <v>38</v>
      </c>
      <c r="L687" s="2" t="s">
        <v>11</v>
      </c>
      <c r="M687" s="2" t="s">
        <v>14</v>
      </c>
      <c r="N687" s="2" t="s">
        <v>15</v>
      </c>
      <c r="O687" s="2">
        <v>1</v>
      </c>
      <c r="P687" s="2" t="s">
        <v>22</v>
      </c>
      <c r="Q687" s="2" t="s">
        <v>30</v>
      </c>
      <c r="T687" s="2" t="s">
        <v>50</v>
      </c>
      <c r="U687" s="2" t="s">
        <v>398</v>
      </c>
      <c r="V687" s="2">
        <v>111</v>
      </c>
      <c r="W687" s="2">
        <v>4</v>
      </c>
      <c r="X687" s="2">
        <v>33</v>
      </c>
      <c r="Y687" s="2">
        <v>33</v>
      </c>
      <c r="Z687" s="2">
        <v>25</v>
      </c>
      <c r="AA687" s="2">
        <v>8</v>
      </c>
      <c r="AH687" s="2" t="s">
        <v>1804</v>
      </c>
      <c r="AR687" s="2" t="s">
        <v>849</v>
      </c>
      <c r="AS687" s="2" t="s">
        <v>849</v>
      </c>
      <c r="AU687" s="2" t="s">
        <v>1818</v>
      </c>
      <c r="AV687" s="2" t="s">
        <v>1822</v>
      </c>
      <c r="AW687" s="2" t="s">
        <v>1823</v>
      </c>
      <c r="AX687" s="2" t="s">
        <v>1826</v>
      </c>
      <c r="AY687" s="2" t="s">
        <v>79</v>
      </c>
    </row>
    <row r="688" spans="1:51" x14ac:dyDescent="0.2">
      <c r="A688" s="2" t="s">
        <v>2086</v>
      </c>
      <c r="B688" s="2" t="s">
        <v>2093</v>
      </c>
      <c r="C688" s="2" t="s">
        <v>2087</v>
      </c>
      <c r="D688" s="2">
        <v>2020</v>
      </c>
      <c r="E688" s="2" t="s">
        <v>2083</v>
      </c>
      <c r="F688" s="2" t="s">
        <v>2089</v>
      </c>
      <c r="G688" s="2" t="s">
        <v>2090</v>
      </c>
      <c r="H688" s="2" t="s">
        <v>2091</v>
      </c>
      <c r="I688" s="2" t="s">
        <v>2092</v>
      </c>
      <c r="J688" s="2" t="s">
        <v>32</v>
      </c>
      <c r="K688" s="2" t="s">
        <v>37</v>
      </c>
      <c r="P688" s="2" t="s">
        <v>22</v>
      </c>
      <c r="Q688" s="2" t="s">
        <v>30</v>
      </c>
      <c r="R688" s="2" t="s">
        <v>41</v>
      </c>
      <c r="S688" s="2" t="s">
        <v>48</v>
      </c>
      <c r="T688" s="2" t="s">
        <v>50</v>
      </c>
      <c r="U688" s="2" t="s">
        <v>421</v>
      </c>
      <c r="X688" s="2">
        <v>1945</v>
      </c>
      <c r="Y688" s="2">
        <v>658</v>
      </c>
      <c r="AB688" s="2">
        <v>5.2267352185089972</v>
      </c>
      <c r="AC688" s="2">
        <v>11.675768270045497</v>
      </c>
      <c r="AD688" s="2">
        <v>1.8297872340425532</v>
      </c>
      <c r="AE688" s="2">
        <v>4.8910405105476809</v>
      </c>
      <c r="AF688" s="2" t="s">
        <v>74</v>
      </c>
      <c r="AG688" s="2" t="s">
        <v>64</v>
      </c>
      <c r="AH688" s="2" t="s">
        <v>74</v>
      </c>
      <c r="AR688" s="2" t="s">
        <v>222</v>
      </c>
      <c r="AS688" s="2" t="s">
        <v>849</v>
      </c>
      <c r="AU688" s="2" t="s">
        <v>1818</v>
      </c>
      <c r="AV688" s="2" t="s">
        <v>1822</v>
      </c>
      <c r="AW688" s="2" t="s">
        <v>1823</v>
      </c>
      <c r="AX688" s="2" t="s">
        <v>1829</v>
      </c>
      <c r="AY688" s="2" t="s">
        <v>79</v>
      </c>
    </row>
    <row r="689" spans="1:51" x14ac:dyDescent="0.2">
      <c r="A689" s="2" t="s">
        <v>2086</v>
      </c>
      <c r="B689" s="2" t="s">
        <v>2093</v>
      </c>
      <c r="C689" s="2" t="s">
        <v>2087</v>
      </c>
      <c r="D689" s="2">
        <v>2020</v>
      </c>
      <c r="E689" s="2" t="s">
        <v>2083</v>
      </c>
      <c r="F689" s="2" t="s">
        <v>2094</v>
      </c>
      <c r="G689" s="2" t="s">
        <v>2095</v>
      </c>
      <c r="H689" s="2" t="s">
        <v>2096</v>
      </c>
      <c r="I689" s="2" t="s">
        <v>2092</v>
      </c>
      <c r="J689" s="2" t="s">
        <v>32</v>
      </c>
      <c r="K689" s="2" t="s">
        <v>37</v>
      </c>
      <c r="P689" s="2" t="s">
        <v>22</v>
      </c>
      <c r="Q689" s="2" t="s">
        <v>30</v>
      </c>
      <c r="R689" s="2" t="s">
        <v>41</v>
      </c>
      <c r="S689" s="2" t="s">
        <v>47</v>
      </c>
      <c r="T689" s="2" t="s">
        <v>50</v>
      </c>
      <c r="U689" s="2" t="s">
        <v>421</v>
      </c>
      <c r="X689" s="2">
        <v>70</v>
      </c>
      <c r="Y689" s="2">
        <v>70</v>
      </c>
      <c r="Z689" s="2">
        <v>52</v>
      </c>
      <c r="AA689" s="2">
        <v>18</v>
      </c>
      <c r="AH689" s="2" t="s">
        <v>1804</v>
      </c>
      <c r="AR689" s="2" t="s">
        <v>222</v>
      </c>
      <c r="AS689" s="2" t="s">
        <v>849</v>
      </c>
      <c r="AU689" s="2" t="s">
        <v>1818</v>
      </c>
      <c r="AV689" s="2" t="s">
        <v>1822</v>
      </c>
      <c r="AW689" s="2" t="s">
        <v>1823</v>
      </c>
      <c r="AX689" s="2" t="s">
        <v>1829</v>
      </c>
      <c r="AY689" s="2" t="s">
        <v>79</v>
      </c>
    </row>
    <row r="690" spans="1:51" x14ac:dyDescent="0.2">
      <c r="A690" s="2" t="s">
        <v>2086</v>
      </c>
      <c r="B690" s="2" t="s">
        <v>2093</v>
      </c>
      <c r="C690" s="2" t="s">
        <v>2087</v>
      </c>
      <c r="D690" s="2">
        <v>2020</v>
      </c>
      <c r="E690" s="2" t="s">
        <v>2083</v>
      </c>
      <c r="F690" s="2" t="s">
        <v>2094</v>
      </c>
      <c r="G690" s="2" t="s">
        <v>2097</v>
      </c>
      <c r="H690" s="2" t="s">
        <v>2098</v>
      </c>
      <c r="I690" s="2" t="s">
        <v>2092</v>
      </c>
      <c r="J690" s="2" t="s">
        <v>32</v>
      </c>
      <c r="K690" s="2" t="s">
        <v>37</v>
      </c>
      <c r="P690" s="2" t="s">
        <v>22</v>
      </c>
      <c r="Q690" s="2" t="s">
        <v>30</v>
      </c>
      <c r="R690" s="2" t="s">
        <v>41</v>
      </c>
      <c r="S690" s="2" t="s">
        <v>47</v>
      </c>
      <c r="T690" s="2" t="s">
        <v>50</v>
      </c>
      <c r="U690" s="2" t="s">
        <v>421</v>
      </c>
      <c r="X690" s="2">
        <v>21</v>
      </c>
      <c r="Y690" s="2">
        <v>25</v>
      </c>
      <c r="Z690" s="2">
        <v>21</v>
      </c>
      <c r="AA690" s="2">
        <v>23</v>
      </c>
      <c r="AH690" s="2" t="s">
        <v>1804</v>
      </c>
      <c r="AR690" s="2" t="s">
        <v>222</v>
      </c>
      <c r="AS690" s="2" t="s">
        <v>849</v>
      </c>
      <c r="AU690" s="2" t="s">
        <v>1818</v>
      </c>
      <c r="AV690" s="2" t="s">
        <v>1822</v>
      </c>
      <c r="AW690" s="2" t="s">
        <v>1823</v>
      </c>
      <c r="AX690" s="2" t="s">
        <v>1829</v>
      </c>
      <c r="AY690" s="2" t="s">
        <v>79</v>
      </c>
    </row>
    <row r="691" spans="1:51" x14ac:dyDescent="0.2">
      <c r="A691" s="2" t="s">
        <v>2102</v>
      </c>
      <c r="B691" s="2" t="s">
        <v>2103</v>
      </c>
      <c r="C691" s="2" t="s">
        <v>2104</v>
      </c>
      <c r="D691" s="2">
        <v>2023</v>
      </c>
      <c r="E691" s="2" t="s">
        <v>2088</v>
      </c>
      <c r="F691" s="2" t="s">
        <v>2099</v>
      </c>
      <c r="G691" s="2" t="s">
        <v>2100</v>
      </c>
      <c r="H691" s="2" t="s">
        <v>2101</v>
      </c>
      <c r="I691" s="2" t="s">
        <v>512</v>
      </c>
      <c r="J691" s="2" t="s">
        <v>86</v>
      </c>
      <c r="K691" s="2" t="s">
        <v>38</v>
      </c>
      <c r="L691" s="2" t="s">
        <v>12</v>
      </c>
      <c r="P691" s="2" t="s">
        <v>79</v>
      </c>
      <c r="Q691" s="2" t="s">
        <v>1056</v>
      </c>
      <c r="R691" s="2" t="s">
        <v>41</v>
      </c>
      <c r="S691" s="2" t="s">
        <v>44</v>
      </c>
      <c r="T691" s="2" t="s">
        <v>50</v>
      </c>
      <c r="U691" s="2" t="s">
        <v>421</v>
      </c>
      <c r="X691" s="2">
        <v>4</v>
      </c>
      <c r="Y691" s="2">
        <v>4</v>
      </c>
      <c r="AB691" s="2">
        <v>0.12987210088713846</v>
      </c>
      <c r="AC691" s="2">
        <v>7.4050794061572084E-2</v>
      </c>
      <c r="AD691" s="2">
        <v>9.3147675736961449E-2</v>
      </c>
      <c r="AE691" s="2">
        <v>5.6205104806389912E-2</v>
      </c>
      <c r="AF691" s="2" t="s">
        <v>74</v>
      </c>
      <c r="AG691" s="2" t="s">
        <v>64</v>
      </c>
      <c r="AH691" s="2" t="s">
        <v>74</v>
      </c>
      <c r="AR691" s="2" t="s">
        <v>849</v>
      </c>
      <c r="AS691" s="2" t="s">
        <v>849</v>
      </c>
      <c r="AU691" s="2" t="s">
        <v>1818</v>
      </c>
      <c r="AV691" s="2" t="s">
        <v>1830</v>
      </c>
      <c r="AW691" s="2" t="s">
        <v>1831</v>
      </c>
      <c r="AX691" s="2" t="s">
        <v>1829</v>
      </c>
      <c r="AY691" s="2" t="s">
        <v>79</v>
      </c>
    </row>
    <row r="692" spans="1:51" x14ac:dyDescent="0.2">
      <c r="A692" s="2" t="s">
        <v>2105</v>
      </c>
      <c r="B692" s="2" t="s">
        <v>2106</v>
      </c>
      <c r="C692" s="2" t="s">
        <v>2107</v>
      </c>
      <c r="D692" s="2">
        <v>2022</v>
      </c>
      <c r="E692" s="2" t="s">
        <v>2108</v>
      </c>
      <c r="F692" s="2" t="s">
        <v>2109</v>
      </c>
      <c r="G692" s="2" t="s">
        <v>2110</v>
      </c>
      <c r="H692" s="2" t="s">
        <v>2111</v>
      </c>
      <c r="I692" s="2" t="s">
        <v>2112</v>
      </c>
      <c r="J692" s="2" t="s">
        <v>2113</v>
      </c>
      <c r="K692" s="2" t="s">
        <v>37</v>
      </c>
      <c r="P692" s="2" t="s">
        <v>22</v>
      </c>
      <c r="Q692" s="2" t="s">
        <v>1839</v>
      </c>
      <c r="R692" s="2" t="s">
        <v>41</v>
      </c>
      <c r="S692" s="2" t="s">
        <v>47</v>
      </c>
      <c r="T692" s="2" t="s">
        <v>50</v>
      </c>
      <c r="U692" s="2" t="s">
        <v>147</v>
      </c>
      <c r="V692" s="2">
        <v>457</v>
      </c>
      <c r="W692" s="2">
        <v>1</v>
      </c>
      <c r="X692" s="2">
        <v>11</v>
      </c>
      <c r="Y692" s="2">
        <v>12</v>
      </c>
      <c r="Z692" s="2">
        <v>0</v>
      </c>
      <c r="AA692" s="2">
        <v>7</v>
      </c>
      <c r="AH692" s="2" t="s">
        <v>1804</v>
      </c>
      <c r="AR692" s="2" t="s">
        <v>222</v>
      </c>
      <c r="AS692" s="2" t="s">
        <v>222</v>
      </c>
      <c r="AU692" s="2" t="s">
        <v>1818</v>
      </c>
      <c r="AV692" s="2" t="s">
        <v>1830</v>
      </c>
      <c r="AW692" s="2" t="s">
        <v>1832</v>
      </c>
      <c r="AX692" s="2" t="s">
        <v>1821</v>
      </c>
      <c r="AY692" s="2" t="s">
        <v>79</v>
      </c>
    </row>
    <row r="693" spans="1:51" x14ac:dyDescent="0.2">
      <c r="A693" s="2" t="s">
        <v>2105</v>
      </c>
      <c r="B693" s="2" t="s">
        <v>2106</v>
      </c>
      <c r="C693" s="2" t="s">
        <v>2107</v>
      </c>
      <c r="D693" s="2">
        <v>2022</v>
      </c>
      <c r="E693" s="2" t="s">
        <v>2108</v>
      </c>
      <c r="F693" s="2" t="s">
        <v>2109</v>
      </c>
      <c r="G693" s="2" t="s">
        <v>2110</v>
      </c>
      <c r="H693" s="2" t="s">
        <v>2114</v>
      </c>
      <c r="I693" s="2" t="s">
        <v>2112</v>
      </c>
      <c r="J693" s="2" t="s">
        <v>2113</v>
      </c>
      <c r="K693" s="2" t="s">
        <v>37</v>
      </c>
      <c r="P693" s="2" t="s">
        <v>22</v>
      </c>
      <c r="Q693" s="2" t="s">
        <v>30</v>
      </c>
      <c r="R693" s="2" t="s">
        <v>41</v>
      </c>
      <c r="S693" s="2" t="s">
        <v>47</v>
      </c>
      <c r="T693" s="2" t="s">
        <v>50</v>
      </c>
      <c r="U693" s="2" t="s">
        <v>147</v>
      </c>
      <c r="V693" s="2">
        <v>457</v>
      </c>
      <c r="W693" s="2">
        <v>1</v>
      </c>
      <c r="X693" s="2">
        <v>11</v>
      </c>
      <c r="Y693" s="2">
        <v>12</v>
      </c>
      <c r="Z693" s="2">
        <v>10</v>
      </c>
      <c r="AA693" s="2">
        <v>5</v>
      </c>
      <c r="AH693" s="2" t="s">
        <v>1804</v>
      </c>
      <c r="AR693" s="2" t="s">
        <v>222</v>
      </c>
      <c r="AS693" s="2" t="s">
        <v>849</v>
      </c>
      <c r="AU693" s="2" t="s">
        <v>1818</v>
      </c>
      <c r="AV693" s="2" t="s">
        <v>1830</v>
      </c>
      <c r="AW693" s="2" t="s">
        <v>1832</v>
      </c>
      <c r="AX693" s="2" t="s">
        <v>1821</v>
      </c>
      <c r="AY693" s="2" t="s">
        <v>79</v>
      </c>
    </row>
    <row r="694" spans="1:51" x14ac:dyDescent="0.2">
      <c r="A694" s="2" t="s">
        <v>2105</v>
      </c>
      <c r="B694" s="2" t="s">
        <v>2106</v>
      </c>
      <c r="C694" s="2" t="s">
        <v>2107</v>
      </c>
      <c r="D694" s="2">
        <v>2022</v>
      </c>
      <c r="E694" s="2" t="s">
        <v>2108</v>
      </c>
      <c r="F694" s="2" t="s">
        <v>2109</v>
      </c>
      <c r="G694" s="2" t="s">
        <v>2110</v>
      </c>
      <c r="H694" s="2" t="s">
        <v>2115</v>
      </c>
      <c r="I694" s="2" t="s">
        <v>2112</v>
      </c>
      <c r="J694" s="2" t="s">
        <v>2113</v>
      </c>
      <c r="K694" s="2" t="s">
        <v>37</v>
      </c>
      <c r="P694" s="2" t="s">
        <v>22</v>
      </c>
      <c r="Q694" s="2" t="s">
        <v>1839</v>
      </c>
      <c r="R694" s="2" t="s">
        <v>41</v>
      </c>
      <c r="S694" s="2" t="s">
        <v>47</v>
      </c>
      <c r="T694" s="2" t="s">
        <v>50</v>
      </c>
      <c r="U694" s="2" t="s">
        <v>147</v>
      </c>
      <c r="V694" s="2">
        <v>457</v>
      </c>
      <c r="W694" s="2">
        <v>1</v>
      </c>
      <c r="X694" s="2">
        <v>15</v>
      </c>
      <c r="Y694" s="2">
        <v>12</v>
      </c>
      <c r="Z694" s="2">
        <v>0</v>
      </c>
      <c r="AA694" s="2">
        <v>3</v>
      </c>
      <c r="AH694" s="2" t="s">
        <v>1804</v>
      </c>
      <c r="AR694" s="2" t="s">
        <v>222</v>
      </c>
      <c r="AS694" s="2" t="s">
        <v>222</v>
      </c>
      <c r="AU694" s="2" t="s">
        <v>1818</v>
      </c>
      <c r="AV694" s="2" t="s">
        <v>1830</v>
      </c>
      <c r="AW694" s="2" t="s">
        <v>1832</v>
      </c>
      <c r="AX694" s="2" t="s">
        <v>1821</v>
      </c>
      <c r="AY694" s="2" t="s">
        <v>79</v>
      </c>
    </row>
    <row r="695" spans="1:51" x14ac:dyDescent="0.2">
      <c r="A695" s="2" t="s">
        <v>2105</v>
      </c>
      <c r="B695" s="2" t="s">
        <v>2106</v>
      </c>
      <c r="C695" s="2" t="s">
        <v>2107</v>
      </c>
      <c r="D695" s="2">
        <v>2022</v>
      </c>
      <c r="E695" s="2" t="s">
        <v>2108</v>
      </c>
      <c r="F695" s="2" t="s">
        <v>2109</v>
      </c>
      <c r="G695" s="2" t="s">
        <v>2110</v>
      </c>
      <c r="H695" s="2" t="s">
        <v>2116</v>
      </c>
      <c r="I695" s="2" t="s">
        <v>2112</v>
      </c>
      <c r="J695" s="2" t="s">
        <v>2113</v>
      </c>
      <c r="K695" s="2" t="s">
        <v>37</v>
      </c>
      <c r="P695" s="2" t="s">
        <v>22</v>
      </c>
      <c r="Q695" s="2" t="s">
        <v>30</v>
      </c>
      <c r="R695" s="2" t="s">
        <v>41</v>
      </c>
      <c r="S695" s="2" t="s">
        <v>47</v>
      </c>
      <c r="T695" s="2" t="s">
        <v>50</v>
      </c>
      <c r="U695" s="2" t="s">
        <v>147</v>
      </c>
      <c r="V695" s="2">
        <v>457</v>
      </c>
      <c r="W695" s="2">
        <v>1</v>
      </c>
      <c r="X695" s="2">
        <v>15</v>
      </c>
      <c r="Y695" s="2">
        <v>12</v>
      </c>
      <c r="Z695" s="2">
        <v>1</v>
      </c>
      <c r="AA695" s="2">
        <v>1</v>
      </c>
      <c r="AH695" s="2" t="s">
        <v>1804</v>
      </c>
      <c r="AR695" s="2" t="s">
        <v>222</v>
      </c>
      <c r="AS695" s="2" t="s">
        <v>849</v>
      </c>
      <c r="AU695" s="2" t="s">
        <v>1818</v>
      </c>
      <c r="AV695" s="2" t="s">
        <v>1830</v>
      </c>
      <c r="AW695" s="2" t="s">
        <v>1832</v>
      </c>
      <c r="AX695" s="2" t="s">
        <v>1821</v>
      </c>
      <c r="AY695" s="2" t="s">
        <v>79</v>
      </c>
    </row>
    <row r="696" spans="1:51" x14ac:dyDescent="0.2">
      <c r="A696" s="2" t="s">
        <v>2120</v>
      </c>
      <c r="B696" s="2" t="s">
        <v>2121</v>
      </c>
      <c r="C696" s="2" t="s">
        <v>2122</v>
      </c>
      <c r="D696" s="2">
        <v>2021</v>
      </c>
      <c r="E696" s="2" t="s">
        <v>2117</v>
      </c>
      <c r="F696" s="2" t="s">
        <v>2123</v>
      </c>
      <c r="G696" s="2" t="s">
        <v>2124</v>
      </c>
      <c r="H696" s="2" t="s">
        <v>2125</v>
      </c>
      <c r="I696" s="2" t="s">
        <v>2126</v>
      </c>
      <c r="J696" s="2" t="s">
        <v>85</v>
      </c>
      <c r="K696" s="2" t="s">
        <v>38</v>
      </c>
      <c r="L696" s="2" t="s">
        <v>12</v>
      </c>
      <c r="P696" s="2" t="s">
        <v>22</v>
      </c>
      <c r="Q696" s="2" t="s">
        <v>1056</v>
      </c>
      <c r="R696" s="2" t="s">
        <v>41</v>
      </c>
      <c r="S696" s="2" t="s">
        <v>44</v>
      </c>
      <c r="T696" s="2" t="s">
        <v>50</v>
      </c>
      <c r="U696" s="2" t="s">
        <v>398</v>
      </c>
      <c r="V696" s="2">
        <v>6</v>
      </c>
      <c r="W696" s="2" t="s">
        <v>1064</v>
      </c>
      <c r="X696" s="2">
        <v>11</v>
      </c>
      <c r="Y696" s="2">
        <v>16</v>
      </c>
      <c r="Z696" s="2">
        <v>8</v>
      </c>
      <c r="AA696" s="2">
        <v>7</v>
      </c>
      <c r="AH696" s="2" t="s">
        <v>1804</v>
      </c>
      <c r="AR696" s="2" t="s">
        <v>849</v>
      </c>
      <c r="AS696" s="2" t="s">
        <v>849</v>
      </c>
      <c r="AU696" s="2" t="s">
        <v>1818</v>
      </c>
      <c r="AV696" s="2" t="s">
        <v>1822</v>
      </c>
      <c r="AW696" s="2" t="s">
        <v>1837</v>
      </c>
      <c r="AX696" s="2" t="s">
        <v>1826</v>
      </c>
      <c r="AY696" s="2" t="s">
        <v>79</v>
      </c>
    </row>
    <row r="697" spans="1:51" x14ac:dyDescent="0.2">
      <c r="A697" s="2" t="s">
        <v>2120</v>
      </c>
      <c r="B697" s="2" t="s">
        <v>2121</v>
      </c>
      <c r="C697" s="2" t="s">
        <v>2122</v>
      </c>
      <c r="D697" s="2">
        <v>2021</v>
      </c>
      <c r="E697" s="2" t="s">
        <v>2117</v>
      </c>
      <c r="F697" s="2" t="s">
        <v>2123</v>
      </c>
      <c r="G697" s="2" t="s">
        <v>2124</v>
      </c>
      <c r="H697" s="2" t="s">
        <v>2127</v>
      </c>
      <c r="I697" s="2" t="s">
        <v>2126</v>
      </c>
      <c r="J697" s="2" t="s">
        <v>85</v>
      </c>
      <c r="K697" s="2" t="s">
        <v>38</v>
      </c>
      <c r="L697" s="2" t="s">
        <v>12</v>
      </c>
      <c r="P697" s="2" t="s">
        <v>22</v>
      </c>
      <c r="Q697" s="2" t="s">
        <v>1056</v>
      </c>
      <c r="R697" s="2" t="s">
        <v>41</v>
      </c>
      <c r="S697" s="2" t="s">
        <v>44</v>
      </c>
      <c r="T697" s="2" t="s">
        <v>50</v>
      </c>
      <c r="U697" s="2" t="s">
        <v>398</v>
      </c>
      <c r="V697" s="2">
        <v>6</v>
      </c>
      <c r="W697" s="2" t="s">
        <v>528</v>
      </c>
      <c r="X697" s="2">
        <v>15</v>
      </c>
      <c r="Y697" s="2">
        <v>8</v>
      </c>
      <c r="Z697" s="2">
        <v>13</v>
      </c>
      <c r="AA697" s="2">
        <v>5</v>
      </c>
      <c r="AH697" s="2" t="s">
        <v>1804</v>
      </c>
      <c r="AR697" s="2" t="s">
        <v>849</v>
      </c>
      <c r="AS697" s="2" t="s">
        <v>849</v>
      </c>
      <c r="AU697" s="2" t="s">
        <v>1818</v>
      </c>
      <c r="AV697" s="2" t="s">
        <v>1822</v>
      </c>
      <c r="AW697" s="2" t="s">
        <v>1837</v>
      </c>
      <c r="AX697" s="2" t="s">
        <v>1826</v>
      </c>
      <c r="AY697" s="2" t="s">
        <v>79</v>
      </c>
    </row>
    <row r="698" spans="1:51" x14ac:dyDescent="0.2">
      <c r="A698" s="2" t="s">
        <v>2120</v>
      </c>
      <c r="B698" s="2" t="s">
        <v>2121</v>
      </c>
      <c r="C698" s="2" t="s">
        <v>2122</v>
      </c>
      <c r="D698" s="2">
        <v>2021</v>
      </c>
      <c r="E698" s="2" t="s">
        <v>2117</v>
      </c>
      <c r="F698" s="2" t="s">
        <v>2123</v>
      </c>
      <c r="G698" s="2" t="s">
        <v>2129</v>
      </c>
      <c r="H698" s="2" t="s">
        <v>2130</v>
      </c>
      <c r="I698" s="2" t="s">
        <v>2126</v>
      </c>
      <c r="J698" s="2" t="s">
        <v>85</v>
      </c>
      <c r="K698" s="2" t="s">
        <v>38</v>
      </c>
      <c r="L698" s="2" t="s">
        <v>12</v>
      </c>
      <c r="P698" s="2" t="s">
        <v>22</v>
      </c>
      <c r="Q698" s="2" t="s">
        <v>1056</v>
      </c>
      <c r="R698" s="2" t="s">
        <v>41</v>
      </c>
      <c r="S698" s="2" t="s">
        <v>44</v>
      </c>
      <c r="T698" s="2" t="s">
        <v>50</v>
      </c>
      <c r="U698" s="2" t="s">
        <v>398</v>
      </c>
      <c r="V698" s="2">
        <v>9</v>
      </c>
      <c r="W698" s="2" t="s">
        <v>2132</v>
      </c>
      <c r="X698" s="2">
        <v>10</v>
      </c>
      <c r="Y698" s="2">
        <v>10</v>
      </c>
      <c r="AB698" s="2">
        <v>91.636363636363697</v>
      </c>
      <c r="AC698" s="2">
        <v>9.1993531932170995</v>
      </c>
      <c r="AD698" s="2">
        <v>96.969696969696997</v>
      </c>
      <c r="AE698" s="2">
        <v>9.1993531932170995</v>
      </c>
      <c r="AF698" s="2" t="s">
        <v>74</v>
      </c>
      <c r="AG698" s="2" t="s">
        <v>64</v>
      </c>
      <c r="AH698" s="2" t="s">
        <v>74</v>
      </c>
      <c r="AR698" s="2" t="s">
        <v>849</v>
      </c>
      <c r="AS698" s="2" t="s">
        <v>849</v>
      </c>
      <c r="AU698" s="2" t="s">
        <v>1818</v>
      </c>
      <c r="AV698" s="2" t="s">
        <v>1822</v>
      </c>
      <c r="AW698" s="2" t="s">
        <v>1837</v>
      </c>
      <c r="AX698" s="2" t="s">
        <v>1826</v>
      </c>
      <c r="AY698" s="2" t="s">
        <v>79</v>
      </c>
    </row>
    <row r="699" spans="1:51" x14ac:dyDescent="0.2">
      <c r="A699" s="2" t="s">
        <v>2120</v>
      </c>
      <c r="B699" s="2" t="s">
        <v>2121</v>
      </c>
      <c r="C699" s="2" t="s">
        <v>2122</v>
      </c>
      <c r="D699" s="2">
        <v>2021</v>
      </c>
      <c r="E699" s="2" t="s">
        <v>2117</v>
      </c>
      <c r="F699" s="2" t="s">
        <v>2123</v>
      </c>
      <c r="G699" s="2" t="s">
        <v>2129</v>
      </c>
      <c r="H699" s="2" t="s">
        <v>2131</v>
      </c>
      <c r="I699" s="2" t="s">
        <v>2126</v>
      </c>
      <c r="J699" s="2" t="s">
        <v>85</v>
      </c>
      <c r="K699" s="2" t="s">
        <v>38</v>
      </c>
      <c r="L699" s="2" t="s">
        <v>12</v>
      </c>
      <c r="P699" s="2" t="s">
        <v>22</v>
      </c>
      <c r="Q699" s="2" t="s">
        <v>1056</v>
      </c>
      <c r="R699" s="2" t="s">
        <v>41</v>
      </c>
      <c r="S699" s="2" t="s">
        <v>44</v>
      </c>
      <c r="T699" s="2" t="s">
        <v>50</v>
      </c>
      <c r="U699" s="2" t="s">
        <v>398</v>
      </c>
      <c r="V699" s="2">
        <v>9</v>
      </c>
      <c r="W699" s="2" t="s">
        <v>2132</v>
      </c>
      <c r="X699" s="2">
        <v>10</v>
      </c>
      <c r="Y699" s="2">
        <v>10</v>
      </c>
      <c r="AB699" s="2">
        <v>87.272727272727295</v>
      </c>
      <c r="AC699" s="2">
        <v>6.1329021288114003</v>
      </c>
      <c r="AD699" s="2">
        <v>110.06060606060601</v>
      </c>
      <c r="AE699" s="2">
        <v>10.73257872542</v>
      </c>
      <c r="AF699" s="2" t="s">
        <v>74</v>
      </c>
      <c r="AG699" s="2" t="s">
        <v>64</v>
      </c>
      <c r="AH699" s="2" t="s">
        <v>74</v>
      </c>
      <c r="AR699" s="2" t="s">
        <v>849</v>
      </c>
      <c r="AS699" s="2" t="s">
        <v>849</v>
      </c>
      <c r="AU699" s="2" t="s">
        <v>1818</v>
      </c>
      <c r="AV699" s="2" t="s">
        <v>1822</v>
      </c>
      <c r="AW699" s="2" t="s">
        <v>1837</v>
      </c>
      <c r="AX699" s="2" t="s">
        <v>1826</v>
      </c>
      <c r="AY699" s="2" t="s">
        <v>79</v>
      </c>
    </row>
    <row r="700" spans="1:51" x14ac:dyDescent="0.2">
      <c r="A700" s="2" t="s">
        <v>2120</v>
      </c>
      <c r="B700" s="2" t="s">
        <v>2121</v>
      </c>
      <c r="C700" s="2" t="s">
        <v>2122</v>
      </c>
      <c r="D700" s="2">
        <v>2021</v>
      </c>
      <c r="E700" s="2" t="s">
        <v>2117</v>
      </c>
      <c r="F700" s="2" t="s">
        <v>2123</v>
      </c>
      <c r="G700" s="2" t="s">
        <v>2133</v>
      </c>
      <c r="H700" s="2" t="s">
        <v>2134</v>
      </c>
      <c r="I700" s="2" t="s">
        <v>2126</v>
      </c>
      <c r="J700" s="2" t="s">
        <v>85</v>
      </c>
      <c r="K700" s="2" t="s">
        <v>38</v>
      </c>
      <c r="L700" s="2" t="s">
        <v>11</v>
      </c>
      <c r="M700" s="2" t="s">
        <v>14</v>
      </c>
      <c r="N700" s="2" t="s">
        <v>2309</v>
      </c>
      <c r="O700" s="2">
        <v>0</v>
      </c>
      <c r="P700" s="2" t="s">
        <v>22</v>
      </c>
      <c r="Q700" s="2" t="s">
        <v>1056</v>
      </c>
      <c r="T700" s="2" t="s">
        <v>50</v>
      </c>
      <c r="U700" s="2" t="s">
        <v>398</v>
      </c>
      <c r="V700" s="2">
        <v>10</v>
      </c>
      <c r="W700" s="2" t="s">
        <v>2136</v>
      </c>
      <c r="X700" s="2">
        <v>30</v>
      </c>
      <c r="Y700" s="2">
        <v>30</v>
      </c>
      <c r="AB700" s="2">
        <v>8.7654320987654302</v>
      </c>
      <c r="AC700" s="2">
        <v>1.3524013765559699</v>
      </c>
      <c r="AD700" s="2">
        <v>11.9135802469136</v>
      </c>
      <c r="AE700" s="2">
        <v>1.0143010324169801</v>
      </c>
      <c r="AF700" s="2" t="s">
        <v>74</v>
      </c>
      <c r="AG700" s="2" t="s">
        <v>64</v>
      </c>
      <c r="AH700" s="2" t="s">
        <v>74</v>
      </c>
      <c r="AR700" s="2" t="s">
        <v>849</v>
      </c>
      <c r="AS700" s="2" t="s">
        <v>849</v>
      </c>
      <c r="AU700" s="2" t="s">
        <v>1818</v>
      </c>
      <c r="AV700" s="2" t="s">
        <v>1822</v>
      </c>
      <c r="AW700" s="2" t="s">
        <v>1837</v>
      </c>
      <c r="AX700" s="2" t="s">
        <v>1826</v>
      </c>
      <c r="AY700" s="2" t="s">
        <v>79</v>
      </c>
    </row>
    <row r="701" spans="1:51" x14ac:dyDescent="0.2">
      <c r="A701" s="2" t="s">
        <v>2120</v>
      </c>
      <c r="B701" s="2" t="s">
        <v>2121</v>
      </c>
      <c r="C701" s="2" t="s">
        <v>2122</v>
      </c>
      <c r="D701" s="2">
        <v>2021</v>
      </c>
      <c r="E701" s="2" t="s">
        <v>2117</v>
      </c>
      <c r="F701" s="2" t="s">
        <v>2123</v>
      </c>
      <c r="G701" s="2" t="s">
        <v>2133</v>
      </c>
      <c r="H701" s="2" t="s">
        <v>2135</v>
      </c>
      <c r="I701" s="2" t="s">
        <v>2126</v>
      </c>
      <c r="J701" s="2" t="s">
        <v>85</v>
      </c>
      <c r="K701" s="2" t="s">
        <v>38</v>
      </c>
      <c r="L701" s="2" t="s">
        <v>11</v>
      </c>
      <c r="M701" s="2" t="s">
        <v>14</v>
      </c>
      <c r="N701" s="2" t="s">
        <v>16</v>
      </c>
      <c r="O701" s="2">
        <v>1</v>
      </c>
      <c r="P701" s="2" t="s">
        <v>22</v>
      </c>
      <c r="Q701" s="2" t="s">
        <v>1056</v>
      </c>
      <c r="T701" s="2" t="s">
        <v>50</v>
      </c>
      <c r="U701" s="2" t="s">
        <v>398</v>
      </c>
      <c r="V701" s="2">
        <v>10</v>
      </c>
      <c r="W701" s="2" t="s">
        <v>2136</v>
      </c>
      <c r="X701" s="2">
        <v>30</v>
      </c>
      <c r="Y701" s="2">
        <v>30</v>
      </c>
      <c r="AB701" s="2">
        <v>8.7654320987654302</v>
      </c>
      <c r="AC701" s="2">
        <v>1.3524013765559699</v>
      </c>
      <c r="AD701" s="2">
        <v>14.320987654321</v>
      </c>
      <c r="AE701" s="2">
        <v>2.02860206483395</v>
      </c>
      <c r="AF701" s="2" t="s">
        <v>74</v>
      </c>
      <c r="AG701" s="2" t="s">
        <v>64</v>
      </c>
      <c r="AH701" s="2" t="s">
        <v>74</v>
      </c>
      <c r="AR701" s="2" t="s">
        <v>849</v>
      </c>
      <c r="AS701" s="2" t="s">
        <v>849</v>
      </c>
      <c r="AU701" s="2" t="s">
        <v>1818</v>
      </c>
      <c r="AV701" s="2" t="s">
        <v>1822</v>
      </c>
      <c r="AW701" s="2" t="s">
        <v>1837</v>
      </c>
      <c r="AX701" s="2" t="s">
        <v>1826</v>
      </c>
      <c r="AY701" s="2" t="s">
        <v>79</v>
      </c>
    </row>
    <row r="702" spans="1:51" x14ac:dyDescent="0.2">
      <c r="A702" s="2" t="s">
        <v>2120</v>
      </c>
      <c r="B702" s="2" t="s">
        <v>2121</v>
      </c>
      <c r="C702" s="2" t="s">
        <v>2122</v>
      </c>
      <c r="D702" s="2">
        <v>2021</v>
      </c>
      <c r="E702" s="2" t="s">
        <v>2117</v>
      </c>
      <c r="F702" s="2" t="s">
        <v>2123</v>
      </c>
      <c r="G702" s="2" t="s">
        <v>2133</v>
      </c>
      <c r="H702" s="2" t="s">
        <v>2137</v>
      </c>
      <c r="I702" s="2" t="s">
        <v>2126</v>
      </c>
      <c r="J702" s="2" t="s">
        <v>85</v>
      </c>
      <c r="K702" s="2" t="s">
        <v>38</v>
      </c>
      <c r="L702" s="2" t="s">
        <v>11</v>
      </c>
      <c r="M702" s="2" t="s">
        <v>14</v>
      </c>
      <c r="N702" s="2" t="s">
        <v>2309</v>
      </c>
      <c r="O702" s="2">
        <v>0</v>
      </c>
      <c r="P702" s="2" t="s">
        <v>22</v>
      </c>
      <c r="Q702" s="2" t="s">
        <v>1056</v>
      </c>
      <c r="T702" s="2" t="s">
        <v>50</v>
      </c>
      <c r="U702" s="2" t="s">
        <v>398</v>
      </c>
      <c r="V702" s="2">
        <v>10</v>
      </c>
      <c r="W702" s="2" t="s">
        <v>2139</v>
      </c>
      <c r="X702" s="2">
        <v>30</v>
      </c>
      <c r="Y702" s="2">
        <v>30</v>
      </c>
      <c r="AB702" s="2">
        <v>1530.6990881459001</v>
      </c>
      <c r="AC702" s="2">
        <v>119.86633477316801</v>
      </c>
      <c r="AD702" s="2">
        <v>1155.01519756839</v>
      </c>
      <c r="AE702" s="2">
        <v>89.899751079875699</v>
      </c>
      <c r="AF702" s="2" t="s">
        <v>74</v>
      </c>
      <c r="AG702" s="2" t="s">
        <v>64</v>
      </c>
      <c r="AH702" s="2" t="s">
        <v>74</v>
      </c>
      <c r="AR702" s="2" t="s">
        <v>849</v>
      </c>
      <c r="AS702" s="2" t="s">
        <v>849</v>
      </c>
      <c r="AU702" s="2" t="s">
        <v>1818</v>
      </c>
      <c r="AV702" s="2" t="s">
        <v>1822</v>
      </c>
      <c r="AW702" s="2" t="s">
        <v>1837</v>
      </c>
      <c r="AX702" s="2" t="s">
        <v>1826</v>
      </c>
      <c r="AY702" s="2" t="s">
        <v>79</v>
      </c>
    </row>
    <row r="703" spans="1:51" x14ac:dyDescent="0.2">
      <c r="A703" s="2" t="s">
        <v>2120</v>
      </c>
      <c r="B703" s="2" t="s">
        <v>2121</v>
      </c>
      <c r="C703" s="2" t="s">
        <v>2122</v>
      </c>
      <c r="D703" s="2">
        <v>2021</v>
      </c>
      <c r="E703" s="2" t="s">
        <v>2117</v>
      </c>
      <c r="F703" s="2" t="s">
        <v>2123</v>
      </c>
      <c r="G703" s="2" t="s">
        <v>2133</v>
      </c>
      <c r="H703" s="2" t="s">
        <v>2138</v>
      </c>
      <c r="I703" s="2" t="s">
        <v>2126</v>
      </c>
      <c r="J703" s="2" t="s">
        <v>85</v>
      </c>
      <c r="K703" s="2" t="s">
        <v>38</v>
      </c>
      <c r="L703" s="2" t="s">
        <v>11</v>
      </c>
      <c r="M703" s="2" t="s">
        <v>14</v>
      </c>
      <c r="N703" s="2" t="s">
        <v>16</v>
      </c>
      <c r="O703" s="2">
        <v>1</v>
      </c>
      <c r="P703" s="2" t="s">
        <v>22</v>
      </c>
      <c r="Q703" s="2" t="s">
        <v>1056</v>
      </c>
      <c r="T703" s="2" t="s">
        <v>50</v>
      </c>
      <c r="U703" s="2" t="s">
        <v>398</v>
      </c>
      <c r="V703" s="2">
        <v>10</v>
      </c>
      <c r="W703" s="2" t="s">
        <v>2139</v>
      </c>
      <c r="X703" s="2">
        <v>30</v>
      </c>
      <c r="Y703" s="2">
        <v>30</v>
      </c>
      <c r="AB703" s="2">
        <v>1530.6990881459001</v>
      </c>
      <c r="AC703" s="2">
        <v>119.86633477316801</v>
      </c>
      <c r="AD703" s="2">
        <v>1485.1063829787199</v>
      </c>
      <c r="AE703" s="2">
        <v>129.855196004265</v>
      </c>
      <c r="AF703" s="2" t="s">
        <v>74</v>
      </c>
      <c r="AG703" s="2" t="s">
        <v>64</v>
      </c>
      <c r="AH703" s="2" t="s">
        <v>74</v>
      </c>
      <c r="AR703" s="2" t="s">
        <v>849</v>
      </c>
      <c r="AS703" s="2" t="s">
        <v>849</v>
      </c>
      <c r="AU703" s="2" t="s">
        <v>1818</v>
      </c>
      <c r="AV703" s="2" t="s">
        <v>1822</v>
      </c>
      <c r="AW703" s="2" t="s">
        <v>1837</v>
      </c>
      <c r="AX703" s="2" t="s">
        <v>1826</v>
      </c>
      <c r="AY703" s="2" t="s">
        <v>79</v>
      </c>
    </row>
    <row r="704" spans="1:51" x14ac:dyDescent="0.2">
      <c r="A704" s="2" t="s">
        <v>2140</v>
      </c>
      <c r="B704" s="2" t="s">
        <v>2141</v>
      </c>
      <c r="C704" s="2" t="s">
        <v>2142</v>
      </c>
      <c r="D704" s="2">
        <v>2023</v>
      </c>
      <c r="E704" s="2" t="s">
        <v>2118</v>
      </c>
      <c r="F704" s="2" t="s">
        <v>2128</v>
      </c>
      <c r="G704" s="2" t="s">
        <v>2143</v>
      </c>
      <c r="H704" s="2" t="s">
        <v>2144</v>
      </c>
      <c r="I704" s="2" t="s">
        <v>512</v>
      </c>
      <c r="J704" s="2" t="s">
        <v>86</v>
      </c>
      <c r="K704" s="2" t="s">
        <v>38</v>
      </c>
      <c r="L704" s="2" t="s">
        <v>11</v>
      </c>
      <c r="M704" s="2" t="s">
        <v>14</v>
      </c>
      <c r="N704" s="2" t="s">
        <v>16</v>
      </c>
      <c r="O704" s="2">
        <v>1</v>
      </c>
      <c r="P704" s="2" t="s">
        <v>79</v>
      </c>
      <c r="Q704" s="2" t="s">
        <v>30</v>
      </c>
      <c r="T704" s="2" t="s">
        <v>50</v>
      </c>
      <c r="U704" s="2" t="s">
        <v>421</v>
      </c>
      <c r="X704" s="2">
        <v>26</v>
      </c>
      <c r="Y704" s="2">
        <v>26</v>
      </c>
      <c r="AB704" s="2">
        <v>6.384615384615385</v>
      </c>
      <c r="AC704" s="2">
        <v>1.0982503567738311</v>
      </c>
      <c r="AD704" s="2">
        <v>5.9230769230769234</v>
      </c>
      <c r="AE704" s="2">
        <v>1.1635489477654786</v>
      </c>
      <c r="AF704" s="2" t="s">
        <v>74</v>
      </c>
      <c r="AG704" s="2" t="s">
        <v>64</v>
      </c>
      <c r="AH704" s="2" t="s">
        <v>74</v>
      </c>
      <c r="AR704" s="2" t="s">
        <v>849</v>
      </c>
      <c r="AS704" s="2" t="s">
        <v>849</v>
      </c>
      <c r="AU704" s="2" t="s">
        <v>1818</v>
      </c>
      <c r="AV704" s="2" t="s">
        <v>1830</v>
      </c>
      <c r="AW704" s="2" t="s">
        <v>1831</v>
      </c>
      <c r="AX704" s="2" t="s">
        <v>1829</v>
      </c>
      <c r="AY704" s="2" t="s">
        <v>79</v>
      </c>
    </row>
    <row r="705" spans="1:51" x14ac:dyDescent="0.2">
      <c r="A705" s="2" t="s">
        <v>2140</v>
      </c>
      <c r="B705" s="2" t="s">
        <v>2141</v>
      </c>
      <c r="C705" s="2" t="s">
        <v>2142</v>
      </c>
      <c r="D705" s="2">
        <v>2023</v>
      </c>
      <c r="E705" s="2" t="s">
        <v>2118</v>
      </c>
      <c r="F705" s="2" t="s">
        <v>2128</v>
      </c>
      <c r="G705" s="2" t="s">
        <v>2143</v>
      </c>
      <c r="H705" s="2" t="s">
        <v>2145</v>
      </c>
      <c r="I705" s="2" t="s">
        <v>512</v>
      </c>
      <c r="J705" s="2" t="s">
        <v>86</v>
      </c>
      <c r="K705" s="2" t="s">
        <v>38</v>
      </c>
      <c r="L705" s="2" t="s">
        <v>11</v>
      </c>
      <c r="M705" s="2" t="s">
        <v>14</v>
      </c>
      <c r="N705" s="2" t="s">
        <v>16</v>
      </c>
      <c r="O705" s="2">
        <v>1</v>
      </c>
      <c r="P705" s="2" t="s">
        <v>79</v>
      </c>
      <c r="Q705" s="2" t="s">
        <v>1840</v>
      </c>
      <c r="T705" s="2" t="s">
        <v>50</v>
      </c>
      <c r="U705" s="2" t="s">
        <v>421</v>
      </c>
      <c r="X705" s="2">
        <v>26</v>
      </c>
      <c r="Y705" s="2">
        <v>26</v>
      </c>
      <c r="AB705" s="2">
        <v>209.03846153846155</v>
      </c>
      <c r="AC705" s="2">
        <v>42.042341290000003</v>
      </c>
      <c r="AD705" s="2">
        <v>181.80769230769232</v>
      </c>
      <c r="AE705" s="2">
        <v>36.15634852223797</v>
      </c>
      <c r="AF705" s="2" t="s">
        <v>74</v>
      </c>
      <c r="AG705" s="2" t="s">
        <v>64</v>
      </c>
      <c r="AH705" s="2" t="s">
        <v>74</v>
      </c>
      <c r="AR705" s="2" t="s">
        <v>849</v>
      </c>
      <c r="AS705" s="2" t="s">
        <v>849</v>
      </c>
      <c r="AU705" s="2" t="s">
        <v>1818</v>
      </c>
      <c r="AV705" s="2" t="s">
        <v>1830</v>
      </c>
      <c r="AW705" s="2" t="s">
        <v>1831</v>
      </c>
      <c r="AX705" s="2" t="s">
        <v>1829</v>
      </c>
      <c r="AY705" s="2" t="s">
        <v>79</v>
      </c>
    </row>
    <row r="706" spans="1:51" x14ac:dyDescent="0.2">
      <c r="A706" s="2" t="s">
        <v>2140</v>
      </c>
      <c r="B706" s="2" t="s">
        <v>2141</v>
      </c>
      <c r="C706" s="2" t="s">
        <v>2142</v>
      </c>
      <c r="D706" s="2">
        <v>2023</v>
      </c>
      <c r="E706" s="2" t="s">
        <v>2118</v>
      </c>
      <c r="F706" s="2" t="s">
        <v>2128</v>
      </c>
      <c r="G706" s="2" t="s">
        <v>2146</v>
      </c>
      <c r="H706" s="2" t="s">
        <v>2147</v>
      </c>
      <c r="I706" s="2" t="s">
        <v>512</v>
      </c>
      <c r="J706" s="2" t="s">
        <v>86</v>
      </c>
      <c r="K706" s="2" t="s">
        <v>38</v>
      </c>
      <c r="L706" s="2" t="s">
        <v>11</v>
      </c>
      <c r="M706" s="2" t="s">
        <v>14</v>
      </c>
      <c r="N706" s="2" t="s">
        <v>16</v>
      </c>
      <c r="O706" s="2">
        <v>1</v>
      </c>
      <c r="P706" s="2" t="s">
        <v>22</v>
      </c>
      <c r="Q706" s="2" t="s">
        <v>1839</v>
      </c>
      <c r="T706" s="2" t="s">
        <v>50</v>
      </c>
      <c r="U706" s="2" t="s">
        <v>421</v>
      </c>
      <c r="X706" s="2">
        <v>95</v>
      </c>
      <c r="Y706" s="2">
        <v>100</v>
      </c>
      <c r="AB706" s="2">
        <v>1697.0105263157895</v>
      </c>
      <c r="AC706" s="2">
        <v>2115.35</v>
      </c>
      <c r="AD706" s="2">
        <v>1245.4436319294223</v>
      </c>
      <c r="AE706" s="2">
        <v>1950.0776227751769</v>
      </c>
      <c r="AF706" s="2" t="s">
        <v>74</v>
      </c>
      <c r="AG706" s="2" t="s">
        <v>64</v>
      </c>
      <c r="AH706" s="2" t="s">
        <v>74</v>
      </c>
      <c r="AR706" s="2" t="s">
        <v>849</v>
      </c>
      <c r="AS706" s="2" t="s">
        <v>222</v>
      </c>
      <c r="AU706" s="2" t="s">
        <v>1818</v>
      </c>
      <c r="AV706" s="2" t="s">
        <v>1830</v>
      </c>
      <c r="AW706" s="2" t="s">
        <v>1831</v>
      </c>
      <c r="AX706" s="2" t="s">
        <v>1829</v>
      </c>
      <c r="AY706" s="2" t="s">
        <v>79</v>
      </c>
    </row>
    <row r="707" spans="1:51" x14ac:dyDescent="0.2">
      <c r="A707" s="2" t="s">
        <v>2140</v>
      </c>
      <c r="B707" s="2" t="s">
        <v>2141</v>
      </c>
      <c r="C707" s="2" t="s">
        <v>2142</v>
      </c>
      <c r="D707" s="2">
        <v>2023</v>
      </c>
      <c r="E707" s="2" t="s">
        <v>2118</v>
      </c>
      <c r="F707" s="2" t="s">
        <v>2128</v>
      </c>
      <c r="G707" s="2" t="s">
        <v>2146</v>
      </c>
      <c r="H707" s="2" t="s">
        <v>2148</v>
      </c>
      <c r="I707" s="2" t="s">
        <v>512</v>
      </c>
      <c r="J707" s="2" t="s">
        <v>86</v>
      </c>
      <c r="K707" s="2" t="s">
        <v>38</v>
      </c>
      <c r="L707" s="2" t="s">
        <v>11</v>
      </c>
      <c r="M707" s="2" t="s">
        <v>14</v>
      </c>
      <c r="N707" s="2" t="s">
        <v>16</v>
      </c>
      <c r="O707" s="2">
        <v>1</v>
      </c>
      <c r="P707" s="2" t="s">
        <v>22</v>
      </c>
      <c r="Q707" s="2" t="s">
        <v>30</v>
      </c>
      <c r="T707" s="2" t="s">
        <v>50</v>
      </c>
      <c r="U707" s="2" t="s">
        <v>421</v>
      </c>
      <c r="X707" s="2">
        <v>95</v>
      </c>
      <c r="Y707" s="2">
        <v>100</v>
      </c>
      <c r="Z707" s="2">
        <v>93</v>
      </c>
      <c r="AA707" s="2">
        <v>90</v>
      </c>
      <c r="AH707" s="2" t="s">
        <v>1804</v>
      </c>
      <c r="AR707" s="2" t="s">
        <v>849</v>
      </c>
      <c r="AS707" s="2" t="s">
        <v>849</v>
      </c>
      <c r="AU707" s="2" t="s">
        <v>1818</v>
      </c>
      <c r="AV707" s="2" t="s">
        <v>1830</v>
      </c>
      <c r="AW707" s="2" t="s">
        <v>1831</v>
      </c>
      <c r="AX707" s="2" t="s">
        <v>1829</v>
      </c>
      <c r="AY707" s="2" t="s">
        <v>79</v>
      </c>
    </row>
    <row r="708" spans="1:51" x14ac:dyDescent="0.2">
      <c r="A708" s="2" t="s">
        <v>2149</v>
      </c>
      <c r="B708" s="2" t="s">
        <v>2150</v>
      </c>
      <c r="C708" s="2" t="s">
        <v>2151</v>
      </c>
      <c r="D708" s="2">
        <v>2020</v>
      </c>
      <c r="E708" s="2" t="s">
        <v>2119</v>
      </c>
      <c r="F708" s="2" t="s">
        <v>2152</v>
      </c>
      <c r="G708" s="2" t="s">
        <v>2153</v>
      </c>
      <c r="H708" s="2" t="s">
        <v>2154</v>
      </c>
      <c r="I708" s="2" t="s">
        <v>2155</v>
      </c>
      <c r="J708" s="2" t="s">
        <v>85</v>
      </c>
      <c r="K708" s="2" t="s">
        <v>38</v>
      </c>
      <c r="L708" s="2" t="s">
        <v>11</v>
      </c>
      <c r="M708" s="2" t="s">
        <v>14</v>
      </c>
      <c r="N708" s="2" t="s">
        <v>18</v>
      </c>
      <c r="O708" s="2">
        <v>0</v>
      </c>
      <c r="P708" s="2" t="s">
        <v>79</v>
      </c>
      <c r="Q708" s="2" t="s">
        <v>1840</v>
      </c>
      <c r="T708" s="2" t="s">
        <v>50</v>
      </c>
      <c r="U708" s="2" t="s">
        <v>398</v>
      </c>
      <c r="V708" s="2">
        <v>5</v>
      </c>
      <c r="W708" s="2" t="s">
        <v>1064</v>
      </c>
      <c r="X708" s="2">
        <v>19</v>
      </c>
      <c r="Y708" s="2">
        <v>17</v>
      </c>
      <c r="AB708" s="2">
        <v>18.423208191126299</v>
      </c>
      <c r="AC708" s="2">
        <v>4.5149339779259297</v>
      </c>
      <c r="AD708" s="2">
        <v>19.924914675767901</v>
      </c>
      <c r="AE708" s="2">
        <v>4.5980182885008496</v>
      </c>
      <c r="AF708" s="2" t="s">
        <v>74</v>
      </c>
      <c r="AG708" s="2" t="s">
        <v>64</v>
      </c>
      <c r="AH708" s="2" t="s">
        <v>74</v>
      </c>
      <c r="AR708" s="2" t="s">
        <v>849</v>
      </c>
      <c r="AS708" s="2" t="s">
        <v>849</v>
      </c>
      <c r="AU708" s="2" t="s">
        <v>1818</v>
      </c>
      <c r="AV708" s="2" t="s">
        <v>1830</v>
      </c>
      <c r="AW708" s="2" t="s">
        <v>1837</v>
      </c>
      <c r="AX708" s="2" t="s">
        <v>1821</v>
      </c>
      <c r="AY708" s="2" t="s">
        <v>79</v>
      </c>
    </row>
    <row r="709" spans="1:51" x14ac:dyDescent="0.2">
      <c r="A709" s="2" t="s">
        <v>2149</v>
      </c>
      <c r="B709" s="2" t="s">
        <v>2150</v>
      </c>
      <c r="C709" s="2" t="s">
        <v>2151</v>
      </c>
      <c r="D709" s="2">
        <v>2020</v>
      </c>
      <c r="E709" s="2" t="s">
        <v>2119</v>
      </c>
      <c r="F709" s="2" t="s">
        <v>2152</v>
      </c>
      <c r="G709" s="2" t="s">
        <v>2157</v>
      </c>
      <c r="H709" s="2" t="s">
        <v>2156</v>
      </c>
      <c r="I709" s="2" t="s">
        <v>2155</v>
      </c>
      <c r="J709" s="2" t="s">
        <v>85</v>
      </c>
      <c r="K709" s="2" t="s">
        <v>38</v>
      </c>
      <c r="L709" s="2" t="s">
        <v>11</v>
      </c>
      <c r="M709" s="2" t="s">
        <v>14</v>
      </c>
      <c r="N709" s="2" t="s">
        <v>18</v>
      </c>
      <c r="O709" s="2">
        <v>0</v>
      </c>
      <c r="P709" s="2" t="s">
        <v>79</v>
      </c>
      <c r="Q709" s="2" t="s">
        <v>1840</v>
      </c>
      <c r="T709" s="2" t="s">
        <v>50</v>
      </c>
      <c r="U709" s="2" t="s">
        <v>398</v>
      </c>
      <c r="V709" s="2">
        <v>5</v>
      </c>
      <c r="W709" s="2" t="s">
        <v>528</v>
      </c>
      <c r="X709" s="2">
        <v>7</v>
      </c>
      <c r="Y709" s="2">
        <v>9</v>
      </c>
      <c r="AB709" s="2">
        <v>20.944649446494498</v>
      </c>
      <c r="AC709" s="2">
        <v>4.7838307838437304</v>
      </c>
      <c r="AD709" s="2">
        <v>24.6715867158672</v>
      </c>
      <c r="AE709" s="2">
        <v>5.5350553505534998</v>
      </c>
      <c r="AF709" s="2" t="s">
        <v>74</v>
      </c>
      <c r="AG709" s="2" t="s">
        <v>64</v>
      </c>
      <c r="AH709" s="2" t="s">
        <v>74</v>
      </c>
      <c r="AR709" s="2" t="s">
        <v>849</v>
      </c>
      <c r="AS709" s="2" t="s">
        <v>849</v>
      </c>
      <c r="AU709" s="2" t="s">
        <v>1818</v>
      </c>
      <c r="AV709" s="2" t="s">
        <v>1830</v>
      </c>
      <c r="AW709" s="2" t="s">
        <v>1837</v>
      </c>
      <c r="AX709" s="2" t="s">
        <v>1821</v>
      </c>
      <c r="AY709" s="2" t="s">
        <v>79</v>
      </c>
    </row>
    <row r="710" spans="1:51" x14ac:dyDescent="0.2">
      <c r="A710" s="2" t="s">
        <v>2158</v>
      </c>
      <c r="B710" s="2" t="s">
        <v>2159</v>
      </c>
      <c r="C710" s="2" t="s">
        <v>2160</v>
      </c>
      <c r="D710" s="2">
        <v>2022</v>
      </c>
      <c r="E710" s="2" t="s">
        <v>2161</v>
      </c>
      <c r="F710" s="2" t="s">
        <v>2162</v>
      </c>
      <c r="G710" s="2" t="s">
        <v>2163</v>
      </c>
      <c r="H710" s="2" t="s">
        <v>2164</v>
      </c>
      <c r="I710" s="2" t="s">
        <v>2165</v>
      </c>
      <c r="J710" s="2" t="s">
        <v>32</v>
      </c>
      <c r="K710" s="2" t="s">
        <v>37</v>
      </c>
      <c r="P710" s="2" t="s">
        <v>22</v>
      </c>
      <c r="Q710" s="2" t="s">
        <v>30</v>
      </c>
      <c r="R710" s="2" t="s">
        <v>41</v>
      </c>
      <c r="S710" s="2" t="s">
        <v>48</v>
      </c>
      <c r="T710" s="2" t="s">
        <v>50</v>
      </c>
      <c r="U710" s="2" t="s">
        <v>421</v>
      </c>
      <c r="X710" s="2">
        <v>236</v>
      </c>
      <c r="Y710" s="2">
        <v>31</v>
      </c>
      <c r="AB710" s="2">
        <v>3.3686440677966103</v>
      </c>
      <c r="AC710" s="2">
        <v>3.6774193548387095</v>
      </c>
      <c r="AD710" s="2">
        <v>2.2245515599747145</v>
      </c>
      <c r="AE710" s="2">
        <v>2.688086020128988</v>
      </c>
      <c r="AF710" s="2" t="s">
        <v>74</v>
      </c>
      <c r="AG710" s="2" t="s">
        <v>65</v>
      </c>
      <c r="AH710" s="2" t="s">
        <v>74</v>
      </c>
      <c r="AR710" s="2" t="s">
        <v>222</v>
      </c>
      <c r="AS710" s="2" t="s">
        <v>849</v>
      </c>
      <c r="AU710" s="2" t="s">
        <v>1818</v>
      </c>
      <c r="AV710" s="2" t="s">
        <v>1822</v>
      </c>
      <c r="AW710" s="2" t="s">
        <v>1823</v>
      </c>
      <c r="AX710" s="2" t="s">
        <v>1829</v>
      </c>
      <c r="AY710" s="2" t="s">
        <v>79</v>
      </c>
    </row>
    <row r="711" spans="1:51" x14ac:dyDescent="0.2">
      <c r="A711" s="2" t="s">
        <v>2158</v>
      </c>
      <c r="B711" s="2" t="s">
        <v>2159</v>
      </c>
      <c r="C711" s="2" t="s">
        <v>2160</v>
      </c>
      <c r="D711" s="2">
        <v>2022</v>
      </c>
      <c r="E711" s="2" t="s">
        <v>2161</v>
      </c>
      <c r="F711" s="2" t="s">
        <v>2162</v>
      </c>
      <c r="G711" s="2" t="s">
        <v>2163</v>
      </c>
      <c r="H711" s="2" t="s">
        <v>2166</v>
      </c>
      <c r="I711" s="2" t="s">
        <v>2165</v>
      </c>
      <c r="J711" s="2" t="s">
        <v>32</v>
      </c>
      <c r="K711" s="2" t="s">
        <v>37</v>
      </c>
      <c r="P711" s="2" t="s">
        <v>22</v>
      </c>
      <c r="Q711" s="2" t="s">
        <v>30</v>
      </c>
      <c r="R711" s="2" t="s">
        <v>41</v>
      </c>
      <c r="S711" s="2" t="s">
        <v>47</v>
      </c>
      <c r="T711" s="2" t="s">
        <v>50</v>
      </c>
      <c r="U711" s="2" t="s">
        <v>421</v>
      </c>
      <c r="X711" s="2">
        <v>7</v>
      </c>
      <c r="Y711" s="2">
        <v>7</v>
      </c>
      <c r="AB711" s="2">
        <v>0.28741776836838406</v>
      </c>
      <c r="AC711" s="2">
        <v>0.11956594237172745</v>
      </c>
      <c r="AD711" s="2">
        <v>0.12751044959553362</v>
      </c>
      <c r="AE711" s="2">
        <v>4.5442539130347209E-2</v>
      </c>
      <c r="AF711" s="2" t="s">
        <v>74</v>
      </c>
      <c r="AG711" s="2" t="s">
        <v>64</v>
      </c>
      <c r="AH711" s="2" t="s">
        <v>74</v>
      </c>
      <c r="AR711" s="2" t="s">
        <v>222</v>
      </c>
      <c r="AS711" s="2" t="s">
        <v>849</v>
      </c>
      <c r="AU711" s="2" t="s">
        <v>1818</v>
      </c>
      <c r="AV711" s="2" t="s">
        <v>1822</v>
      </c>
      <c r="AW711" s="2" t="s">
        <v>1823</v>
      </c>
      <c r="AX711" s="2" t="s">
        <v>1829</v>
      </c>
      <c r="AY711" s="2" t="s">
        <v>79</v>
      </c>
    </row>
    <row r="712" spans="1:51" x14ac:dyDescent="0.2">
      <c r="A712" s="2" t="s">
        <v>2167</v>
      </c>
      <c r="B712" s="2" t="s">
        <v>2168</v>
      </c>
      <c r="C712" s="2" t="s">
        <v>2169</v>
      </c>
      <c r="D712" s="2">
        <v>2024</v>
      </c>
      <c r="E712" s="2" t="s">
        <v>2170</v>
      </c>
      <c r="F712" s="2" t="s">
        <v>2171</v>
      </c>
      <c r="G712" s="2" t="s">
        <v>2172</v>
      </c>
      <c r="H712" s="2" t="s">
        <v>2173</v>
      </c>
      <c r="I712" s="2" t="s">
        <v>2174</v>
      </c>
      <c r="J712" s="2" t="s">
        <v>35</v>
      </c>
      <c r="K712" s="2" t="s">
        <v>38</v>
      </c>
      <c r="L712" s="2" t="s">
        <v>11</v>
      </c>
      <c r="M712" s="2" t="s">
        <v>14</v>
      </c>
      <c r="N712" s="2" t="s">
        <v>15</v>
      </c>
      <c r="O712" s="2">
        <v>1</v>
      </c>
      <c r="P712" s="2" t="s">
        <v>22</v>
      </c>
      <c r="Q712" s="2" t="s">
        <v>1839</v>
      </c>
      <c r="T712" s="2" t="s">
        <v>50</v>
      </c>
      <c r="U712" s="2" t="s">
        <v>54</v>
      </c>
      <c r="V712" s="2">
        <v>3</v>
      </c>
      <c r="W712" s="2">
        <v>2</v>
      </c>
      <c r="X712" s="2">
        <v>29</v>
      </c>
      <c r="Y712" s="2">
        <v>13</v>
      </c>
      <c r="AB712" s="2">
        <v>15.89</v>
      </c>
      <c r="AC712" s="2">
        <v>1.68</v>
      </c>
      <c r="AD712" s="2">
        <v>7.35</v>
      </c>
      <c r="AE712" s="2">
        <v>0.49</v>
      </c>
      <c r="AF712" s="2" t="s">
        <v>74</v>
      </c>
      <c r="AG712" s="2" t="s">
        <v>65</v>
      </c>
      <c r="AH712" s="2" t="s">
        <v>74</v>
      </c>
      <c r="AR712" s="2" t="s">
        <v>849</v>
      </c>
      <c r="AS712" s="2" t="s">
        <v>222</v>
      </c>
      <c r="AU712" s="2" t="s">
        <v>1818</v>
      </c>
      <c r="AV712" s="2" t="s">
        <v>1822</v>
      </c>
      <c r="AW712" s="2" t="s">
        <v>26</v>
      </c>
      <c r="AX712" s="2" t="s">
        <v>1821</v>
      </c>
      <c r="AY712" s="2" t="s">
        <v>79</v>
      </c>
    </row>
    <row r="713" spans="1:51" x14ac:dyDescent="0.2">
      <c r="A713" s="2" t="s">
        <v>2167</v>
      </c>
      <c r="B713" s="2" t="s">
        <v>2168</v>
      </c>
      <c r="C713" s="2" t="s">
        <v>2169</v>
      </c>
      <c r="D713" s="2">
        <v>2024</v>
      </c>
      <c r="E713" s="2" t="s">
        <v>2170</v>
      </c>
      <c r="F713" s="2" t="s">
        <v>2171</v>
      </c>
      <c r="G713" s="2" t="s">
        <v>2172</v>
      </c>
      <c r="H713" s="2" t="s">
        <v>2175</v>
      </c>
      <c r="I713" s="2" t="s">
        <v>2174</v>
      </c>
      <c r="J713" s="2" t="s">
        <v>35</v>
      </c>
      <c r="K713" s="2" t="s">
        <v>38</v>
      </c>
      <c r="L713" s="2" t="s">
        <v>11</v>
      </c>
      <c r="M713" s="2" t="s">
        <v>14</v>
      </c>
      <c r="N713" s="2" t="s">
        <v>15</v>
      </c>
      <c r="O713" s="2">
        <v>1</v>
      </c>
      <c r="P713" s="2" t="s">
        <v>22</v>
      </c>
      <c r="Q713" s="2" t="s">
        <v>1839</v>
      </c>
      <c r="T713" s="2" t="s">
        <v>50</v>
      </c>
      <c r="U713" s="2" t="s">
        <v>54</v>
      </c>
      <c r="V713" s="2">
        <v>3</v>
      </c>
      <c r="W713" s="2">
        <v>2</v>
      </c>
      <c r="X713" s="2">
        <v>11</v>
      </c>
      <c r="Y713" s="2">
        <v>36</v>
      </c>
      <c r="AB713" s="2">
        <v>7</v>
      </c>
      <c r="AC713" s="2">
        <v>0</v>
      </c>
      <c r="AD713" s="2">
        <v>8.33</v>
      </c>
      <c r="AE713" s="2">
        <v>0.63</v>
      </c>
      <c r="AF713" s="2" t="s">
        <v>74</v>
      </c>
      <c r="AG713" s="2" t="s">
        <v>65</v>
      </c>
      <c r="AH713" s="2" t="s">
        <v>74</v>
      </c>
      <c r="AR713" s="2" t="s">
        <v>849</v>
      </c>
      <c r="AS713" s="2" t="s">
        <v>222</v>
      </c>
      <c r="AU713" s="2" t="s">
        <v>1818</v>
      </c>
      <c r="AV713" s="2" t="s">
        <v>1822</v>
      </c>
      <c r="AW713" s="2" t="s">
        <v>26</v>
      </c>
      <c r="AX713" s="2" t="s">
        <v>1821</v>
      </c>
      <c r="AY713" s="2" t="s">
        <v>79</v>
      </c>
    </row>
    <row r="714" spans="1:51" x14ac:dyDescent="0.2">
      <c r="A714" s="2" t="s">
        <v>2167</v>
      </c>
      <c r="B714" s="2" t="s">
        <v>2168</v>
      </c>
      <c r="C714" s="2" t="s">
        <v>2176</v>
      </c>
      <c r="D714" s="2">
        <v>2024</v>
      </c>
      <c r="E714" s="2" t="s">
        <v>2170</v>
      </c>
      <c r="F714" s="2" t="s">
        <v>2171</v>
      </c>
      <c r="G714" s="2" t="s">
        <v>2172</v>
      </c>
      <c r="H714" s="2" t="s">
        <v>2180</v>
      </c>
      <c r="I714" s="2" t="s">
        <v>2174</v>
      </c>
      <c r="J714" s="2" t="s">
        <v>35</v>
      </c>
      <c r="K714" s="2" t="s">
        <v>38</v>
      </c>
      <c r="L714" s="2" t="s">
        <v>11</v>
      </c>
      <c r="M714" s="2" t="s">
        <v>14</v>
      </c>
      <c r="N714" s="2" t="s">
        <v>15</v>
      </c>
      <c r="O714" s="2">
        <v>1</v>
      </c>
      <c r="P714" s="2" t="s">
        <v>79</v>
      </c>
      <c r="Q714" s="2" t="s">
        <v>30</v>
      </c>
      <c r="T714" s="2" t="s">
        <v>50</v>
      </c>
      <c r="U714" s="2" t="s">
        <v>54</v>
      </c>
      <c r="V714" s="2">
        <v>3</v>
      </c>
      <c r="W714" s="2">
        <v>2</v>
      </c>
      <c r="X714" s="2">
        <v>29</v>
      </c>
      <c r="Y714" s="2">
        <v>13</v>
      </c>
      <c r="AB714" s="2">
        <v>4.2699999999999996</v>
      </c>
      <c r="AC714" s="2">
        <v>0.55000000000000004</v>
      </c>
      <c r="AD714" s="2">
        <v>2.64</v>
      </c>
      <c r="AE714" s="2">
        <v>0.44</v>
      </c>
      <c r="AF714" s="2" t="s">
        <v>74</v>
      </c>
      <c r="AG714" s="2" t="s">
        <v>65</v>
      </c>
      <c r="AH714" s="2" t="s">
        <v>74</v>
      </c>
      <c r="AR714" s="2" t="s">
        <v>849</v>
      </c>
      <c r="AS714" s="2" t="s">
        <v>849</v>
      </c>
      <c r="AU714" s="2" t="s">
        <v>1818</v>
      </c>
      <c r="AV714" s="2" t="s">
        <v>1822</v>
      </c>
      <c r="AW714" s="2" t="s">
        <v>26</v>
      </c>
      <c r="AX714" s="2" t="s">
        <v>1821</v>
      </c>
      <c r="AY714" s="2" t="s">
        <v>79</v>
      </c>
    </row>
    <row r="715" spans="1:51" x14ac:dyDescent="0.2">
      <c r="A715" s="2" t="s">
        <v>2167</v>
      </c>
      <c r="B715" s="2" t="s">
        <v>2168</v>
      </c>
      <c r="C715" s="2" t="s">
        <v>2177</v>
      </c>
      <c r="D715" s="2">
        <v>2024</v>
      </c>
      <c r="E715" s="2" t="s">
        <v>2170</v>
      </c>
      <c r="F715" s="2" t="s">
        <v>2171</v>
      </c>
      <c r="G715" s="2" t="s">
        <v>2172</v>
      </c>
      <c r="H715" s="2" t="s">
        <v>2181</v>
      </c>
      <c r="I715" s="2" t="s">
        <v>2174</v>
      </c>
      <c r="J715" s="2" t="s">
        <v>35</v>
      </c>
      <c r="K715" s="2" t="s">
        <v>38</v>
      </c>
      <c r="L715" s="2" t="s">
        <v>11</v>
      </c>
      <c r="M715" s="2" t="s">
        <v>14</v>
      </c>
      <c r="N715" s="2" t="s">
        <v>15</v>
      </c>
      <c r="O715" s="2">
        <v>1</v>
      </c>
      <c r="P715" s="2" t="s">
        <v>79</v>
      </c>
      <c r="Q715" s="2" t="s">
        <v>30</v>
      </c>
      <c r="T715" s="2" t="s">
        <v>50</v>
      </c>
      <c r="U715" s="2" t="s">
        <v>54</v>
      </c>
      <c r="V715" s="2">
        <v>3</v>
      </c>
      <c r="W715" s="2">
        <v>2</v>
      </c>
      <c r="X715" s="2">
        <v>11</v>
      </c>
      <c r="Y715" s="2">
        <v>36</v>
      </c>
      <c r="AB715" s="2">
        <v>4.55</v>
      </c>
      <c r="AC715" s="2">
        <v>0.76</v>
      </c>
      <c r="AD715" s="2">
        <v>4.59</v>
      </c>
      <c r="AE715" s="2">
        <v>0.37</v>
      </c>
      <c r="AF715" s="2" t="s">
        <v>74</v>
      </c>
      <c r="AG715" s="2" t="s">
        <v>65</v>
      </c>
      <c r="AH715" s="2" t="s">
        <v>74</v>
      </c>
      <c r="AR715" s="2" t="s">
        <v>849</v>
      </c>
      <c r="AS715" s="2" t="s">
        <v>849</v>
      </c>
      <c r="AU715" s="2" t="s">
        <v>1818</v>
      </c>
      <c r="AV715" s="2" t="s">
        <v>1822</v>
      </c>
      <c r="AW715" s="2" t="s">
        <v>26</v>
      </c>
      <c r="AX715" s="2" t="s">
        <v>1821</v>
      </c>
      <c r="AY715" s="2" t="s">
        <v>79</v>
      </c>
    </row>
    <row r="716" spans="1:51" x14ac:dyDescent="0.2">
      <c r="A716" s="2" t="s">
        <v>2167</v>
      </c>
      <c r="B716" s="2" t="s">
        <v>2168</v>
      </c>
      <c r="C716" s="2" t="s">
        <v>2178</v>
      </c>
      <c r="D716" s="2">
        <v>2024</v>
      </c>
      <c r="E716" s="2" t="s">
        <v>2170</v>
      </c>
      <c r="F716" s="2" t="s">
        <v>2171</v>
      </c>
      <c r="G716" s="2" t="s">
        <v>2172</v>
      </c>
      <c r="H716" s="2" t="s">
        <v>2182</v>
      </c>
      <c r="I716" s="2" t="s">
        <v>2174</v>
      </c>
      <c r="J716" s="2" t="s">
        <v>35</v>
      </c>
      <c r="K716" s="2" t="s">
        <v>38</v>
      </c>
      <c r="L716" s="2" t="s">
        <v>11</v>
      </c>
      <c r="M716" s="2" t="s">
        <v>14</v>
      </c>
      <c r="N716" s="2" t="s">
        <v>15</v>
      </c>
      <c r="O716" s="2">
        <v>1</v>
      </c>
      <c r="P716" s="2" t="s">
        <v>79</v>
      </c>
      <c r="Q716" s="2" t="s">
        <v>1840</v>
      </c>
      <c r="T716" s="2" t="s">
        <v>50</v>
      </c>
      <c r="U716" s="2" t="s">
        <v>54</v>
      </c>
      <c r="V716" s="2">
        <v>3</v>
      </c>
      <c r="W716" s="2">
        <v>2</v>
      </c>
      <c r="X716" s="2">
        <v>29</v>
      </c>
      <c r="Y716" s="2">
        <v>13</v>
      </c>
      <c r="AB716" s="2">
        <v>2.82</v>
      </c>
      <c r="AC716" s="2">
        <v>0.68</v>
      </c>
      <c r="AD716" s="2">
        <v>10.08</v>
      </c>
      <c r="AE716" s="2">
        <v>2.4900000000000002</v>
      </c>
      <c r="AF716" s="2" t="s">
        <v>74</v>
      </c>
      <c r="AG716" s="2" t="s">
        <v>65</v>
      </c>
      <c r="AH716" s="2" t="s">
        <v>74</v>
      </c>
      <c r="AR716" s="2" t="s">
        <v>849</v>
      </c>
      <c r="AS716" s="2" t="s">
        <v>849</v>
      </c>
      <c r="AU716" s="2" t="s">
        <v>1818</v>
      </c>
      <c r="AV716" s="2" t="s">
        <v>1822</v>
      </c>
      <c r="AW716" s="2" t="s">
        <v>26</v>
      </c>
      <c r="AX716" s="2" t="s">
        <v>1821</v>
      </c>
      <c r="AY716" s="2" t="s">
        <v>79</v>
      </c>
    </row>
    <row r="717" spans="1:51" x14ac:dyDescent="0.2">
      <c r="A717" s="2" t="s">
        <v>2167</v>
      </c>
      <c r="B717" s="2" t="s">
        <v>2168</v>
      </c>
      <c r="C717" s="2" t="s">
        <v>2179</v>
      </c>
      <c r="D717" s="2">
        <v>2024</v>
      </c>
      <c r="E717" s="2" t="s">
        <v>2170</v>
      </c>
      <c r="F717" s="2" t="s">
        <v>2171</v>
      </c>
      <c r="G717" s="2" t="s">
        <v>2172</v>
      </c>
      <c r="H717" s="2" t="s">
        <v>2183</v>
      </c>
      <c r="I717" s="2" t="s">
        <v>2174</v>
      </c>
      <c r="J717" s="2" t="s">
        <v>35</v>
      </c>
      <c r="K717" s="2" t="s">
        <v>38</v>
      </c>
      <c r="L717" s="2" t="s">
        <v>11</v>
      </c>
      <c r="M717" s="2" t="s">
        <v>14</v>
      </c>
      <c r="N717" s="2" t="s">
        <v>15</v>
      </c>
      <c r="O717" s="2">
        <v>1</v>
      </c>
      <c r="P717" s="2" t="s">
        <v>79</v>
      </c>
      <c r="Q717" s="2" t="s">
        <v>1840</v>
      </c>
      <c r="T717" s="2" t="s">
        <v>50</v>
      </c>
      <c r="U717" s="2" t="s">
        <v>54</v>
      </c>
      <c r="V717" s="2">
        <v>3</v>
      </c>
      <c r="W717" s="2">
        <v>2</v>
      </c>
      <c r="X717" s="2">
        <v>11</v>
      </c>
      <c r="Y717" s="2">
        <v>36</v>
      </c>
      <c r="AB717" s="2">
        <v>14.67</v>
      </c>
      <c r="AC717" s="2">
        <v>3.66</v>
      </c>
      <c r="AD717" s="2">
        <v>13.87</v>
      </c>
      <c r="AE717" s="2">
        <v>1.92</v>
      </c>
      <c r="AF717" s="2" t="s">
        <v>74</v>
      </c>
      <c r="AG717" s="2" t="s">
        <v>65</v>
      </c>
      <c r="AH717" s="2" t="s">
        <v>74</v>
      </c>
      <c r="AR717" s="2" t="s">
        <v>849</v>
      </c>
      <c r="AS717" s="2" t="s">
        <v>849</v>
      </c>
      <c r="AU717" s="2" t="s">
        <v>1818</v>
      </c>
      <c r="AV717" s="2" t="s">
        <v>1822</v>
      </c>
      <c r="AW717" s="2" t="s">
        <v>26</v>
      </c>
      <c r="AX717" s="2" t="s">
        <v>1821</v>
      </c>
      <c r="AY717" s="2" t="s">
        <v>79</v>
      </c>
    </row>
    <row r="718" spans="1:51" x14ac:dyDescent="0.2">
      <c r="A718" s="2" t="s">
        <v>2167</v>
      </c>
      <c r="B718" s="2" t="s">
        <v>2168</v>
      </c>
      <c r="C718" s="2" t="s">
        <v>2179</v>
      </c>
      <c r="D718" s="2">
        <v>2024</v>
      </c>
      <c r="E718" s="2" t="s">
        <v>2170</v>
      </c>
      <c r="F718" s="2" t="s">
        <v>2171</v>
      </c>
      <c r="G718" s="2" t="s">
        <v>2172</v>
      </c>
      <c r="H718" s="2" t="s">
        <v>2184</v>
      </c>
      <c r="I718" s="2" t="s">
        <v>2174</v>
      </c>
      <c r="J718" s="2" t="s">
        <v>35</v>
      </c>
      <c r="K718" s="2" t="s">
        <v>38</v>
      </c>
      <c r="L718" s="2" t="s">
        <v>11</v>
      </c>
      <c r="M718" s="2" t="s">
        <v>14</v>
      </c>
      <c r="N718" s="2" t="s">
        <v>15</v>
      </c>
      <c r="O718" s="2">
        <v>1</v>
      </c>
      <c r="P718" s="2" t="s">
        <v>79</v>
      </c>
      <c r="Q718" s="2" t="s">
        <v>1840</v>
      </c>
      <c r="T718" s="2" t="s">
        <v>50</v>
      </c>
      <c r="U718" s="2" t="s">
        <v>54</v>
      </c>
      <c r="V718" s="2">
        <v>3</v>
      </c>
      <c r="W718" s="2">
        <v>2</v>
      </c>
      <c r="X718" s="2">
        <v>29</v>
      </c>
      <c r="Y718" s="2">
        <v>13</v>
      </c>
      <c r="AB718" s="2">
        <v>3.18</v>
      </c>
      <c r="AC718" s="2">
        <v>0.55000000000000004</v>
      </c>
      <c r="AD718" s="2">
        <v>10.62</v>
      </c>
      <c r="AE718" s="2">
        <v>1.45</v>
      </c>
      <c r="AF718" s="2" t="s">
        <v>74</v>
      </c>
      <c r="AG718" s="2" t="s">
        <v>65</v>
      </c>
      <c r="AH718" s="2" t="s">
        <v>74</v>
      </c>
      <c r="AR718" s="2" t="s">
        <v>849</v>
      </c>
      <c r="AS718" s="2" t="s">
        <v>849</v>
      </c>
      <c r="AU718" s="2" t="s">
        <v>1818</v>
      </c>
      <c r="AV718" s="2" t="s">
        <v>1822</v>
      </c>
      <c r="AW718" s="2" t="s">
        <v>26</v>
      </c>
      <c r="AX718" s="2" t="s">
        <v>1821</v>
      </c>
      <c r="AY718" s="2" t="s">
        <v>79</v>
      </c>
    </row>
    <row r="719" spans="1:51" x14ac:dyDescent="0.2">
      <c r="A719" s="2" t="s">
        <v>2167</v>
      </c>
      <c r="B719" s="2" t="s">
        <v>2168</v>
      </c>
      <c r="C719" s="2" t="s">
        <v>2179</v>
      </c>
      <c r="D719" s="2">
        <v>2024</v>
      </c>
      <c r="E719" s="2" t="s">
        <v>2170</v>
      </c>
      <c r="F719" s="2" t="s">
        <v>2171</v>
      </c>
      <c r="G719" s="2" t="s">
        <v>2172</v>
      </c>
      <c r="H719" s="2" t="s">
        <v>2185</v>
      </c>
      <c r="I719" s="2" t="s">
        <v>2174</v>
      </c>
      <c r="J719" s="2" t="s">
        <v>35</v>
      </c>
      <c r="K719" s="2" t="s">
        <v>38</v>
      </c>
      <c r="L719" s="2" t="s">
        <v>11</v>
      </c>
      <c r="M719" s="2" t="s">
        <v>14</v>
      </c>
      <c r="N719" s="2" t="s">
        <v>15</v>
      </c>
      <c r="O719" s="2">
        <v>1</v>
      </c>
      <c r="P719" s="2" t="s">
        <v>79</v>
      </c>
      <c r="Q719" s="2" t="s">
        <v>1840</v>
      </c>
      <c r="T719" s="2" t="s">
        <v>50</v>
      </c>
      <c r="U719" s="2" t="s">
        <v>54</v>
      </c>
      <c r="V719" s="2">
        <v>3</v>
      </c>
      <c r="W719" s="2">
        <v>2</v>
      </c>
      <c r="X719" s="2">
        <v>11</v>
      </c>
      <c r="Y719" s="2">
        <v>36</v>
      </c>
      <c r="AB719" s="2">
        <v>9.89</v>
      </c>
      <c r="AC719" s="2">
        <v>3.3</v>
      </c>
      <c r="AD719" s="2">
        <v>10.88</v>
      </c>
      <c r="AE719" s="2">
        <v>1.32</v>
      </c>
      <c r="AF719" s="2" t="s">
        <v>74</v>
      </c>
      <c r="AG719" s="2" t="s">
        <v>65</v>
      </c>
      <c r="AH719" s="2" t="s">
        <v>74</v>
      </c>
      <c r="AR719" s="2" t="s">
        <v>849</v>
      </c>
      <c r="AS719" s="2" t="s">
        <v>849</v>
      </c>
      <c r="AU719" s="2" t="s">
        <v>1818</v>
      </c>
      <c r="AV719" s="2" t="s">
        <v>1822</v>
      </c>
      <c r="AW719" s="2" t="s">
        <v>26</v>
      </c>
      <c r="AX719" s="2" t="s">
        <v>1821</v>
      </c>
      <c r="AY719" s="2" t="s">
        <v>79</v>
      </c>
    </row>
    <row r="720" spans="1:51" x14ac:dyDescent="0.2">
      <c r="A720" s="2" t="s">
        <v>1963</v>
      </c>
      <c r="B720" s="2" t="s">
        <v>1964</v>
      </c>
      <c r="C720" s="2" t="s">
        <v>1965</v>
      </c>
      <c r="D720" s="2">
        <v>2023</v>
      </c>
      <c r="E720" s="2" t="s">
        <v>2196</v>
      </c>
      <c r="F720" s="2" t="s">
        <v>2197</v>
      </c>
      <c r="G720" s="2" t="s">
        <v>1968</v>
      </c>
      <c r="H720" s="2" t="s">
        <v>2198</v>
      </c>
      <c r="I720" s="2" t="s">
        <v>1108</v>
      </c>
      <c r="J720" s="2" t="s">
        <v>34</v>
      </c>
      <c r="K720" s="2" t="s">
        <v>38</v>
      </c>
      <c r="L720" s="2" t="s">
        <v>11</v>
      </c>
      <c r="M720" s="2" t="s">
        <v>14</v>
      </c>
      <c r="N720" s="2" t="s">
        <v>20</v>
      </c>
      <c r="O720" s="2">
        <v>0</v>
      </c>
      <c r="P720" s="2" t="s">
        <v>22</v>
      </c>
      <c r="Q720" s="2" t="s">
        <v>2025</v>
      </c>
      <c r="T720" s="2" t="s">
        <v>50</v>
      </c>
      <c r="U720" s="2" t="s">
        <v>421</v>
      </c>
      <c r="X720" s="2">
        <v>24</v>
      </c>
      <c r="Y720" s="2">
        <v>17</v>
      </c>
      <c r="Z720" s="2">
        <v>20</v>
      </c>
      <c r="AA720" s="2">
        <v>14</v>
      </c>
      <c r="AH720" s="2" t="s">
        <v>1804</v>
      </c>
      <c r="AR720" s="2" t="s">
        <v>849</v>
      </c>
      <c r="AS720" s="2" t="s">
        <v>849</v>
      </c>
      <c r="AU720" s="2" t="s">
        <v>1818</v>
      </c>
      <c r="AV720" s="2" t="s">
        <v>1830</v>
      </c>
      <c r="AW720" s="2" t="s">
        <v>1836</v>
      </c>
      <c r="AX720" s="2" t="s">
        <v>1821</v>
      </c>
      <c r="AY720" s="2" t="s">
        <v>79</v>
      </c>
    </row>
    <row r="721" spans="1:51" x14ac:dyDescent="0.2">
      <c r="A721" s="2" t="s">
        <v>1963</v>
      </c>
      <c r="B721" s="2" t="s">
        <v>1964</v>
      </c>
      <c r="C721" s="2" t="s">
        <v>1965</v>
      </c>
      <c r="D721" s="2">
        <v>2023</v>
      </c>
      <c r="E721" s="2" t="s">
        <v>2196</v>
      </c>
      <c r="F721" s="2" t="s">
        <v>2197</v>
      </c>
      <c r="G721" s="2" t="s">
        <v>1968</v>
      </c>
      <c r="H721" s="2" t="s">
        <v>2199</v>
      </c>
      <c r="I721" s="2" t="s">
        <v>1108</v>
      </c>
      <c r="J721" s="2" t="s">
        <v>34</v>
      </c>
      <c r="K721" s="2" t="s">
        <v>38</v>
      </c>
      <c r="L721" s="2" t="s">
        <v>11</v>
      </c>
      <c r="M721" s="2" t="s">
        <v>14</v>
      </c>
      <c r="N721" s="2" t="s">
        <v>20</v>
      </c>
      <c r="O721" s="2">
        <v>0</v>
      </c>
      <c r="P721" s="2" t="s">
        <v>22</v>
      </c>
      <c r="Q721" s="2" t="s">
        <v>2025</v>
      </c>
      <c r="T721" s="2" t="s">
        <v>50</v>
      </c>
      <c r="U721" s="2" t="s">
        <v>421</v>
      </c>
      <c r="X721" s="2">
        <v>24</v>
      </c>
      <c r="Y721" s="2">
        <v>20</v>
      </c>
      <c r="Z721" s="2">
        <v>20</v>
      </c>
      <c r="AA721" s="2">
        <v>13</v>
      </c>
      <c r="AH721" s="2" t="s">
        <v>1804</v>
      </c>
      <c r="AR721" s="2" t="s">
        <v>849</v>
      </c>
      <c r="AS721" s="2" t="s">
        <v>849</v>
      </c>
      <c r="AU721" s="2" t="s">
        <v>1818</v>
      </c>
      <c r="AV721" s="2" t="s">
        <v>1830</v>
      </c>
      <c r="AW721" s="2" t="s">
        <v>1836</v>
      </c>
      <c r="AX721" s="2" t="s">
        <v>1821</v>
      </c>
      <c r="AY721" s="2" t="s">
        <v>79</v>
      </c>
    </row>
    <row r="722" spans="1:51" x14ac:dyDescent="0.2">
      <c r="A722" s="2" t="s">
        <v>1963</v>
      </c>
      <c r="B722" s="2" t="s">
        <v>1964</v>
      </c>
      <c r="C722" s="2" t="s">
        <v>1965</v>
      </c>
      <c r="D722" s="2">
        <v>2023</v>
      </c>
      <c r="E722" s="2" t="s">
        <v>2196</v>
      </c>
      <c r="F722" s="2" t="s">
        <v>2197</v>
      </c>
      <c r="G722" s="2" t="s">
        <v>1968</v>
      </c>
      <c r="H722" s="2" t="s">
        <v>2200</v>
      </c>
      <c r="I722" s="2" t="s">
        <v>1108</v>
      </c>
      <c r="J722" s="2" t="s">
        <v>34</v>
      </c>
      <c r="K722" s="2" t="s">
        <v>38</v>
      </c>
      <c r="L722" s="2" t="s">
        <v>11</v>
      </c>
      <c r="M722" s="2" t="s">
        <v>14</v>
      </c>
      <c r="N722" s="2" t="s">
        <v>20</v>
      </c>
      <c r="O722" s="2">
        <v>0</v>
      </c>
      <c r="P722" s="2" t="s">
        <v>22</v>
      </c>
      <c r="Q722" s="2" t="s">
        <v>2025</v>
      </c>
      <c r="T722" s="2" t="s">
        <v>50</v>
      </c>
      <c r="U722" s="2" t="s">
        <v>421</v>
      </c>
      <c r="X722" s="2">
        <v>24</v>
      </c>
      <c r="Y722" s="2">
        <v>25</v>
      </c>
      <c r="Z722" s="2">
        <v>20</v>
      </c>
      <c r="AA722" s="2">
        <v>13</v>
      </c>
      <c r="AH722" s="2" t="s">
        <v>1804</v>
      </c>
      <c r="AR722" s="2" t="s">
        <v>849</v>
      </c>
      <c r="AS722" s="2" t="s">
        <v>849</v>
      </c>
      <c r="AU722" s="2" t="s">
        <v>1818</v>
      </c>
      <c r="AV722" s="2" t="s">
        <v>1830</v>
      </c>
      <c r="AW722" s="2" t="s">
        <v>1836</v>
      </c>
      <c r="AX722" s="2" t="s">
        <v>1821</v>
      </c>
      <c r="AY722" s="2" t="s">
        <v>79</v>
      </c>
    </row>
    <row r="723" spans="1:51" x14ac:dyDescent="0.2">
      <c r="A723" s="2" t="s">
        <v>1963</v>
      </c>
      <c r="B723" s="2" t="s">
        <v>1964</v>
      </c>
      <c r="C723" s="2" t="s">
        <v>1965</v>
      </c>
      <c r="D723" s="2">
        <v>2023</v>
      </c>
      <c r="E723" s="2" t="s">
        <v>2196</v>
      </c>
      <c r="F723" s="2" t="s">
        <v>2197</v>
      </c>
      <c r="G723" s="2" t="s">
        <v>1968</v>
      </c>
      <c r="H723" s="2" t="s">
        <v>2201</v>
      </c>
      <c r="I723" s="2" t="s">
        <v>1108</v>
      </c>
      <c r="J723" s="2" t="s">
        <v>34</v>
      </c>
      <c r="K723" s="2" t="s">
        <v>38</v>
      </c>
      <c r="L723" s="2" t="s">
        <v>11</v>
      </c>
      <c r="M723" s="2" t="s">
        <v>14</v>
      </c>
      <c r="N723" s="2" t="s">
        <v>20</v>
      </c>
      <c r="O723" s="2">
        <v>0</v>
      </c>
      <c r="P723" s="2" t="s">
        <v>22</v>
      </c>
      <c r="Q723" s="2" t="s">
        <v>2025</v>
      </c>
      <c r="T723" s="2" t="s">
        <v>50</v>
      </c>
      <c r="U723" s="2" t="s">
        <v>421</v>
      </c>
      <c r="X723" s="2">
        <v>20</v>
      </c>
      <c r="Y723" s="2">
        <v>14</v>
      </c>
      <c r="AB723" s="2">
        <v>8.9375</v>
      </c>
      <c r="AC723" s="2">
        <v>5.5313500461761897</v>
      </c>
      <c r="AD723" s="2">
        <v>6.6</v>
      </c>
      <c r="AE723" s="2">
        <v>5.5015149428740688</v>
      </c>
      <c r="AF723" s="2" t="s">
        <v>74</v>
      </c>
      <c r="AG723" s="2" t="s">
        <v>64</v>
      </c>
      <c r="AH723" s="2" t="s">
        <v>74</v>
      </c>
      <c r="AR723" s="2" t="s">
        <v>849</v>
      </c>
      <c r="AS723" s="2" t="s">
        <v>222</v>
      </c>
      <c r="AU723" s="2" t="s">
        <v>1818</v>
      </c>
      <c r="AV723" s="2" t="s">
        <v>1830</v>
      </c>
      <c r="AW723" s="2" t="s">
        <v>1836</v>
      </c>
      <c r="AX723" s="2" t="s">
        <v>1821</v>
      </c>
      <c r="AY723" s="2" t="s">
        <v>79</v>
      </c>
    </row>
    <row r="724" spans="1:51" x14ac:dyDescent="0.2">
      <c r="A724" s="2" t="s">
        <v>1963</v>
      </c>
      <c r="B724" s="2" t="s">
        <v>1964</v>
      </c>
      <c r="C724" s="2" t="s">
        <v>1965</v>
      </c>
      <c r="D724" s="2">
        <v>2023</v>
      </c>
      <c r="E724" s="2" t="s">
        <v>2196</v>
      </c>
      <c r="F724" s="2" t="s">
        <v>2197</v>
      </c>
      <c r="G724" s="2" t="s">
        <v>1968</v>
      </c>
      <c r="H724" s="2" t="s">
        <v>2202</v>
      </c>
      <c r="I724" s="2" t="s">
        <v>1108</v>
      </c>
      <c r="J724" s="2" t="s">
        <v>34</v>
      </c>
      <c r="K724" s="2" t="s">
        <v>38</v>
      </c>
      <c r="L724" s="2" t="s">
        <v>11</v>
      </c>
      <c r="M724" s="2" t="s">
        <v>14</v>
      </c>
      <c r="N724" s="2" t="s">
        <v>20</v>
      </c>
      <c r="O724" s="2">
        <v>0</v>
      </c>
      <c r="P724" s="2" t="s">
        <v>22</v>
      </c>
      <c r="Q724" s="2" t="s">
        <v>2025</v>
      </c>
      <c r="T724" s="2" t="s">
        <v>50</v>
      </c>
      <c r="U724" s="2" t="s">
        <v>421</v>
      </c>
      <c r="X724" s="2">
        <v>20</v>
      </c>
      <c r="Y724" s="2">
        <v>13</v>
      </c>
      <c r="AB724" s="2">
        <v>8.9375</v>
      </c>
      <c r="AC724" s="2">
        <v>5.5313500461761897</v>
      </c>
      <c r="AD724" s="2">
        <v>9.0909090909090917</v>
      </c>
      <c r="AE724" s="2">
        <v>5.821589910918588</v>
      </c>
      <c r="AF724" s="2" t="s">
        <v>74</v>
      </c>
      <c r="AG724" s="2" t="s">
        <v>64</v>
      </c>
      <c r="AH724" s="2" t="s">
        <v>74</v>
      </c>
      <c r="AR724" s="2" t="s">
        <v>849</v>
      </c>
      <c r="AS724" s="2" t="s">
        <v>222</v>
      </c>
      <c r="AU724" s="2" t="s">
        <v>1818</v>
      </c>
      <c r="AV724" s="2" t="s">
        <v>1830</v>
      </c>
      <c r="AW724" s="2" t="s">
        <v>1836</v>
      </c>
      <c r="AX724" s="2" t="s">
        <v>1821</v>
      </c>
      <c r="AY724" s="2" t="s">
        <v>79</v>
      </c>
    </row>
    <row r="725" spans="1:51" x14ac:dyDescent="0.2">
      <c r="A725" s="2" t="s">
        <v>1963</v>
      </c>
      <c r="B725" s="2" t="s">
        <v>1964</v>
      </c>
      <c r="C725" s="2" t="s">
        <v>1965</v>
      </c>
      <c r="D725" s="2">
        <v>2023</v>
      </c>
      <c r="E725" s="2" t="s">
        <v>2196</v>
      </c>
      <c r="F725" s="2" t="s">
        <v>2197</v>
      </c>
      <c r="G725" s="2" t="s">
        <v>1968</v>
      </c>
      <c r="H725" s="2" t="s">
        <v>2203</v>
      </c>
      <c r="I725" s="2" t="s">
        <v>1108</v>
      </c>
      <c r="J725" s="2" t="s">
        <v>34</v>
      </c>
      <c r="K725" s="2" t="s">
        <v>38</v>
      </c>
      <c r="L725" s="2" t="s">
        <v>11</v>
      </c>
      <c r="M725" s="2" t="s">
        <v>14</v>
      </c>
      <c r="N725" s="2" t="s">
        <v>20</v>
      </c>
      <c r="O725" s="2">
        <v>0</v>
      </c>
      <c r="P725" s="2" t="s">
        <v>22</v>
      </c>
      <c r="Q725" s="2" t="s">
        <v>2025</v>
      </c>
      <c r="T725" s="2" t="s">
        <v>50</v>
      </c>
      <c r="U725" s="2" t="s">
        <v>421</v>
      </c>
      <c r="X725" s="2">
        <v>20</v>
      </c>
      <c r="Y725" s="2">
        <v>13</v>
      </c>
      <c r="AB725" s="2">
        <v>8.9375</v>
      </c>
      <c r="AC725" s="2">
        <v>5.5313500461761897</v>
      </c>
      <c r="AD725" s="2">
        <v>6.8181818181818183</v>
      </c>
      <c r="AE725" s="2">
        <v>4.1908992309093236</v>
      </c>
      <c r="AF725" s="2" t="s">
        <v>74</v>
      </c>
      <c r="AG725" s="2" t="s">
        <v>64</v>
      </c>
      <c r="AH725" s="2" t="s">
        <v>74</v>
      </c>
      <c r="AR725" s="2" t="s">
        <v>849</v>
      </c>
      <c r="AS725" s="2" t="s">
        <v>222</v>
      </c>
      <c r="AU725" s="2" t="s">
        <v>1818</v>
      </c>
      <c r="AV725" s="2" t="s">
        <v>1830</v>
      </c>
      <c r="AW725" s="2" t="s">
        <v>1836</v>
      </c>
      <c r="AX725" s="2" t="s">
        <v>1821</v>
      </c>
      <c r="AY725" s="2" t="s">
        <v>79</v>
      </c>
    </row>
    <row r="726" spans="1:51" x14ac:dyDescent="0.2">
      <c r="A726" s="2" t="s">
        <v>1963</v>
      </c>
      <c r="B726" s="2" t="s">
        <v>1964</v>
      </c>
      <c r="C726" s="2" t="s">
        <v>1965</v>
      </c>
      <c r="D726" s="2">
        <v>2023</v>
      </c>
      <c r="E726" s="2" t="s">
        <v>2196</v>
      </c>
      <c r="F726" s="2" t="s">
        <v>2197</v>
      </c>
      <c r="G726" s="2" t="s">
        <v>1968</v>
      </c>
      <c r="H726" s="2" t="s">
        <v>2204</v>
      </c>
      <c r="I726" s="2" t="s">
        <v>1108</v>
      </c>
      <c r="J726" s="2" t="s">
        <v>34</v>
      </c>
      <c r="K726" s="2" t="s">
        <v>38</v>
      </c>
      <c r="L726" s="2" t="s">
        <v>11</v>
      </c>
      <c r="M726" s="2" t="s">
        <v>14</v>
      </c>
      <c r="N726" s="2" t="s">
        <v>20</v>
      </c>
      <c r="O726" s="2">
        <v>0</v>
      </c>
      <c r="P726" s="2" t="s">
        <v>22</v>
      </c>
      <c r="Q726" s="2" t="s">
        <v>30</v>
      </c>
      <c r="T726" s="2" t="s">
        <v>50</v>
      </c>
      <c r="U726" s="2" t="s">
        <v>421</v>
      </c>
      <c r="X726" s="2">
        <v>24</v>
      </c>
      <c r="Y726" s="2">
        <v>17</v>
      </c>
      <c r="Z726" s="2">
        <v>10</v>
      </c>
      <c r="AA726" s="2">
        <v>5</v>
      </c>
      <c r="AH726" s="2" t="s">
        <v>1804</v>
      </c>
      <c r="AR726" s="2" t="s">
        <v>849</v>
      </c>
      <c r="AS726" s="2" t="s">
        <v>849</v>
      </c>
      <c r="AU726" s="2" t="s">
        <v>1818</v>
      </c>
      <c r="AV726" s="2" t="s">
        <v>1830</v>
      </c>
      <c r="AW726" s="2" t="s">
        <v>1836</v>
      </c>
      <c r="AX726" s="2" t="s">
        <v>1821</v>
      </c>
      <c r="AY726" s="2" t="s">
        <v>79</v>
      </c>
    </row>
    <row r="727" spans="1:51" x14ac:dyDescent="0.2">
      <c r="A727" s="2" t="s">
        <v>1963</v>
      </c>
      <c r="B727" s="2" t="s">
        <v>1964</v>
      </c>
      <c r="C727" s="2" t="s">
        <v>1965</v>
      </c>
      <c r="D727" s="2">
        <v>2023</v>
      </c>
      <c r="E727" s="2" t="s">
        <v>2196</v>
      </c>
      <c r="F727" s="2" t="s">
        <v>2197</v>
      </c>
      <c r="G727" s="2" t="s">
        <v>1968</v>
      </c>
      <c r="H727" s="2" t="s">
        <v>2205</v>
      </c>
      <c r="I727" s="2" t="s">
        <v>1108</v>
      </c>
      <c r="J727" s="2" t="s">
        <v>34</v>
      </c>
      <c r="K727" s="2" t="s">
        <v>38</v>
      </c>
      <c r="L727" s="2" t="s">
        <v>11</v>
      </c>
      <c r="M727" s="2" t="s">
        <v>14</v>
      </c>
      <c r="N727" s="2" t="s">
        <v>20</v>
      </c>
      <c r="O727" s="2">
        <v>0</v>
      </c>
      <c r="P727" s="2" t="s">
        <v>22</v>
      </c>
      <c r="Q727" s="2" t="s">
        <v>30</v>
      </c>
      <c r="T727" s="2" t="s">
        <v>50</v>
      </c>
      <c r="U727" s="2" t="s">
        <v>421</v>
      </c>
      <c r="X727" s="2">
        <v>24</v>
      </c>
      <c r="Y727" s="2">
        <v>20</v>
      </c>
      <c r="Z727" s="2">
        <v>10</v>
      </c>
      <c r="AA727" s="2">
        <v>6</v>
      </c>
      <c r="AH727" s="2" t="s">
        <v>1804</v>
      </c>
      <c r="AR727" s="2" t="s">
        <v>849</v>
      </c>
      <c r="AS727" s="2" t="s">
        <v>849</v>
      </c>
      <c r="AU727" s="2" t="s">
        <v>1818</v>
      </c>
      <c r="AV727" s="2" t="s">
        <v>1830</v>
      </c>
      <c r="AW727" s="2" t="s">
        <v>1836</v>
      </c>
      <c r="AX727" s="2" t="s">
        <v>1821</v>
      </c>
      <c r="AY727" s="2" t="s">
        <v>79</v>
      </c>
    </row>
    <row r="728" spans="1:51" x14ac:dyDescent="0.2">
      <c r="A728" s="2" t="s">
        <v>1963</v>
      </c>
      <c r="B728" s="2" t="s">
        <v>1964</v>
      </c>
      <c r="C728" s="2" t="s">
        <v>1965</v>
      </c>
      <c r="D728" s="2">
        <v>2023</v>
      </c>
      <c r="E728" s="2" t="s">
        <v>2196</v>
      </c>
      <c r="F728" s="2" t="s">
        <v>2197</v>
      </c>
      <c r="G728" s="2" t="s">
        <v>1968</v>
      </c>
      <c r="H728" s="2" t="s">
        <v>2206</v>
      </c>
      <c r="I728" s="2" t="s">
        <v>1108</v>
      </c>
      <c r="J728" s="2" t="s">
        <v>34</v>
      </c>
      <c r="K728" s="2" t="s">
        <v>38</v>
      </c>
      <c r="L728" s="2" t="s">
        <v>11</v>
      </c>
      <c r="M728" s="2" t="s">
        <v>14</v>
      </c>
      <c r="N728" s="2" t="s">
        <v>20</v>
      </c>
      <c r="O728" s="2">
        <v>0</v>
      </c>
      <c r="P728" s="2" t="s">
        <v>22</v>
      </c>
      <c r="Q728" s="2" t="s">
        <v>30</v>
      </c>
      <c r="T728" s="2" t="s">
        <v>50</v>
      </c>
      <c r="U728" s="2" t="s">
        <v>421</v>
      </c>
      <c r="X728" s="2">
        <v>24</v>
      </c>
      <c r="Y728" s="2">
        <v>25</v>
      </c>
      <c r="Z728" s="2">
        <v>10</v>
      </c>
      <c r="AA728" s="2">
        <v>6</v>
      </c>
      <c r="AH728" s="2" t="s">
        <v>1804</v>
      </c>
      <c r="AR728" s="2" t="s">
        <v>849</v>
      </c>
      <c r="AS728" s="2" t="s">
        <v>849</v>
      </c>
      <c r="AU728" s="2" t="s">
        <v>1818</v>
      </c>
      <c r="AV728" s="2" t="s">
        <v>1830</v>
      </c>
      <c r="AW728" s="2" t="s">
        <v>1836</v>
      </c>
      <c r="AX728" s="2" t="s">
        <v>1821</v>
      </c>
      <c r="AY728" s="2" t="s">
        <v>79</v>
      </c>
    </row>
    <row r="729" spans="1:51" x14ac:dyDescent="0.2">
      <c r="A729" s="2" t="s">
        <v>1963</v>
      </c>
      <c r="B729" s="2" t="s">
        <v>1964</v>
      </c>
      <c r="C729" s="2" t="s">
        <v>1965</v>
      </c>
      <c r="D729" s="2">
        <v>2023</v>
      </c>
      <c r="E729" s="2" t="s">
        <v>2196</v>
      </c>
      <c r="F729" s="2" t="s">
        <v>2197</v>
      </c>
      <c r="G729" s="2" t="s">
        <v>1968</v>
      </c>
      <c r="H729" s="2" t="s">
        <v>2207</v>
      </c>
      <c r="I729" s="2" t="s">
        <v>1108</v>
      </c>
      <c r="J729" s="2" t="s">
        <v>34</v>
      </c>
      <c r="K729" s="2" t="s">
        <v>38</v>
      </c>
      <c r="L729" s="2" t="s">
        <v>11</v>
      </c>
      <c r="M729" s="2" t="s">
        <v>14</v>
      </c>
      <c r="N729" s="2" t="s">
        <v>20</v>
      </c>
      <c r="O729" s="2">
        <v>0</v>
      </c>
      <c r="P729" s="2" t="s">
        <v>22</v>
      </c>
      <c r="Q729" s="2" t="s">
        <v>1839</v>
      </c>
      <c r="T729" s="2" t="s">
        <v>50</v>
      </c>
      <c r="U729" s="2" t="s">
        <v>421</v>
      </c>
      <c r="X729" s="2">
        <v>14</v>
      </c>
      <c r="Y729" s="2">
        <v>8</v>
      </c>
      <c r="AB729" s="2">
        <v>9.3571428571428577</v>
      </c>
      <c r="AC729" s="2">
        <v>5.555415138640619</v>
      </c>
      <c r="AD729" s="2">
        <v>6.75</v>
      </c>
      <c r="AE729" s="2">
        <v>4.1661904489764821</v>
      </c>
      <c r="AF729" s="2" t="s">
        <v>74</v>
      </c>
      <c r="AG729" s="2" t="s">
        <v>65</v>
      </c>
      <c r="AH729" s="2" t="s">
        <v>74</v>
      </c>
      <c r="AR729" s="2" t="s">
        <v>849</v>
      </c>
      <c r="AS729" s="2" t="s">
        <v>222</v>
      </c>
      <c r="AU729" s="2" t="s">
        <v>1818</v>
      </c>
      <c r="AV729" s="2" t="s">
        <v>1830</v>
      </c>
      <c r="AW729" s="2" t="s">
        <v>1836</v>
      </c>
      <c r="AX729" s="2" t="s">
        <v>1821</v>
      </c>
      <c r="AY729" s="2" t="s">
        <v>79</v>
      </c>
    </row>
    <row r="730" spans="1:51" x14ac:dyDescent="0.2">
      <c r="A730" s="2" t="s">
        <v>1963</v>
      </c>
      <c r="B730" s="2" t="s">
        <v>1964</v>
      </c>
      <c r="C730" s="2" t="s">
        <v>1965</v>
      </c>
      <c r="D730" s="2">
        <v>2023</v>
      </c>
      <c r="E730" s="2" t="s">
        <v>2196</v>
      </c>
      <c r="F730" s="2" t="s">
        <v>2197</v>
      </c>
      <c r="G730" s="2" t="s">
        <v>1968</v>
      </c>
      <c r="H730" s="2" t="s">
        <v>2208</v>
      </c>
      <c r="I730" s="2" t="s">
        <v>1108</v>
      </c>
      <c r="J730" s="2" t="s">
        <v>34</v>
      </c>
      <c r="K730" s="2" t="s">
        <v>38</v>
      </c>
      <c r="L730" s="2" t="s">
        <v>11</v>
      </c>
      <c r="M730" s="2" t="s">
        <v>14</v>
      </c>
      <c r="N730" s="2" t="s">
        <v>20</v>
      </c>
      <c r="O730" s="2">
        <v>0</v>
      </c>
      <c r="P730" s="2" t="s">
        <v>22</v>
      </c>
      <c r="Q730" s="2" t="s">
        <v>1839</v>
      </c>
      <c r="T730" s="2" t="s">
        <v>50</v>
      </c>
      <c r="U730" s="2" t="s">
        <v>421</v>
      </c>
      <c r="X730" s="2">
        <v>14</v>
      </c>
      <c r="Y730" s="2">
        <v>8</v>
      </c>
      <c r="AB730" s="2">
        <v>9.3571428571428577</v>
      </c>
      <c r="AC730" s="2">
        <v>5.555415138640619</v>
      </c>
      <c r="AD730" s="2">
        <v>6.875</v>
      </c>
      <c r="AE730" s="2">
        <v>5.111262075065218</v>
      </c>
      <c r="AF730" s="2" t="s">
        <v>74</v>
      </c>
      <c r="AG730" s="2" t="s">
        <v>65</v>
      </c>
      <c r="AH730" s="2" t="s">
        <v>74</v>
      </c>
      <c r="AR730" s="2" t="s">
        <v>849</v>
      </c>
      <c r="AS730" s="2" t="s">
        <v>222</v>
      </c>
      <c r="AU730" s="2" t="s">
        <v>1818</v>
      </c>
      <c r="AV730" s="2" t="s">
        <v>1830</v>
      </c>
      <c r="AW730" s="2" t="s">
        <v>1836</v>
      </c>
      <c r="AX730" s="2" t="s">
        <v>1821</v>
      </c>
      <c r="AY730" s="2" t="s">
        <v>79</v>
      </c>
    </row>
    <row r="731" spans="1:51" x14ac:dyDescent="0.2">
      <c r="A731" s="2" t="s">
        <v>1963</v>
      </c>
      <c r="B731" s="2" t="s">
        <v>1964</v>
      </c>
      <c r="C731" s="2" t="s">
        <v>1965</v>
      </c>
      <c r="D731" s="2">
        <v>2023</v>
      </c>
      <c r="E731" s="2" t="s">
        <v>2196</v>
      </c>
      <c r="F731" s="2" t="s">
        <v>2197</v>
      </c>
      <c r="G731" s="2" t="s">
        <v>1968</v>
      </c>
      <c r="H731" s="2" t="s">
        <v>2209</v>
      </c>
      <c r="I731" s="2" t="s">
        <v>1108</v>
      </c>
      <c r="J731" s="2" t="s">
        <v>34</v>
      </c>
      <c r="K731" s="2" t="s">
        <v>38</v>
      </c>
      <c r="L731" s="2" t="s">
        <v>11</v>
      </c>
      <c r="M731" s="2" t="s">
        <v>14</v>
      </c>
      <c r="N731" s="2" t="s">
        <v>20</v>
      </c>
      <c r="O731" s="2">
        <v>0</v>
      </c>
      <c r="P731" s="2" t="s">
        <v>22</v>
      </c>
      <c r="Q731" s="2" t="s">
        <v>1839</v>
      </c>
      <c r="T731" s="2" t="s">
        <v>50</v>
      </c>
      <c r="U731" s="2" t="s">
        <v>421</v>
      </c>
      <c r="X731" s="2">
        <v>14</v>
      </c>
      <c r="Y731" s="2">
        <v>9</v>
      </c>
      <c r="AB731" s="2">
        <v>9.3571428571428577</v>
      </c>
      <c r="AC731" s="2">
        <v>5.555415138640619</v>
      </c>
      <c r="AD731" s="2">
        <v>9.4444444444444446</v>
      </c>
      <c r="AE731" s="2">
        <v>4.7199340861687649</v>
      </c>
      <c r="AF731" s="2" t="s">
        <v>74</v>
      </c>
      <c r="AG731" s="2" t="s">
        <v>65</v>
      </c>
      <c r="AH731" s="2" t="s">
        <v>74</v>
      </c>
      <c r="AR731" s="2" t="s">
        <v>849</v>
      </c>
      <c r="AS731" s="2" t="s">
        <v>222</v>
      </c>
      <c r="AU731" s="2" t="s">
        <v>1818</v>
      </c>
      <c r="AV731" s="2" t="s">
        <v>1830</v>
      </c>
      <c r="AW731" s="2" t="s">
        <v>1836</v>
      </c>
      <c r="AX731" s="2" t="s">
        <v>1821</v>
      </c>
      <c r="AY731" s="2" t="s">
        <v>79</v>
      </c>
    </row>
    <row r="732" spans="1:51" x14ac:dyDescent="0.2">
      <c r="A732" s="2" t="s">
        <v>1963</v>
      </c>
      <c r="B732" s="2" t="s">
        <v>1964</v>
      </c>
      <c r="C732" s="2" t="s">
        <v>2186</v>
      </c>
      <c r="D732" s="2">
        <v>2023</v>
      </c>
      <c r="E732" s="2" t="s">
        <v>2196</v>
      </c>
      <c r="F732" s="2" t="s">
        <v>2197</v>
      </c>
      <c r="G732" s="2" t="s">
        <v>1968</v>
      </c>
      <c r="H732" s="2" t="s">
        <v>2210</v>
      </c>
      <c r="I732" s="2" t="s">
        <v>1108</v>
      </c>
      <c r="J732" s="2" t="s">
        <v>34</v>
      </c>
      <c r="K732" s="2" t="s">
        <v>38</v>
      </c>
      <c r="L732" s="2" t="s">
        <v>11</v>
      </c>
      <c r="M732" s="2" t="s">
        <v>14</v>
      </c>
      <c r="N732" s="2" t="s">
        <v>20</v>
      </c>
      <c r="O732" s="2">
        <v>0</v>
      </c>
      <c r="P732" s="2" t="s">
        <v>79</v>
      </c>
      <c r="Q732" s="2" t="s">
        <v>646</v>
      </c>
      <c r="T732" s="2" t="s">
        <v>50</v>
      </c>
      <c r="U732" s="2" t="s">
        <v>421</v>
      </c>
      <c r="X732" s="2">
        <v>5</v>
      </c>
      <c r="Y732" s="2">
        <v>2</v>
      </c>
      <c r="AB732" s="2">
        <v>0.1961527022</v>
      </c>
      <c r="AC732" s="2">
        <v>9.6146441340914143E-2</v>
      </c>
      <c r="AD732" s="2">
        <v>0.54183394149999997</v>
      </c>
      <c r="AE732" s="2">
        <v>0.22066605850000001</v>
      </c>
      <c r="AF732" s="2" t="s">
        <v>74</v>
      </c>
      <c r="AG732" s="2" t="s">
        <v>65</v>
      </c>
      <c r="AH732" s="2" t="s">
        <v>74</v>
      </c>
      <c r="AR732" s="2" t="s">
        <v>849</v>
      </c>
      <c r="AS732" s="2" t="s">
        <v>849</v>
      </c>
      <c r="AU732" s="2" t="s">
        <v>1818</v>
      </c>
      <c r="AV732" s="2" t="s">
        <v>1830</v>
      </c>
      <c r="AW732" s="2" t="s">
        <v>1836</v>
      </c>
      <c r="AX732" s="2" t="s">
        <v>1821</v>
      </c>
      <c r="AY732" s="2" t="s">
        <v>79</v>
      </c>
    </row>
    <row r="733" spans="1:51" x14ac:dyDescent="0.2">
      <c r="A733" s="2" t="s">
        <v>1963</v>
      </c>
      <c r="B733" s="2" t="s">
        <v>1964</v>
      </c>
      <c r="C733" s="2" t="s">
        <v>2187</v>
      </c>
      <c r="D733" s="2">
        <v>2023</v>
      </c>
      <c r="E733" s="2" t="s">
        <v>2196</v>
      </c>
      <c r="F733" s="2" t="s">
        <v>2197</v>
      </c>
      <c r="G733" s="2" t="s">
        <v>1968</v>
      </c>
      <c r="H733" s="2" t="s">
        <v>2211</v>
      </c>
      <c r="I733" s="2" t="s">
        <v>1108</v>
      </c>
      <c r="J733" s="2" t="s">
        <v>34</v>
      </c>
      <c r="K733" s="2" t="s">
        <v>38</v>
      </c>
      <c r="L733" s="2" t="s">
        <v>11</v>
      </c>
      <c r="M733" s="2" t="s">
        <v>14</v>
      </c>
      <c r="N733" s="2" t="s">
        <v>20</v>
      </c>
      <c r="O733" s="2">
        <v>0</v>
      </c>
      <c r="P733" s="2" t="s">
        <v>79</v>
      </c>
      <c r="Q733" s="2" t="s">
        <v>646</v>
      </c>
      <c r="T733" s="2" t="s">
        <v>50</v>
      </c>
      <c r="U733" s="2" t="s">
        <v>421</v>
      </c>
      <c r="X733" s="2">
        <v>5</v>
      </c>
      <c r="Y733" s="2">
        <v>4</v>
      </c>
      <c r="AB733" s="2">
        <v>0.1961527022</v>
      </c>
      <c r="AC733" s="2">
        <v>9.6146441340914143E-2</v>
      </c>
      <c r="AD733" s="2">
        <v>0.28757420774999998</v>
      </c>
      <c r="AE733" s="2">
        <v>4.9258152453313102E-2</v>
      </c>
      <c r="AF733" s="2" t="s">
        <v>74</v>
      </c>
      <c r="AG733" s="2" t="s">
        <v>65</v>
      </c>
      <c r="AH733" s="2" t="s">
        <v>74</v>
      </c>
      <c r="AR733" s="2" t="s">
        <v>849</v>
      </c>
      <c r="AS733" s="2" t="s">
        <v>849</v>
      </c>
      <c r="AU733" s="2" t="s">
        <v>1818</v>
      </c>
      <c r="AV733" s="2" t="s">
        <v>1830</v>
      </c>
      <c r="AW733" s="2" t="s">
        <v>1836</v>
      </c>
      <c r="AX733" s="2" t="s">
        <v>1821</v>
      </c>
      <c r="AY733" s="2" t="s">
        <v>79</v>
      </c>
    </row>
    <row r="734" spans="1:51" x14ac:dyDescent="0.2">
      <c r="A734" s="2" t="s">
        <v>1963</v>
      </c>
      <c r="B734" s="2" t="s">
        <v>1964</v>
      </c>
      <c r="C734" s="2" t="s">
        <v>2188</v>
      </c>
      <c r="D734" s="2">
        <v>2023</v>
      </c>
      <c r="E734" s="2" t="s">
        <v>2196</v>
      </c>
      <c r="F734" s="2" t="s">
        <v>2197</v>
      </c>
      <c r="G734" s="2" t="s">
        <v>1968</v>
      </c>
      <c r="H734" s="2" t="s">
        <v>2212</v>
      </c>
      <c r="I734" s="2" t="s">
        <v>1108</v>
      </c>
      <c r="J734" s="2" t="s">
        <v>34</v>
      </c>
      <c r="K734" s="2" t="s">
        <v>38</v>
      </c>
      <c r="L734" s="2" t="s">
        <v>11</v>
      </c>
      <c r="M734" s="2" t="s">
        <v>14</v>
      </c>
      <c r="N734" s="2" t="s">
        <v>20</v>
      </c>
      <c r="O734" s="2">
        <v>0</v>
      </c>
      <c r="P734" s="2" t="s">
        <v>79</v>
      </c>
      <c r="Q734" s="2" t="s">
        <v>646</v>
      </c>
      <c r="T734" s="2" t="s">
        <v>50</v>
      </c>
      <c r="U734" s="2" t="s">
        <v>421</v>
      </c>
      <c r="X734" s="2">
        <v>5</v>
      </c>
      <c r="Y734" s="2">
        <v>2</v>
      </c>
      <c r="AB734" s="2">
        <v>0.1961527022</v>
      </c>
      <c r="AC734" s="2">
        <v>9.6146441340914143E-2</v>
      </c>
      <c r="AD734" s="2">
        <v>0.32348484849999998</v>
      </c>
      <c r="AE734" s="2">
        <v>0.29318181850000002</v>
      </c>
      <c r="AF734" s="2" t="s">
        <v>74</v>
      </c>
      <c r="AG734" s="2" t="s">
        <v>65</v>
      </c>
      <c r="AH734" s="2" t="s">
        <v>74</v>
      </c>
      <c r="AR734" s="2" t="s">
        <v>849</v>
      </c>
      <c r="AS734" s="2" t="s">
        <v>849</v>
      </c>
      <c r="AU734" s="2" t="s">
        <v>1818</v>
      </c>
      <c r="AV734" s="2" t="s">
        <v>1830</v>
      </c>
      <c r="AW734" s="2" t="s">
        <v>1836</v>
      </c>
      <c r="AX734" s="2" t="s">
        <v>1821</v>
      </c>
      <c r="AY734" s="2" t="s">
        <v>79</v>
      </c>
    </row>
    <row r="735" spans="1:51" x14ac:dyDescent="0.2">
      <c r="A735" s="2" t="s">
        <v>1963</v>
      </c>
      <c r="B735" s="2" t="s">
        <v>1964</v>
      </c>
      <c r="C735" s="2" t="s">
        <v>2189</v>
      </c>
      <c r="D735" s="2">
        <v>2023</v>
      </c>
      <c r="E735" s="2" t="s">
        <v>2196</v>
      </c>
      <c r="F735" s="2" t="s">
        <v>2197</v>
      </c>
      <c r="G735" s="2" t="s">
        <v>1968</v>
      </c>
      <c r="H735" s="2" t="s">
        <v>2213</v>
      </c>
      <c r="I735" s="2" t="s">
        <v>1108</v>
      </c>
      <c r="J735" s="2" t="s">
        <v>34</v>
      </c>
      <c r="K735" s="2" t="s">
        <v>38</v>
      </c>
      <c r="L735" s="2" t="s">
        <v>11</v>
      </c>
      <c r="M735" s="2" t="s">
        <v>14</v>
      </c>
      <c r="N735" s="2" t="s">
        <v>20</v>
      </c>
      <c r="O735" s="2">
        <v>0</v>
      </c>
      <c r="P735" s="2" t="s">
        <v>22</v>
      </c>
      <c r="Q735" s="2" t="s">
        <v>1839</v>
      </c>
      <c r="T735" s="2" t="s">
        <v>50</v>
      </c>
      <c r="U735" s="2" t="s">
        <v>421</v>
      </c>
      <c r="X735" s="2">
        <v>15</v>
      </c>
      <c r="Y735" s="2">
        <v>8</v>
      </c>
      <c r="AB735" s="2">
        <v>13.46666666666667</v>
      </c>
      <c r="AC735" s="2">
        <v>1.4568938473820541</v>
      </c>
      <c r="AD735" s="2">
        <v>10.75</v>
      </c>
      <c r="AE735" s="2">
        <v>1.7803490829449311</v>
      </c>
      <c r="AF735" s="2" t="s">
        <v>74</v>
      </c>
      <c r="AG735" s="2" t="s">
        <v>65</v>
      </c>
      <c r="AH735" s="2" t="s">
        <v>74</v>
      </c>
      <c r="AR735" s="2" t="s">
        <v>849</v>
      </c>
      <c r="AS735" s="2" t="s">
        <v>222</v>
      </c>
      <c r="AU735" s="2" t="s">
        <v>1818</v>
      </c>
      <c r="AV735" s="2" t="s">
        <v>1830</v>
      </c>
      <c r="AW735" s="2" t="s">
        <v>1836</v>
      </c>
      <c r="AX735" s="2" t="s">
        <v>1821</v>
      </c>
      <c r="AY735" s="2" t="s">
        <v>79</v>
      </c>
    </row>
    <row r="736" spans="1:51" x14ac:dyDescent="0.2">
      <c r="A736" s="2" t="s">
        <v>1963</v>
      </c>
      <c r="B736" s="2" t="s">
        <v>1964</v>
      </c>
      <c r="C736" s="2" t="s">
        <v>2190</v>
      </c>
      <c r="D736" s="2">
        <v>2023</v>
      </c>
      <c r="E736" s="2" t="s">
        <v>2196</v>
      </c>
      <c r="F736" s="2" t="s">
        <v>2197</v>
      </c>
      <c r="G736" s="2" t="s">
        <v>1968</v>
      </c>
      <c r="H736" s="2" t="s">
        <v>2214</v>
      </c>
      <c r="I736" s="2" t="s">
        <v>1108</v>
      </c>
      <c r="J736" s="2" t="s">
        <v>34</v>
      </c>
      <c r="K736" s="2" t="s">
        <v>38</v>
      </c>
      <c r="L736" s="2" t="s">
        <v>11</v>
      </c>
      <c r="M736" s="2" t="s">
        <v>14</v>
      </c>
      <c r="N736" s="2" t="s">
        <v>20</v>
      </c>
      <c r="O736" s="2">
        <v>0</v>
      </c>
      <c r="P736" s="2" t="s">
        <v>22</v>
      </c>
      <c r="Q736" s="2" t="s">
        <v>1839</v>
      </c>
      <c r="T736" s="2" t="s">
        <v>50</v>
      </c>
      <c r="U736" s="2" t="s">
        <v>421</v>
      </c>
      <c r="X736" s="2">
        <v>15</v>
      </c>
      <c r="Y736" s="2">
        <v>7</v>
      </c>
      <c r="AB736" s="2">
        <v>13.46666666666667</v>
      </c>
      <c r="AC736" s="2">
        <v>1.4568938473820541</v>
      </c>
      <c r="AD736" s="2">
        <v>10.71428571428571</v>
      </c>
      <c r="AE736" s="2">
        <v>2.1899585309651268</v>
      </c>
      <c r="AF736" s="2" t="s">
        <v>74</v>
      </c>
      <c r="AG736" s="2" t="s">
        <v>65</v>
      </c>
      <c r="AH736" s="2" t="s">
        <v>74</v>
      </c>
      <c r="AR736" s="2" t="s">
        <v>849</v>
      </c>
      <c r="AS736" s="2" t="s">
        <v>222</v>
      </c>
      <c r="AU736" s="2" t="s">
        <v>1818</v>
      </c>
      <c r="AV736" s="2" t="s">
        <v>1830</v>
      </c>
      <c r="AW736" s="2" t="s">
        <v>1836</v>
      </c>
      <c r="AX736" s="2" t="s">
        <v>1821</v>
      </c>
      <c r="AY736" s="2" t="s">
        <v>79</v>
      </c>
    </row>
    <row r="737" spans="1:51" x14ac:dyDescent="0.2">
      <c r="A737" s="2" t="s">
        <v>1963</v>
      </c>
      <c r="B737" s="2" t="s">
        <v>1964</v>
      </c>
      <c r="C737" s="2" t="s">
        <v>2191</v>
      </c>
      <c r="D737" s="2">
        <v>2023</v>
      </c>
      <c r="E737" s="2" t="s">
        <v>2196</v>
      </c>
      <c r="F737" s="2" t="s">
        <v>2197</v>
      </c>
      <c r="G737" s="2" t="s">
        <v>1968</v>
      </c>
      <c r="H737" s="2" t="s">
        <v>2215</v>
      </c>
      <c r="I737" s="2" t="s">
        <v>1108</v>
      </c>
      <c r="J737" s="2" t="s">
        <v>34</v>
      </c>
      <c r="K737" s="2" t="s">
        <v>38</v>
      </c>
      <c r="L737" s="2" t="s">
        <v>11</v>
      </c>
      <c r="M737" s="2" t="s">
        <v>14</v>
      </c>
      <c r="N737" s="2" t="s">
        <v>20</v>
      </c>
      <c r="O737" s="2">
        <v>0</v>
      </c>
      <c r="P737" s="2" t="s">
        <v>22</v>
      </c>
      <c r="Q737" s="2" t="s">
        <v>1839</v>
      </c>
      <c r="T737" s="2" t="s">
        <v>50</v>
      </c>
      <c r="U737" s="2" t="s">
        <v>421</v>
      </c>
      <c r="X737" s="2">
        <v>15</v>
      </c>
      <c r="Y737" s="2">
        <v>8</v>
      </c>
      <c r="AB737" s="2">
        <v>13.46666666666667</v>
      </c>
      <c r="AC737" s="2">
        <v>1.4568938473820541</v>
      </c>
      <c r="AD737" s="2">
        <v>14</v>
      </c>
      <c r="AE737" s="2">
        <v>2.2280677086403169</v>
      </c>
      <c r="AF737" s="2" t="s">
        <v>74</v>
      </c>
      <c r="AG737" s="2" t="s">
        <v>65</v>
      </c>
      <c r="AH737" s="2" t="s">
        <v>74</v>
      </c>
      <c r="AR737" s="2" t="s">
        <v>849</v>
      </c>
      <c r="AS737" s="2" t="s">
        <v>222</v>
      </c>
      <c r="AU737" s="2" t="s">
        <v>1818</v>
      </c>
      <c r="AV737" s="2" t="s">
        <v>1830</v>
      </c>
      <c r="AW737" s="2" t="s">
        <v>1836</v>
      </c>
      <c r="AX737" s="2" t="s">
        <v>1821</v>
      </c>
      <c r="AY737" s="2" t="s">
        <v>79</v>
      </c>
    </row>
    <row r="738" spans="1:51" x14ac:dyDescent="0.2">
      <c r="A738" s="2" t="s">
        <v>1963</v>
      </c>
      <c r="B738" s="2" t="s">
        <v>1964</v>
      </c>
      <c r="C738" s="2" t="s">
        <v>2192</v>
      </c>
      <c r="D738" s="2">
        <v>2023</v>
      </c>
      <c r="E738" s="2" t="s">
        <v>2196</v>
      </c>
      <c r="F738" s="2" t="s">
        <v>2197</v>
      </c>
      <c r="G738" s="2" t="s">
        <v>1968</v>
      </c>
      <c r="H738" s="2" t="s">
        <v>2216</v>
      </c>
      <c r="I738" s="2" t="s">
        <v>1108</v>
      </c>
      <c r="J738" s="2" t="s">
        <v>34</v>
      </c>
      <c r="K738" s="2" t="s">
        <v>38</v>
      </c>
      <c r="L738" s="2" t="s">
        <v>11</v>
      </c>
      <c r="M738" s="2" t="s">
        <v>14</v>
      </c>
      <c r="N738" s="2" t="s">
        <v>20</v>
      </c>
      <c r="O738" s="2">
        <v>0</v>
      </c>
      <c r="P738" s="2" t="s">
        <v>23</v>
      </c>
      <c r="Q738" s="2" t="s">
        <v>2220</v>
      </c>
      <c r="T738" s="2" t="s">
        <v>50</v>
      </c>
      <c r="U738" s="2" t="s">
        <v>421</v>
      </c>
      <c r="X738" s="2">
        <v>14</v>
      </c>
      <c r="Y738" s="2">
        <v>11</v>
      </c>
      <c r="AB738" s="2">
        <v>1.626428571428571E-3</v>
      </c>
      <c r="AC738" s="2">
        <v>5.7279027315176059E-5</v>
      </c>
      <c r="AD738" s="2">
        <v>1.635454545454545E-3</v>
      </c>
      <c r="AE738" s="2">
        <v>9.3743980523004885E-5</v>
      </c>
      <c r="AF738" s="2" t="s">
        <v>74</v>
      </c>
      <c r="AG738" s="2" t="s">
        <v>65</v>
      </c>
      <c r="AH738" s="2" t="s">
        <v>74</v>
      </c>
      <c r="AR738" s="2" t="s">
        <v>849</v>
      </c>
      <c r="AS738" s="2" t="s">
        <v>849</v>
      </c>
      <c r="AU738" s="2" t="s">
        <v>1818</v>
      </c>
      <c r="AV738" s="2" t="s">
        <v>1830</v>
      </c>
      <c r="AW738" s="2" t="s">
        <v>1836</v>
      </c>
      <c r="AX738" s="2" t="s">
        <v>1821</v>
      </c>
      <c r="AY738" s="2" t="s">
        <v>79</v>
      </c>
    </row>
    <row r="739" spans="1:51" x14ac:dyDescent="0.2">
      <c r="A739" s="2" t="s">
        <v>1963</v>
      </c>
      <c r="B739" s="2" t="s">
        <v>1964</v>
      </c>
      <c r="C739" s="2" t="s">
        <v>2193</v>
      </c>
      <c r="D739" s="2">
        <v>2023</v>
      </c>
      <c r="E739" s="2" t="s">
        <v>2196</v>
      </c>
      <c r="F739" s="2" t="s">
        <v>2197</v>
      </c>
      <c r="G739" s="2" t="s">
        <v>1968</v>
      </c>
      <c r="H739" s="2" t="s">
        <v>2217</v>
      </c>
      <c r="I739" s="2" t="s">
        <v>1108</v>
      </c>
      <c r="J739" s="2" t="s">
        <v>34</v>
      </c>
      <c r="K739" s="2" t="s">
        <v>38</v>
      </c>
      <c r="L739" s="2" t="s">
        <v>11</v>
      </c>
      <c r="M739" s="2" t="s">
        <v>14</v>
      </c>
      <c r="N739" s="2" t="s">
        <v>20</v>
      </c>
      <c r="O739" s="2">
        <v>0</v>
      </c>
      <c r="P739" s="2" t="s">
        <v>23</v>
      </c>
      <c r="Q739" s="2" t="s">
        <v>2220</v>
      </c>
      <c r="T739" s="2" t="s">
        <v>50</v>
      </c>
      <c r="U739" s="2" t="s">
        <v>421</v>
      </c>
      <c r="X739" s="2">
        <v>14</v>
      </c>
      <c r="Y739" s="2">
        <v>15</v>
      </c>
      <c r="AB739" s="2">
        <v>1.626428571428571E-3</v>
      </c>
      <c r="AC739" s="2">
        <v>5.7279027315176059E-5</v>
      </c>
      <c r="AD739" s="2">
        <v>1.498666666666667E-3</v>
      </c>
      <c r="AE739" s="2">
        <v>5.3929995776417823E-5</v>
      </c>
      <c r="AF739" s="2" t="s">
        <v>74</v>
      </c>
      <c r="AG739" s="2" t="s">
        <v>65</v>
      </c>
      <c r="AH739" s="2" t="s">
        <v>74</v>
      </c>
      <c r="AR739" s="2" t="s">
        <v>849</v>
      </c>
      <c r="AS739" s="2" t="s">
        <v>849</v>
      </c>
      <c r="AU739" s="2" t="s">
        <v>1818</v>
      </c>
      <c r="AV739" s="2" t="s">
        <v>1830</v>
      </c>
      <c r="AW739" s="2" t="s">
        <v>1836</v>
      </c>
      <c r="AX739" s="2" t="s">
        <v>1821</v>
      </c>
      <c r="AY739" s="2" t="s">
        <v>79</v>
      </c>
    </row>
    <row r="740" spans="1:51" x14ac:dyDescent="0.2">
      <c r="A740" s="2" t="s">
        <v>1963</v>
      </c>
      <c r="B740" s="2" t="s">
        <v>1964</v>
      </c>
      <c r="C740" s="2" t="s">
        <v>2194</v>
      </c>
      <c r="D740" s="2">
        <v>2023</v>
      </c>
      <c r="E740" s="2" t="s">
        <v>2196</v>
      </c>
      <c r="F740" s="2" t="s">
        <v>2197</v>
      </c>
      <c r="G740" s="2" t="s">
        <v>1968</v>
      </c>
      <c r="H740" s="2" t="s">
        <v>2218</v>
      </c>
      <c r="I740" s="2" t="s">
        <v>1108</v>
      </c>
      <c r="J740" s="2" t="s">
        <v>34</v>
      </c>
      <c r="K740" s="2" t="s">
        <v>38</v>
      </c>
      <c r="L740" s="2" t="s">
        <v>11</v>
      </c>
      <c r="M740" s="2" t="s">
        <v>14</v>
      </c>
      <c r="N740" s="2" t="s">
        <v>20</v>
      </c>
      <c r="O740" s="2">
        <v>0</v>
      </c>
      <c r="P740" s="2" t="s">
        <v>23</v>
      </c>
      <c r="Q740" s="2" t="s">
        <v>2220</v>
      </c>
      <c r="T740" s="2" t="s">
        <v>50</v>
      </c>
      <c r="U740" s="2" t="s">
        <v>421</v>
      </c>
      <c r="X740" s="2">
        <v>14</v>
      </c>
      <c r="Y740" s="2">
        <v>10</v>
      </c>
      <c r="AB740" s="2">
        <v>1.626428571428571E-3</v>
      </c>
      <c r="AC740" s="2">
        <v>5.7279027315176059E-5</v>
      </c>
      <c r="AD740" s="2">
        <v>1.4829999999999999E-3</v>
      </c>
      <c r="AE740" s="2">
        <v>7.7575053263848222E-5</v>
      </c>
      <c r="AF740" s="2" t="s">
        <v>74</v>
      </c>
      <c r="AG740" s="2" t="s">
        <v>65</v>
      </c>
      <c r="AH740" s="2" t="s">
        <v>74</v>
      </c>
      <c r="AR740" s="2" t="s">
        <v>849</v>
      </c>
      <c r="AS740" s="2" t="s">
        <v>849</v>
      </c>
      <c r="AU740" s="2" t="s">
        <v>1818</v>
      </c>
      <c r="AV740" s="2" t="s">
        <v>1830</v>
      </c>
      <c r="AW740" s="2" t="s">
        <v>1836</v>
      </c>
      <c r="AX740" s="2" t="s">
        <v>1821</v>
      </c>
      <c r="AY740" s="2" t="s">
        <v>79</v>
      </c>
    </row>
    <row r="741" spans="1:51" x14ac:dyDescent="0.2">
      <c r="A741" s="2" t="s">
        <v>1963</v>
      </c>
      <c r="B741" s="2" t="s">
        <v>1964</v>
      </c>
      <c r="C741" s="2" t="s">
        <v>2195</v>
      </c>
      <c r="D741" s="2">
        <v>2023</v>
      </c>
      <c r="E741" s="2" t="s">
        <v>2196</v>
      </c>
      <c r="F741" s="2" t="s">
        <v>2197</v>
      </c>
      <c r="G741" s="2" t="s">
        <v>1968</v>
      </c>
      <c r="H741" s="2" t="s">
        <v>2219</v>
      </c>
      <c r="I741" s="2" t="s">
        <v>1108</v>
      </c>
      <c r="J741" s="2" t="s">
        <v>34</v>
      </c>
      <c r="K741" s="2" t="s">
        <v>38</v>
      </c>
      <c r="L741" s="2" t="s">
        <v>11</v>
      </c>
      <c r="M741" s="2" t="s">
        <v>14</v>
      </c>
      <c r="N741" s="2" t="s">
        <v>20</v>
      </c>
      <c r="O741" s="2">
        <v>0</v>
      </c>
      <c r="P741" s="2" t="s">
        <v>22</v>
      </c>
      <c r="Q741" s="2" t="s">
        <v>30</v>
      </c>
      <c r="T741" s="2" t="s">
        <v>50</v>
      </c>
      <c r="U741" s="2" t="s">
        <v>421</v>
      </c>
      <c r="X741" s="2">
        <v>24</v>
      </c>
      <c r="Y741" s="2">
        <v>16</v>
      </c>
      <c r="AB741" s="2">
        <v>1.25</v>
      </c>
      <c r="AC741" s="2">
        <v>0.79399923338042067</v>
      </c>
      <c r="AD741" s="2">
        <v>1.1875</v>
      </c>
      <c r="AE741" s="2">
        <v>0.65510813356778486</v>
      </c>
      <c r="AF741" s="2" t="s">
        <v>74</v>
      </c>
      <c r="AG741" s="2" t="s">
        <v>64</v>
      </c>
      <c r="AH741" s="2" t="s">
        <v>74</v>
      </c>
      <c r="AR741" s="2" t="s">
        <v>849</v>
      </c>
      <c r="AS741" s="2" t="s">
        <v>849</v>
      </c>
      <c r="AU741" s="2" t="s">
        <v>1818</v>
      </c>
      <c r="AV741" s="2" t="s">
        <v>1830</v>
      </c>
      <c r="AW741" s="2" t="s">
        <v>1836</v>
      </c>
      <c r="AX741" s="2" t="s">
        <v>1821</v>
      </c>
      <c r="AY741" s="2" t="s">
        <v>79</v>
      </c>
    </row>
    <row r="742" spans="1:51" x14ac:dyDescent="0.2">
      <c r="A742" s="2" t="s">
        <v>1963</v>
      </c>
      <c r="B742" s="2" t="s">
        <v>1964</v>
      </c>
      <c r="C742" s="2" t="s">
        <v>2224</v>
      </c>
      <c r="D742" s="2">
        <v>2023</v>
      </c>
      <c r="E742" s="2" t="s">
        <v>2196</v>
      </c>
      <c r="F742" s="2" t="s">
        <v>2197</v>
      </c>
      <c r="G742" s="2" t="s">
        <v>1968</v>
      </c>
      <c r="H742" s="2" t="s">
        <v>2221</v>
      </c>
      <c r="I742" s="2" t="s">
        <v>1108</v>
      </c>
      <c r="J742" s="2" t="s">
        <v>34</v>
      </c>
      <c r="K742" s="2" t="s">
        <v>38</v>
      </c>
      <c r="L742" s="2" t="s">
        <v>11</v>
      </c>
      <c r="M742" s="2" t="s">
        <v>14</v>
      </c>
      <c r="N742" s="2" t="s">
        <v>20</v>
      </c>
      <c r="O742" s="2">
        <v>0</v>
      </c>
      <c r="P742" s="2" t="s">
        <v>22</v>
      </c>
      <c r="Q742" s="2" t="s">
        <v>30</v>
      </c>
      <c r="T742" s="2" t="s">
        <v>50</v>
      </c>
      <c r="U742" s="2" t="s">
        <v>421</v>
      </c>
      <c r="X742" s="2">
        <v>24</v>
      </c>
      <c r="Y742" s="2">
        <v>17</v>
      </c>
      <c r="AB742" s="2">
        <v>1.25</v>
      </c>
      <c r="AC742" s="2">
        <v>0.79399923338042067</v>
      </c>
      <c r="AD742" s="2">
        <v>1.411764705882353</v>
      </c>
      <c r="AE742" s="2">
        <v>0.50729965619589235</v>
      </c>
      <c r="AF742" s="2" t="s">
        <v>74</v>
      </c>
      <c r="AG742" s="2" t="s">
        <v>64</v>
      </c>
      <c r="AH742" s="2" t="s">
        <v>74</v>
      </c>
      <c r="AR742" s="2" t="s">
        <v>849</v>
      </c>
      <c r="AS742" s="2" t="s">
        <v>849</v>
      </c>
      <c r="AU742" s="2" t="s">
        <v>1818</v>
      </c>
      <c r="AV742" s="2" t="s">
        <v>1830</v>
      </c>
      <c r="AW742" s="2" t="s">
        <v>1836</v>
      </c>
      <c r="AX742" s="2" t="s">
        <v>1821</v>
      </c>
      <c r="AY742" s="2" t="s">
        <v>79</v>
      </c>
    </row>
    <row r="743" spans="1:51" x14ac:dyDescent="0.2">
      <c r="A743" s="2" t="s">
        <v>1963</v>
      </c>
      <c r="B743" s="2" t="s">
        <v>1964</v>
      </c>
      <c r="C743" s="2" t="s">
        <v>2225</v>
      </c>
      <c r="D743" s="2">
        <v>2023</v>
      </c>
      <c r="E743" s="2" t="s">
        <v>2196</v>
      </c>
      <c r="F743" s="2" t="s">
        <v>2197</v>
      </c>
      <c r="G743" s="2" t="s">
        <v>1968</v>
      </c>
      <c r="H743" s="2" t="s">
        <v>2222</v>
      </c>
      <c r="I743" s="2" t="s">
        <v>1108</v>
      </c>
      <c r="J743" s="2" t="s">
        <v>34</v>
      </c>
      <c r="K743" s="2" t="s">
        <v>38</v>
      </c>
      <c r="L743" s="2" t="s">
        <v>11</v>
      </c>
      <c r="M743" s="2" t="s">
        <v>14</v>
      </c>
      <c r="N743" s="2" t="s">
        <v>20</v>
      </c>
      <c r="O743" s="2">
        <v>0</v>
      </c>
      <c r="P743" s="2" t="s">
        <v>22</v>
      </c>
      <c r="Q743" s="2" t="s">
        <v>30</v>
      </c>
      <c r="T743" s="2" t="s">
        <v>50</v>
      </c>
      <c r="U743" s="2" t="s">
        <v>421</v>
      </c>
      <c r="X743" s="2">
        <v>24</v>
      </c>
      <c r="Y743" s="2">
        <v>16</v>
      </c>
      <c r="AB743" s="2">
        <v>1.25</v>
      </c>
      <c r="AC743" s="2">
        <v>0.79399923338042067</v>
      </c>
      <c r="AD743" s="2">
        <v>1.125</v>
      </c>
      <c r="AE743" s="2">
        <v>0.80622577482985502</v>
      </c>
      <c r="AF743" s="2" t="s">
        <v>74</v>
      </c>
      <c r="AG743" s="2" t="s">
        <v>64</v>
      </c>
      <c r="AH743" s="2" t="s">
        <v>74</v>
      </c>
      <c r="AR743" s="2" t="s">
        <v>849</v>
      </c>
      <c r="AS743" s="2" t="s">
        <v>849</v>
      </c>
      <c r="AU743" s="2" t="s">
        <v>1818</v>
      </c>
      <c r="AV743" s="2" t="s">
        <v>1830</v>
      </c>
      <c r="AW743" s="2" t="s">
        <v>1836</v>
      </c>
      <c r="AX743" s="2" t="s">
        <v>1821</v>
      </c>
      <c r="AY743" s="2" t="s">
        <v>79</v>
      </c>
    </row>
    <row r="744" spans="1:51" x14ac:dyDescent="0.2">
      <c r="A744" s="2" t="s">
        <v>1963</v>
      </c>
      <c r="B744" s="2" t="s">
        <v>1964</v>
      </c>
      <c r="C744" s="2" t="s">
        <v>2225</v>
      </c>
      <c r="D744" s="2">
        <v>2023</v>
      </c>
      <c r="E744" s="2" t="s">
        <v>2196</v>
      </c>
      <c r="F744" s="2" t="s">
        <v>2197</v>
      </c>
      <c r="G744" s="2" t="s">
        <v>1968</v>
      </c>
      <c r="H744" s="2" t="s">
        <v>2244</v>
      </c>
      <c r="I744" s="2" t="s">
        <v>1108</v>
      </c>
      <c r="J744" s="2" t="s">
        <v>34</v>
      </c>
      <c r="K744" s="2" t="s">
        <v>38</v>
      </c>
      <c r="L744" s="2" t="s">
        <v>11</v>
      </c>
      <c r="M744" s="2" t="s">
        <v>14</v>
      </c>
      <c r="N744" s="2" t="s">
        <v>20</v>
      </c>
      <c r="O744" s="2">
        <v>0</v>
      </c>
      <c r="P744" s="2" t="s">
        <v>22</v>
      </c>
      <c r="Q744" s="2" t="s">
        <v>2025</v>
      </c>
      <c r="T744" s="2" t="s">
        <v>50</v>
      </c>
      <c r="U744" s="2" t="s">
        <v>421</v>
      </c>
      <c r="X744" s="2">
        <v>23</v>
      </c>
      <c r="Y744" s="2">
        <v>22</v>
      </c>
      <c r="AB744" s="2">
        <v>6.7826086956521738</v>
      </c>
      <c r="AC744" s="2">
        <v>8.8623643558750498</v>
      </c>
      <c r="AD744" s="2">
        <v>4.9090909090909092</v>
      </c>
      <c r="AE744" s="2">
        <v>5.7644980032468771</v>
      </c>
      <c r="AF744" s="2" t="s">
        <v>74</v>
      </c>
      <c r="AG744" s="2" t="s">
        <v>64</v>
      </c>
      <c r="AH744" s="2" t="s">
        <v>74</v>
      </c>
      <c r="AR744" s="2" t="s">
        <v>849</v>
      </c>
      <c r="AS744" s="2" t="s">
        <v>849</v>
      </c>
      <c r="AU744" s="2" t="s">
        <v>1818</v>
      </c>
      <c r="AV744" s="2" t="s">
        <v>1830</v>
      </c>
      <c r="AW744" s="2" t="s">
        <v>1836</v>
      </c>
      <c r="AX744" s="2" t="s">
        <v>1821</v>
      </c>
      <c r="AY744" s="2" t="s">
        <v>79</v>
      </c>
    </row>
    <row r="745" spans="1:51" x14ac:dyDescent="0.2">
      <c r="A745" s="2" t="s">
        <v>1963</v>
      </c>
      <c r="B745" s="2" t="s">
        <v>1964</v>
      </c>
      <c r="C745" s="2" t="s">
        <v>2225</v>
      </c>
      <c r="D745" s="2">
        <v>2023</v>
      </c>
      <c r="E745" s="2" t="s">
        <v>2196</v>
      </c>
      <c r="F745" s="2" t="s">
        <v>2197</v>
      </c>
      <c r="G745" s="2" t="s">
        <v>1968</v>
      </c>
      <c r="H745" s="2" t="s">
        <v>2245</v>
      </c>
      <c r="I745" s="2" t="s">
        <v>1108</v>
      </c>
      <c r="J745" s="2" t="s">
        <v>34</v>
      </c>
      <c r="K745" s="2" t="s">
        <v>38</v>
      </c>
      <c r="L745" s="2" t="s">
        <v>11</v>
      </c>
      <c r="M745" s="2" t="s">
        <v>14</v>
      </c>
      <c r="N745" s="2" t="s">
        <v>20</v>
      </c>
      <c r="O745" s="2">
        <v>0</v>
      </c>
      <c r="P745" s="2" t="s">
        <v>22</v>
      </c>
      <c r="Q745" s="2" t="s">
        <v>2025</v>
      </c>
      <c r="T745" s="2" t="s">
        <v>50</v>
      </c>
      <c r="U745" s="2" t="s">
        <v>421</v>
      </c>
      <c r="X745" s="2">
        <v>23</v>
      </c>
      <c r="Y745" s="2">
        <v>17</v>
      </c>
      <c r="AB745" s="2">
        <v>6.7826086956521738</v>
      </c>
      <c r="AC745" s="2">
        <v>8.8623643558750498</v>
      </c>
      <c r="AD745" s="2">
        <v>5.3529411764705879</v>
      </c>
      <c r="AE745" s="2">
        <v>6.6983316623487319</v>
      </c>
      <c r="AF745" s="2" t="s">
        <v>74</v>
      </c>
      <c r="AG745" s="2" t="s">
        <v>64</v>
      </c>
      <c r="AH745" s="2" t="s">
        <v>74</v>
      </c>
      <c r="AR745" s="2" t="s">
        <v>849</v>
      </c>
      <c r="AS745" s="2" t="s">
        <v>849</v>
      </c>
      <c r="AU745" s="2" t="s">
        <v>1818</v>
      </c>
      <c r="AV745" s="2" t="s">
        <v>1830</v>
      </c>
      <c r="AW745" s="2" t="s">
        <v>1836</v>
      </c>
      <c r="AX745" s="2" t="s">
        <v>1821</v>
      </c>
      <c r="AY745" s="2" t="s">
        <v>79</v>
      </c>
    </row>
    <row r="746" spans="1:51" x14ac:dyDescent="0.2">
      <c r="A746" s="2" t="s">
        <v>1963</v>
      </c>
      <c r="B746" s="2" t="s">
        <v>1964</v>
      </c>
      <c r="C746" s="2" t="s">
        <v>2225</v>
      </c>
      <c r="D746" s="2">
        <v>2023</v>
      </c>
      <c r="E746" s="2" t="s">
        <v>2196</v>
      </c>
      <c r="F746" s="2" t="s">
        <v>2197</v>
      </c>
      <c r="G746" s="2" t="s">
        <v>1968</v>
      </c>
      <c r="H746" s="2" t="s">
        <v>2246</v>
      </c>
      <c r="I746" s="2" t="s">
        <v>1108</v>
      </c>
      <c r="J746" s="2" t="s">
        <v>34</v>
      </c>
      <c r="K746" s="2" t="s">
        <v>38</v>
      </c>
      <c r="L746" s="2" t="s">
        <v>11</v>
      </c>
      <c r="M746" s="2" t="s">
        <v>14</v>
      </c>
      <c r="N746" s="2" t="s">
        <v>20</v>
      </c>
      <c r="O746" s="2">
        <v>0</v>
      </c>
      <c r="P746" s="2" t="s">
        <v>22</v>
      </c>
      <c r="Q746" s="2" t="s">
        <v>2025</v>
      </c>
      <c r="T746" s="2" t="s">
        <v>50</v>
      </c>
      <c r="U746" s="2" t="s">
        <v>421</v>
      </c>
      <c r="X746" s="2">
        <v>23</v>
      </c>
      <c r="Y746" s="2">
        <v>18</v>
      </c>
      <c r="AB746" s="2">
        <v>6.7826086956521738</v>
      </c>
      <c r="AC746" s="2">
        <v>8.8623643558750498</v>
      </c>
      <c r="AD746" s="2">
        <v>4.8888888888888893</v>
      </c>
      <c r="AE746" s="2">
        <v>4.0130506056364021</v>
      </c>
      <c r="AF746" s="2" t="s">
        <v>74</v>
      </c>
      <c r="AG746" s="2" t="s">
        <v>64</v>
      </c>
      <c r="AH746" s="2" t="s">
        <v>74</v>
      </c>
      <c r="AR746" s="2" t="s">
        <v>849</v>
      </c>
      <c r="AS746" s="2" t="s">
        <v>849</v>
      </c>
      <c r="AU746" s="2" t="s">
        <v>1818</v>
      </c>
      <c r="AV746" s="2" t="s">
        <v>1830</v>
      </c>
      <c r="AW746" s="2" t="s">
        <v>1836</v>
      </c>
      <c r="AX746" s="2" t="s">
        <v>1821</v>
      </c>
      <c r="AY746" s="2" t="s">
        <v>79</v>
      </c>
    </row>
    <row r="747" spans="1:51" x14ac:dyDescent="0.2">
      <c r="A747" s="2" t="s">
        <v>1963</v>
      </c>
      <c r="B747" s="2" t="s">
        <v>1964</v>
      </c>
      <c r="C747" s="2" t="s">
        <v>2225</v>
      </c>
      <c r="D747" s="2">
        <v>2023</v>
      </c>
      <c r="E747" s="2" t="s">
        <v>2196</v>
      </c>
      <c r="F747" s="2" t="s">
        <v>2197</v>
      </c>
      <c r="G747" s="2" t="s">
        <v>1968</v>
      </c>
      <c r="H747" s="2" t="s">
        <v>2247</v>
      </c>
      <c r="I747" s="2" t="s">
        <v>1108</v>
      </c>
      <c r="J747" s="2" t="s">
        <v>34</v>
      </c>
      <c r="K747" s="2" t="s">
        <v>38</v>
      </c>
      <c r="L747" s="2" t="s">
        <v>11</v>
      </c>
      <c r="M747" s="2" t="s">
        <v>14</v>
      </c>
      <c r="N747" s="2" t="s">
        <v>20</v>
      </c>
      <c r="O747" s="2">
        <v>0</v>
      </c>
      <c r="P747" s="2" t="s">
        <v>22</v>
      </c>
      <c r="Q747" s="2" t="s">
        <v>2025</v>
      </c>
      <c r="T747" s="2" t="s">
        <v>50</v>
      </c>
      <c r="U747" s="2" t="s">
        <v>421</v>
      </c>
      <c r="X747" s="2">
        <v>23</v>
      </c>
      <c r="Y747" s="2">
        <v>22</v>
      </c>
      <c r="AB747" s="2">
        <v>51.682869565217395</v>
      </c>
      <c r="AC747" s="2">
        <v>33.926197165591319</v>
      </c>
      <c r="AD747" s="2">
        <v>54.25781818181818</v>
      </c>
      <c r="AE747" s="2">
        <v>31.524865403793125</v>
      </c>
      <c r="AF747" s="2" t="s">
        <v>74</v>
      </c>
      <c r="AG747" s="2" t="s">
        <v>64</v>
      </c>
      <c r="AH747" s="2" t="s">
        <v>74</v>
      </c>
      <c r="AR747" s="2" t="s">
        <v>849</v>
      </c>
      <c r="AS747" s="2" t="s">
        <v>849</v>
      </c>
      <c r="AU747" s="2" t="s">
        <v>1818</v>
      </c>
      <c r="AV747" s="2" t="s">
        <v>1830</v>
      </c>
      <c r="AW747" s="2" t="s">
        <v>1836</v>
      </c>
      <c r="AX747" s="2" t="s">
        <v>1821</v>
      </c>
      <c r="AY747" s="2" t="s">
        <v>79</v>
      </c>
    </row>
    <row r="748" spans="1:51" x14ac:dyDescent="0.2">
      <c r="A748" s="2" t="s">
        <v>1963</v>
      </c>
      <c r="B748" s="2" t="s">
        <v>1964</v>
      </c>
      <c r="C748" s="2" t="s">
        <v>2225</v>
      </c>
      <c r="D748" s="2">
        <v>2023</v>
      </c>
      <c r="E748" s="2" t="s">
        <v>2196</v>
      </c>
      <c r="F748" s="2" t="s">
        <v>2197</v>
      </c>
      <c r="G748" s="2" t="s">
        <v>1968</v>
      </c>
      <c r="H748" s="2" t="s">
        <v>2248</v>
      </c>
      <c r="I748" s="2" t="s">
        <v>1108</v>
      </c>
      <c r="J748" s="2" t="s">
        <v>34</v>
      </c>
      <c r="K748" s="2" t="s">
        <v>38</v>
      </c>
      <c r="L748" s="2" t="s">
        <v>11</v>
      </c>
      <c r="M748" s="2" t="s">
        <v>14</v>
      </c>
      <c r="N748" s="2" t="s">
        <v>20</v>
      </c>
      <c r="O748" s="2">
        <v>0</v>
      </c>
      <c r="P748" s="2" t="s">
        <v>22</v>
      </c>
      <c r="Q748" s="2" t="s">
        <v>2025</v>
      </c>
      <c r="T748" s="2" t="s">
        <v>50</v>
      </c>
      <c r="U748" s="2" t="s">
        <v>421</v>
      </c>
      <c r="X748" s="2">
        <v>23</v>
      </c>
      <c r="Y748" s="2">
        <v>17</v>
      </c>
      <c r="AB748" s="2">
        <v>51.682869565217395</v>
      </c>
      <c r="AC748" s="2">
        <v>33.926197165591319</v>
      </c>
      <c r="AD748" s="2">
        <v>64.331235294117647</v>
      </c>
      <c r="AE748" s="2">
        <v>40.239257407302823</v>
      </c>
      <c r="AF748" s="2" t="s">
        <v>74</v>
      </c>
      <c r="AG748" s="2" t="s">
        <v>64</v>
      </c>
      <c r="AH748" s="2" t="s">
        <v>74</v>
      </c>
      <c r="AR748" s="2" t="s">
        <v>849</v>
      </c>
      <c r="AS748" s="2" t="s">
        <v>849</v>
      </c>
      <c r="AU748" s="2" t="s">
        <v>1818</v>
      </c>
      <c r="AV748" s="2" t="s">
        <v>1830</v>
      </c>
      <c r="AW748" s="2" t="s">
        <v>1836</v>
      </c>
      <c r="AX748" s="2" t="s">
        <v>1821</v>
      </c>
      <c r="AY748" s="2" t="s">
        <v>79</v>
      </c>
    </row>
    <row r="749" spans="1:51" x14ac:dyDescent="0.2">
      <c r="A749" s="2" t="s">
        <v>1963</v>
      </c>
      <c r="B749" s="2" t="s">
        <v>1964</v>
      </c>
      <c r="C749" s="2" t="s">
        <v>2225</v>
      </c>
      <c r="D749" s="2">
        <v>2023</v>
      </c>
      <c r="E749" s="2" t="s">
        <v>2196</v>
      </c>
      <c r="F749" s="2" t="s">
        <v>2197</v>
      </c>
      <c r="G749" s="2" t="s">
        <v>1968</v>
      </c>
      <c r="H749" s="2" t="s">
        <v>2249</v>
      </c>
      <c r="I749" s="2" t="s">
        <v>1108</v>
      </c>
      <c r="J749" s="2" t="s">
        <v>34</v>
      </c>
      <c r="K749" s="2" t="s">
        <v>38</v>
      </c>
      <c r="L749" s="2" t="s">
        <v>11</v>
      </c>
      <c r="M749" s="2" t="s">
        <v>14</v>
      </c>
      <c r="N749" s="2" t="s">
        <v>20</v>
      </c>
      <c r="O749" s="2">
        <v>0</v>
      </c>
      <c r="P749" s="2" t="s">
        <v>22</v>
      </c>
      <c r="Q749" s="2" t="s">
        <v>2025</v>
      </c>
      <c r="T749" s="2" t="s">
        <v>50</v>
      </c>
      <c r="U749" s="2" t="s">
        <v>421</v>
      </c>
      <c r="X749" s="2">
        <v>23</v>
      </c>
      <c r="Y749" s="2">
        <v>18</v>
      </c>
      <c r="AB749" s="2">
        <v>51.682869565217395</v>
      </c>
      <c r="AC749" s="2">
        <v>33.926197165591319</v>
      </c>
      <c r="AD749" s="2">
        <v>47.123833333333323</v>
      </c>
      <c r="AE749" s="2">
        <v>29.317881901765727</v>
      </c>
      <c r="AF749" s="2" t="s">
        <v>74</v>
      </c>
      <c r="AG749" s="2" t="s">
        <v>64</v>
      </c>
      <c r="AH749" s="2" t="s">
        <v>74</v>
      </c>
      <c r="AR749" s="2" t="s">
        <v>849</v>
      </c>
      <c r="AS749" s="2" t="s">
        <v>849</v>
      </c>
      <c r="AU749" s="2" t="s">
        <v>1818</v>
      </c>
      <c r="AV749" s="2" t="s">
        <v>1830</v>
      </c>
      <c r="AW749" s="2" t="s">
        <v>1836</v>
      </c>
      <c r="AX749" s="2" t="s">
        <v>1821</v>
      </c>
      <c r="AY749" s="2" t="s">
        <v>79</v>
      </c>
    </row>
    <row r="750" spans="1:51" x14ac:dyDescent="0.2">
      <c r="A750" s="2" t="s">
        <v>1963</v>
      </c>
      <c r="B750" s="2" t="s">
        <v>1964</v>
      </c>
      <c r="C750" s="2" t="s">
        <v>2195</v>
      </c>
      <c r="D750" s="2">
        <v>2023</v>
      </c>
      <c r="E750" s="2" t="s">
        <v>2196</v>
      </c>
      <c r="F750" s="2" t="s">
        <v>2223</v>
      </c>
      <c r="G750" s="2" t="s">
        <v>1977</v>
      </c>
      <c r="H750" s="2" t="s">
        <v>2250</v>
      </c>
      <c r="I750" s="2" t="s">
        <v>1108</v>
      </c>
      <c r="J750" s="2" t="s">
        <v>34</v>
      </c>
      <c r="K750" s="2" t="s">
        <v>38</v>
      </c>
      <c r="L750" s="2" t="s">
        <v>11</v>
      </c>
      <c r="M750" s="2" t="s">
        <v>14</v>
      </c>
      <c r="N750" s="2" t="s">
        <v>20</v>
      </c>
      <c r="O750" s="2">
        <v>0</v>
      </c>
      <c r="P750" s="2" t="s">
        <v>22</v>
      </c>
      <c r="Q750" s="2" t="s">
        <v>2025</v>
      </c>
      <c r="T750" s="2" t="s">
        <v>50</v>
      </c>
      <c r="U750" s="2" t="s">
        <v>421</v>
      </c>
      <c r="X750" s="2">
        <v>23</v>
      </c>
      <c r="Y750" s="2">
        <v>20</v>
      </c>
      <c r="Z750" s="2">
        <v>20</v>
      </c>
      <c r="AA750" s="2">
        <v>14</v>
      </c>
      <c r="AH750" s="2" t="s">
        <v>1804</v>
      </c>
      <c r="AR750" s="2" t="s">
        <v>849</v>
      </c>
      <c r="AS750" s="2" t="s">
        <v>849</v>
      </c>
      <c r="AU750" s="2" t="s">
        <v>1818</v>
      </c>
      <c r="AV750" s="2" t="s">
        <v>1830</v>
      </c>
      <c r="AW750" s="2" t="s">
        <v>1836</v>
      </c>
      <c r="AX750" s="2" t="s">
        <v>1821</v>
      </c>
      <c r="AY750" s="2" t="s">
        <v>79</v>
      </c>
    </row>
    <row r="751" spans="1:51" x14ac:dyDescent="0.2">
      <c r="A751" s="2" t="s">
        <v>1963</v>
      </c>
      <c r="B751" s="2" t="s">
        <v>1964</v>
      </c>
      <c r="C751" s="2" t="s">
        <v>2224</v>
      </c>
      <c r="D751" s="2">
        <v>2023</v>
      </c>
      <c r="E751" s="2" t="s">
        <v>2196</v>
      </c>
      <c r="F751" s="2" t="s">
        <v>2223</v>
      </c>
      <c r="G751" s="2" t="s">
        <v>1977</v>
      </c>
      <c r="H751" s="2" t="s">
        <v>2251</v>
      </c>
      <c r="I751" s="2" t="s">
        <v>1108</v>
      </c>
      <c r="J751" s="2" t="s">
        <v>34</v>
      </c>
      <c r="K751" s="2" t="s">
        <v>38</v>
      </c>
      <c r="L751" s="2" t="s">
        <v>11</v>
      </c>
      <c r="M751" s="2" t="s">
        <v>14</v>
      </c>
      <c r="N751" s="2" t="s">
        <v>20</v>
      </c>
      <c r="O751" s="2">
        <v>0</v>
      </c>
      <c r="P751" s="2" t="s">
        <v>22</v>
      </c>
      <c r="Q751" s="2" t="s">
        <v>2025</v>
      </c>
      <c r="T751" s="2" t="s">
        <v>50</v>
      </c>
      <c r="U751" s="2" t="s">
        <v>421</v>
      </c>
      <c r="X751" s="2">
        <v>23</v>
      </c>
      <c r="Y751" s="2">
        <v>22</v>
      </c>
      <c r="Z751" s="2">
        <v>20</v>
      </c>
      <c r="AA751" s="2">
        <v>17</v>
      </c>
      <c r="AH751" s="2" t="s">
        <v>1804</v>
      </c>
      <c r="AR751" s="2" t="s">
        <v>849</v>
      </c>
      <c r="AS751" s="2" t="s">
        <v>849</v>
      </c>
      <c r="AU751" s="2" t="s">
        <v>1818</v>
      </c>
      <c r="AV751" s="2" t="s">
        <v>1830</v>
      </c>
      <c r="AW751" s="2" t="s">
        <v>1836</v>
      </c>
      <c r="AX751" s="2" t="s">
        <v>1821</v>
      </c>
      <c r="AY751" s="2" t="s">
        <v>79</v>
      </c>
    </row>
    <row r="752" spans="1:51" x14ac:dyDescent="0.2">
      <c r="A752" s="2" t="s">
        <v>1963</v>
      </c>
      <c r="B752" s="2" t="s">
        <v>1964</v>
      </c>
      <c r="C752" s="2" t="s">
        <v>2225</v>
      </c>
      <c r="D752" s="2">
        <v>2023</v>
      </c>
      <c r="E752" s="2" t="s">
        <v>2196</v>
      </c>
      <c r="F752" s="2" t="s">
        <v>2223</v>
      </c>
      <c r="G752" s="2" t="s">
        <v>1977</v>
      </c>
      <c r="H752" s="2" t="s">
        <v>2252</v>
      </c>
      <c r="I752" s="2" t="s">
        <v>1108</v>
      </c>
      <c r="J752" s="2" t="s">
        <v>34</v>
      </c>
      <c r="K752" s="2" t="s">
        <v>38</v>
      </c>
      <c r="L752" s="2" t="s">
        <v>11</v>
      </c>
      <c r="M752" s="2" t="s">
        <v>14</v>
      </c>
      <c r="N752" s="2" t="s">
        <v>20</v>
      </c>
      <c r="O752" s="2">
        <v>0</v>
      </c>
      <c r="P752" s="2" t="s">
        <v>22</v>
      </c>
      <c r="Q752" s="2" t="s">
        <v>2025</v>
      </c>
      <c r="T752" s="2" t="s">
        <v>50</v>
      </c>
      <c r="U752" s="2" t="s">
        <v>421</v>
      </c>
      <c r="X752" s="2">
        <v>23</v>
      </c>
      <c r="Y752" s="2">
        <v>27</v>
      </c>
      <c r="Z752" s="2">
        <v>20</v>
      </c>
      <c r="AA752" s="2">
        <v>12</v>
      </c>
      <c r="AH752" s="2" t="s">
        <v>1804</v>
      </c>
      <c r="AR752" s="2" t="s">
        <v>849</v>
      </c>
      <c r="AS752" s="2" t="s">
        <v>849</v>
      </c>
      <c r="AU752" s="2" t="s">
        <v>1818</v>
      </c>
      <c r="AV752" s="2" t="s">
        <v>1830</v>
      </c>
      <c r="AW752" s="2" t="s">
        <v>1836</v>
      </c>
      <c r="AX752" s="2" t="s">
        <v>1821</v>
      </c>
      <c r="AY752" s="2" t="s">
        <v>79</v>
      </c>
    </row>
    <row r="753" spans="1:51" x14ac:dyDescent="0.2">
      <c r="A753" s="2" t="s">
        <v>1963</v>
      </c>
      <c r="B753" s="2" t="s">
        <v>1964</v>
      </c>
      <c r="C753" s="2" t="s">
        <v>2226</v>
      </c>
      <c r="D753" s="2">
        <v>2023</v>
      </c>
      <c r="E753" s="2" t="s">
        <v>2196</v>
      </c>
      <c r="F753" s="2" t="s">
        <v>2223</v>
      </c>
      <c r="G753" s="2" t="s">
        <v>1977</v>
      </c>
      <c r="H753" s="2" t="s">
        <v>2253</v>
      </c>
      <c r="I753" s="2" t="s">
        <v>1108</v>
      </c>
      <c r="J753" s="2" t="s">
        <v>34</v>
      </c>
      <c r="K753" s="2" t="s">
        <v>38</v>
      </c>
      <c r="L753" s="2" t="s">
        <v>11</v>
      </c>
      <c r="M753" s="2" t="s">
        <v>14</v>
      </c>
      <c r="N753" s="2" t="s">
        <v>20</v>
      </c>
      <c r="O753" s="2">
        <v>0</v>
      </c>
      <c r="P753" s="2" t="s">
        <v>22</v>
      </c>
      <c r="Q753" s="2" t="s">
        <v>2025</v>
      </c>
      <c r="T753" s="2" t="s">
        <v>50</v>
      </c>
      <c r="U753" s="2" t="s">
        <v>421</v>
      </c>
      <c r="X753" s="2">
        <v>20</v>
      </c>
      <c r="Y753" s="2">
        <v>14</v>
      </c>
      <c r="AB753" s="2">
        <v>6.8</v>
      </c>
      <c r="AC753" s="2">
        <v>4.0743097574926725</v>
      </c>
      <c r="AD753" s="2">
        <v>5.333333333333333</v>
      </c>
      <c r="AE753" s="2">
        <v>3.6514837167011076</v>
      </c>
      <c r="AF753" s="2" t="s">
        <v>74</v>
      </c>
      <c r="AG753" s="2" t="s">
        <v>64</v>
      </c>
      <c r="AH753" s="2" t="s">
        <v>74</v>
      </c>
      <c r="AR753" s="2" t="s">
        <v>849</v>
      </c>
      <c r="AS753" s="2" t="s">
        <v>222</v>
      </c>
      <c r="AU753" s="2" t="s">
        <v>1818</v>
      </c>
      <c r="AV753" s="2" t="s">
        <v>1830</v>
      </c>
      <c r="AW753" s="2" t="s">
        <v>1836</v>
      </c>
      <c r="AX753" s="2" t="s">
        <v>1821</v>
      </c>
      <c r="AY753" s="2" t="s">
        <v>79</v>
      </c>
    </row>
    <row r="754" spans="1:51" x14ac:dyDescent="0.2">
      <c r="A754" s="2" t="s">
        <v>1963</v>
      </c>
      <c r="B754" s="2" t="s">
        <v>1964</v>
      </c>
      <c r="C754" s="2" t="s">
        <v>2227</v>
      </c>
      <c r="D754" s="2">
        <v>2023</v>
      </c>
      <c r="E754" s="2" t="s">
        <v>2196</v>
      </c>
      <c r="F754" s="2" t="s">
        <v>2223</v>
      </c>
      <c r="G754" s="2" t="s">
        <v>1977</v>
      </c>
      <c r="H754" s="2" t="s">
        <v>2254</v>
      </c>
      <c r="I754" s="2" t="s">
        <v>1108</v>
      </c>
      <c r="J754" s="2" t="s">
        <v>34</v>
      </c>
      <c r="K754" s="2" t="s">
        <v>38</v>
      </c>
      <c r="L754" s="2" t="s">
        <v>11</v>
      </c>
      <c r="M754" s="2" t="s">
        <v>14</v>
      </c>
      <c r="N754" s="2" t="s">
        <v>20</v>
      </c>
      <c r="O754" s="2">
        <v>0</v>
      </c>
      <c r="P754" s="2" t="s">
        <v>22</v>
      </c>
      <c r="Q754" s="2" t="s">
        <v>2025</v>
      </c>
      <c r="T754" s="2" t="s">
        <v>50</v>
      </c>
      <c r="U754" s="2" t="s">
        <v>421</v>
      </c>
      <c r="X754" s="2">
        <v>20</v>
      </c>
      <c r="Y754" s="2">
        <v>17</v>
      </c>
      <c r="AB754" s="2">
        <v>6.8</v>
      </c>
      <c r="AC754" s="2">
        <v>4.0743097574926725</v>
      </c>
      <c r="AD754" s="2">
        <v>9.1999999999999993</v>
      </c>
      <c r="AE754" s="2">
        <v>6.8577380694053511</v>
      </c>
      <c r="AF754" s="2" t="s">
        <v>74</v>
      </c>
      <c r="AG754" s="2" t="s">
        <v>64</v>
      </c>
      <c r="AH754" s="2" t="s">
        <v>74</v>
      </c>
      <c r="AR754" s="2" t="s">
        <v>849</v>
      </c>
      <c r="AS754" s="2" t="s">
        <v>222</v>
      </c>
      <c r="AU754" s="2" t="s">
        <v>1818</v>
      </c>
      <c r="AV754" s="2" t="s">
        <v>1830</v>
      </c>
      <c r="AW754" s="2" t="s">
        <v>1836</v>
      </c>
      <c r="AX754" s="2" t="s">
        <v>1821</v>
      </c>
      <c r="AY754" s="2" t="s">
        <v>79</v>
      </c>
    </row>
    <row r="755" spans="1:51" x14ac:dyDescent="0.2">
      <c r="A755" s="2" t="s">
        <v>1963</v>
      </c>
      <c r="B755" s="2" t="s">
        <v>1964</v>
      </c>
      <c r="C755" s="2" t="s">
        <v>2228</v>
      </c>
      <c r="D755" s="2">
        <v>2023</v>
      </c>
      <c r="E755" s="2" t="s">
        <v>2196</v>
      </c>
      <c r="F755" s="2" t="s">
        <v>2223</v>
      </c>
      <c r="G755" s="2" t="s">
        <v>1977</v>
      </c>
      <c r="H755" s="2" t="s">
        <v>2255</v>
      </c>
      <c r="I755" s="2" t="s">
        <v>1108</v>
      </c>
      <c r="J755" s="2" t="s">
        <v>34</v>
      </c>
      <c r="K755" s="2" t="s">
        <v>38</v>
      </c>
      <c r="L755" s="2" t="s">
        <v>11</v>
      </c>
      <c r="M755" s="2" t="s">
        <v>14</v>
      </c>
      <c r="N755" s="2" t="s">
        <v>20</v>
      </c>
      <c r="O755" s="2">
        <v>0</v>
      </c>
      <c r="P755" s="2" t="s">
        <v>22</v>
      </c>
      <c r="Q755" s="2" t="s">
        <v>2025</v>
      </c>
      <c r="T755" s="2" t="s">
        <v>50</v>
      </c>
      <c r="U755" s="2" t="s">
        <v>421</v>
      </c>
      <c r="X755" s="2">
        <v>20</v>
      </c>
      <c r="Y755" s="2">
        <v>12</v>
      </c>
      <c r="AB755" s="2">
        <v>6.8</v>
      </c>
      <c r="AC755" s="2">
        <v>4.0743097574926725</v>
      </c>
      <c r="AD755" s="2">
        <v>5.1818181818181817</v>
      </c>
      <c r="AE755" s="2">
        <v>2.2279219832921355</v>
      </c>
      <c r="AF755" s="2" t="s">
        <v>74</v>
      </c>
      <c r="AG755" s="2" t="s">
        <v>64</v>
      </c>
      <c r="AH755" s="2" t="s">
        <v>74</v>
      </c>
      <c r="AR755" s="2" t="s">
        <v>849</v>
      </c>
      <c r="AS755" s="2" t="s">
        <v>222</v>
      </c>
      <c r="AU755" s="2" t="s">
        <v>1818</v>
      </c>
      <c r="AV755" s="2" t="s">
        <v>1830</v>
      </c>
      <c r="AW755" s="2" t="s">
        <v>1836</v>
      </c>
      <c r="AX755" s="2" t="s">
        <v>1821</v>
      </c>
      <c r="AY755" s="2" t="s">
        <v>79</v>
      </c>
    </row>
    <row r="756" spans="1:51" x14ac:dyDescent="0.2">
      <c r="A756" s="2" t="s">
        <v>1963</v>
      </c>
      <c r="B756" s="2" t="s">
        <v>1964</v>
      </c>
      <c r="C756" s="2" t="s">
        <v>2229</v>
      </c>
      <c r="D756" s="2">
        <v>2023</v>
      </c>
      <c r="E756" s="2" t="s">
        <v>2196</v>
      </c>
      <c r="F756" s="2" t="s">
        <v>2223</v>
      </c>
      <c r="G756" s="2" t="s">
        <v>1977</v>
      </c>
      <c r="H756" s="2" t="s">
        <v>2256</v>
      </c>
      <c r="I756" s="2" t="s">
        <v>1108</v>
      </c>
      <c r="J756" s="2" t="s">
        <v>34</v>
      </c>
      <c r="K756" s="2" t="s">
        <v>38</v>
      </c>
      <c r="L756" s="2" t="s">
        <v>11</v>
      </c>
      <c r="M756" s="2" t="s">
        <v>14</v>
      </c>
      <c r="N756" s="2" t="s">
        <v>20</v>
      </c>
      <c r="O756" s="2">
        <v>0</v>
      </c>
      <c r="P756" s="2" t="s">
        <v>22</v>
      </c>
      <c r="Q756" s="2" t="s">
        <v>1839</v>
      </c>
      <c r="T756" s="2" t="s">
        <v>50</v>
      </c>
      <c r="U756" s="2" t="s">
        <v>421</v>
      </c>
      <c r="X756" s="2">
        <v>15</v>
      </c>
      <c r="Y756" s="2">
        <v>11</v>
      </c>
      <c r="AB756" s="2">
        <v>7.4</v>
      </c>
      <c r="AC756" s="2">
        <v>4.4529284104476048</v>
      </c>
      <c r="AD756" s="2">
        <v>6.3636363636363633</v>
      </c>
      <c r="AE756" s="2">
        <v>3.6406792573015072</v>
      </c>
      <c r="AF756" s="2" t="s">
        <v>74</v>
      </c>
      <c r="AG756" s="2" t="s">
        <v>64</v>
      </c>
      <c r="AH756" s="2" t="s">
        <v>74</v>
      </c>
      <c r="AR756" s="2" t="s">
        <v>849</v>
      </c>
      <c r="AS756" s="2" t="s">
        <v>222</v>
      </c>
      <c r="AU756" s="2" t="s">
        <v>1818</v>
      </c>
      <c r="AV756" s="2" t="s">
        <v>1830</v>
      </c>
      <c r="AW756" s="2" t="s">
        <v>1836</v>
      </c>
      <c r="AX756" s="2" t="s">
        <v>1821</v>
      </c>
      <c r="AY756" s="2" t="s">
        <v>79</v>
      </c>
    </row>
    <row r="757" spans="1:51" x14ac:dyDescent="0.2">
      <c r="A757" s="2" t="s">
        <v>1963</v>
      </c>
      <c r="B757" s="2" t="s">
        <v>1964</v>
      </c>
      <c r="C757" s="2" t="s">
        <v>2230</v>
      </c>
      <c r="D757" s="2">
        <v>2023</v>
      </c>
      <c r="E757" s="2" t="s">
        <v>2196</v>
      </c>
      <c r="F757" s="2" t="s">
        <v>2223</v>
      </c>
      <c r="G757" s="2" t="s">
        <v>1977</v>
      </c>
      <c r="H757" s="2" t="s">
        <v>2257</v>
      </c>
      <c r="I757" s="2" t="s">
        <v>1108</v>
      </c>
      <c r="J757" s="2" t="s">
        <v>34</v>
      </c>
      <c r="K757" s="2" t="s">
        <v>38</v>
      </c>
      <c r="L757" s="2" t="s">
        <v>11</v>
      </c>
      <c r="M757" s="2" t="s">
        <v>14</v>
      </c>
      <c r="N757" s="2" t="s">
        <v>20</v>
      </c>
      <c r="O757" s="2">
        <v>0</v>
      </c>
      <c r="P757" s="2" t="s">
        <v>22</v>
      </c>
      <c r="Q757" s="2" t="s">
        <v>1839</v>
      </c>
      <c r="T757" s="2" t="s">
        <v>50</v>
      </c>
      <c r="U757" s="2" t="s">
        <v>421</v>
      </c>
      <c r="X757" s="2">
        <v>15</v>
      </c>
      <c r="Y757" s="2">
        <v>10</v>
      </c>
      <c r="AB757" s="2">
        <v>7.4</v>
      </c>
      <c r="AC757" s="2">
        <v>4.4529284104476048</v>
      </c>
      <c r="AD757" s="2">
        <v>6.3</v>
      </c>
      <c r="AE757" s="2">
        <v>4.6678569910494145</v>
      </c>
      <c r="AF757" s="2" t="s">
        <v>74</v>
      </c>
      <c r="AG757" s="2" t="s">
        <v>64</v>
      </c>
      <c r="AH757" s="2" t="s">
        <v>74</v>
      </c>
      <c r="AR757" s="2" t="s">
        <v>849</v>
      </c>
      <c r="AS757" s="2" t="s">
        <v>222</v>
      </c>
      <c r="AU757" s="2" t="s">
        <v>1818</v>
      </c>
      <c r="AV757" s="2" t="s">
        <v>1830</v>
      </c>
      <c r="AW757" s="2" t="s">
        <v>1836</v>
      </c>
      <c r="AX757" s="2" t="s">
        <v>1821</v>
      </c>
      <c r="AY757" s="2" t="s">
        <v>79</v>
      </c>
    </row>
    <row r="758" spans="1:51" x14ac:dyDescent="0.2">
      <c r="A758" s="2" t="s">
        <v>1963</v>
      </c>
      <c r="B758" s="2" t="s">
        <v>1964</v>
      </c>
      <c r="C758" s="2" t="s">
        <v>2231</v>
      </c>
      <c r="D758" s="2">
        <v>2023</v>
      </c>
      <c r="E758" s="2" t="s">
        <v>2196</v>
      </c>
      <c r="F758" s="2" t="s">
        <v>2223</v>
      </c>
      <c r="G758" s="2" t="s">
        <v>1977</v>
      </c>
      <c r="H758" s="2" t="s">
        <v>2258</v>
      </c>
      <c r="I758" s="2" t="s">
        <v>1108</v>
      </c>
      <c r="J758" s="2" t="s">
        <v>34</v>
      </c>
      <c r="K758" s="2" t="s">
        <v>38</v>
      </c>
      <c r="L758" s="2" t="s">
        <v>11</v>
      </c>
      <c r="M758" s="2" t="s">
        <v>14</v>
      </c>
      <c r="N758" s="2" t="s">
        <v>20</v>
      </c>
      <c r="O758" s="2">
        <v>0</v>
      </c>
      <c r="P758" s="2" t="s">
        <v>22</v>
      </c>
      <c r="Q758" s="2" t="s">
        <v>1839</v>
      </c>
      <c r="T758" s="2" t="s">
        <v>50</v>
      </c>
      <c r="U758" s="2" t="s">
        <v>421</v>
      </c>
      <c r="X758" s="2">
        <v>15</v>
      </c>
      <c r="Y758" s="2">
        <v>6</v>
      </c>
      <c r="AB758" s="2">
        <v>7.4</v>
      </c>
      <c r="AC758" s="2">
        <v>4.4529284104476048</v>
      </c>
      <c r="AD758" s="2">
        <v>7.166666666666667</v>
      </c>
      <c r="AE758" s="2">
        <v>2.5625508125043419</v>
      </c>
      <c r="AF758" s="2" t="s">
        <v>74</v>
      </c>
      <c r="AG758" s="2" t="s">
        <v>64</v>
      </c>
      <c r="AH758" s="2" t="s">
        <v>74</v>
      </c>
      <c r="AR758" s="2" t="s">
        <v>849</v>
      </c>
      <c r="AS758" s="2" t="s">
        <v>222</v>
      </c>
      <c r="AU758" s="2" t="s">
        <v>1818</v>
      </c>
      <c r="AV758" s="2" t="s">
        <v>1830</v>
      </c>
      <c r="AW758" s="2" t="s">
        <v>1836</v>
      </c>
      <c r="AX758" s="2" t="s">
        <v>1821</v>
      </c>
      <c r="AY758" s="2" t="s">
        <v>79</v>
      </c>
    </row>
    <row r="759" spans="1:51" x14ac:dyDescent="0.2">
      <c r="A759" s="2" t="s">
        <v>1963</v>
      </c>
      <c r="B759" s="2" t="s">
        <v>1964</v>
      </c>
      <c r="C759" s="2" t="s">
        <v>2232</v>
      </c>
      <c r="D759" s="2">
        <v>2023</v>
      </c>
      <c r="E759" s="2" t="s">
        <v>2196</v>
      </c>
      <c r="F759" s="2" t="s">
        <v>2223</v>
      </c>
      <c r="G759" s="2" t="s">
        <v>1977</v>
      </c>
      <c r="H759" s="2" t="s">
        <v>2259</v>
      </c>
      <c r="I759" s="2" t="s">
        <v>1108</v>
      </c>
      <c r="J759" s="2" t="s">
        <v>34</v>
      </c>
      <c r="K759" s="2" t="s">
        <v>38</v>
      </c>
      <c r="L759" s="2" t="s">
        <v>11</v>
      </c>
      <c r="M759" s="2" t="s">
        <v>14</v>
      </c>
      <c r="N759" s="2" t="s">
        <v>20</v>
      </c>
      <c r="O759" s="2">
        <v>0</v>
      </c>
      <c r="P759" s="2" t="s">
        <v>79</v>
      </c>
      <c r="Q759" s="2" t="s">
        <v>646</v>
      </c>
      <c r="T759" s="2" t="s">
        <v>50</v>
      </c>
      <c r="U759" s="2" t="s">
        <v>421</v>
      </c>
      <c r="X759" s="2">
        <v>7</v>
      </c>
      <c r="Y759" s="2">
        <v>4</v>
      </c>
      <c r="AB759" s="2">
        <v>0.23250007328571429</v>
      </c>
      <c r="AC759" s="2">
        <v>0.1126280255802546</v>
      </c>
      <c r="AD759" s="2">
        <v>0.29733165574999998</v>
      </c>
      <c r="AE759" s="2">
        <v>0.1645328281113454</v>
      </c>
      <c r="AF759" s="2" t="s">
        <v>74</v>
      </c>
      <c r="AG759" s="2" t="s">
        <v>65</v>
      </c>
      <c r="AH759" s="2" t="s">
        <v>74</v>
      </c>
      <c r="AR759" s="2" t="s">
        <v>849</v>
      </c>
      <c r="AS759" s="2" t="s">
        <v>849</v>
      </c>
      <c r="AU759" s="2" t="s">
        <v>1818</v>
      </c>
      <c r="AV759" s="2" t="s">
        <v>1830</v>
      </c>
      <c r="AW759" s="2" t="s">
        <v>1836</v>
      </c>
      <c r="AX759" s="2" t="s">
        <v>1821</v>
      </c>
      <c r="AY759" s="2" t="s">
        <v>79</v>
      </c>
    </row>
    <row r="760" spans="1:51" x14ac:dyDescent="0.2">
      <c r="A760" s="2" t="s">
        <v>1963</v>
      </c>
      <c r="B760" s="2" t="s">
        <v>1964</v>
      </c>
      <c r="C760" s="2" t="s">
        <v>2233</v>
      </c>
      <c r="D760" s="2">
        <v>2023</v>
      </c>
      <c r="E760" s="2" t="s">
        <v>2196</v>
      </c>
      <c r="F760" s="2" t="s">
        <v>2223</v>
      </c>
      <c r="G760" s="2" t="s">
        <v>1977</v>
      </c>
      <c r="H760" s="2" t="s">
        <v>2260</v>
      </c>
      <c r="I760" s="2" t="s">
        <v>1108</v>
      </c>
      <c r="J760" s="2" t="s">
        <v>34</v>
      </c>
      <c r="K760" s="2" t="s">
        <v>38</v>
      </c>
      <c r="L760" s="2" t="s">
        <v>11</v>
      </c>
      <c r="M760" s="2" t="s">
        <v>14</v>
      </c>
      <c r="N760" s="2" t="s">
        <v>20</v>
      </c>
      <c r="O760" s="2">
        <v>0</v>
      </c>
      <c r="P760" s="2" t="s">
        <v>79</v>
      </c>
      <c r="Q760" s="2" t="s">
        <v>646</v>
      </c>
      <c r="T760" s="2" t="s">
        <v>50</v>
      </c>
      <c r="U760" s="2" t="s">
        <v>421</v>
      </c>
      <c r="X760" s="2">
        <v>7</v>
      </c>
      <c r="Y760" s="2">
        <v>3</v>
      </c>
      <c r="AB760" s="2">
        <v>0.23250007328571429</v>
      </c>
      <c r="AC760" s="2">
        <v>0.1126280255802546</v>
      </c>
      <c r="AD760" s="2">
        <v>0.48278545133333328</v>
      </c>
      <c r="AE760" s="2">
        <v>0.13983097736120059</v>
      </c>
      <c r="AF760" s="2" t="s">
        <v>74</v>
      </c>
      <c r="AG760" s="2" t="s">
        <v>65</v>
      </c>
      <c r="AH760" s="2" t="s">
        <v>74</v>
      </c>
      <c r="AR760" s="2" t="s">
        <v>849</v>
      </c>
      <c r="AS760" s="2" t="s">
        <v>849</v>
      </c>
      <c r="AU760" s="2" t="s">
        <v>1818</v>
      </c>
      <c r="AV760" s="2" t="s">
        <v>1830</v>
      </c>
      <c r="AW760" s="2" t="s">
        <v>1836</v>
      </c>
      <c r="AX760" s="2" t="s">
        <v>1821</v>
      </c>
      <c r="AY760" s="2" t="s">
        <v>79</v>
      </c>
    </row>
    <row r="761" spans="1:51" x14ac:dyDescent="0.2">
      <c r="A761" s="2" t="s">
        <v>1963</v>
      </c>
      <c r="B761" s="2" t="s">
        <v>1964</v>
      </c>
      <c r="C761" s="2" t="s">
        <v>2234</v>
      </c>
      <c r="D761" s="2">
        <v>2023</v>
      </c>
      <c r="E761" s="2" t="s">
        <v>2196</v>
      </c>
      <c r="F761" s="2" t="s">
        <v>2223</v>
      </c>
      <c r="G761" s="2" t="s">
        <v>1977</v>
      </c>
      <c r="H761" s="2" t="s">
        <v>2261</v>
      </c>
      <c r="I761" s="2" t="s">
        <v>1108</v>
      </c>
      <c r="J761" s="2" t="s">
        <v>34</v>
      </c>
      <c r="K761" s="2" t="s">
        <v>38</v>
      </c>
      <c r="L761" s="2" t="s">
        <v>11</v>
      </c>
      <c r="M761" s="2" t="s">
        <v>14</v>
      </c>
      <c r="N761" s="2" t="s">
        <v>20</v>
      </c>
      <c r="O761" s="2">
        <v>0</v>
      </c>
      <c r="P761" s="2" t="s">
        <v>79</v>
      </c>
      <c r="Q761" s="2" t="s">
        <v>646</v>
      </c>
      <c r="T761" s="2" t="s">
        <v>50</v>
      </c>
      <c r="U761" s="2" t="s">
        <v>421</v>
      </c>
      <c r="X761" s="2">
        <v>7</v>
      </c>
      <c r="Y761" s="2">
        <v>5</v>
      </c>
      <c r="AB761" s="2">
        <v>0.23250007328571429</v>
      </c>
      <c r="AC761" s="2">
        <v>0.1126280255802546</v>
      </c>
      <c r="AD761" s="2">
        <v>0.37917276599999999</v>
      </c>
      <c r="AE761" s="2">
        <v>0.1442668074941075</v>
      </c>
      <c r="AF761" s="2" t="s">
        <v>74</v>
      </c>
      <c r="AG761" s="2" t="s">
        <v>65</v>
      </c>
      <c r="AH761" s="2" t="s">
        <v>74</v>
      </c>
      <c r="AR761" s="2" t="s">
        <v>849</v>
      </c>
      <c r="AS761" s="2" t="s">
        <v>849</v>
      </c>
      <c r="AU761" s="2" t="s">
        <v>1818</v>
      </c>
      <c r="AV761" s="2" t="s">
        <v>1830</v>
      </c>
      <c r="AW761" s="2" t="s">
        <v>1836</v>
      </c>
      <c r="AX761" s="2" t="s">
        <v>1821</v>
      </c>
      <c r="AY761" s="2" t="s">
        <v>79</v>
      </c>
    </row>
    <row r="762" spans="1:51" x14ac:dyDescent="0.2">
      <c r="A762" s="2" t="s">
        <v>1963</v>
      </c>
      <c r="B762" s="2" t="s">
        <v>1964</v>
      </c>
      <c r="C762" s="2" t="s">
        <v>2235</v>
      </c>
      <c r="D762" s="2">
        <v>2023</v>
      </c>
      <c r="E762" s="2" t="s">
        <v>2196</v>
      </c>
      <c r="F762" s="2" t="s">
        <v>2223</v>
      </c>
      <c r="G762" s="2" t="s">
        <v>1977</v>
      </c>
      <c r="H762" s="2" t="s">
        <v>2262</v>
      </c>
      <c r="I762" s="2" t="s">
        <v>1108</v>
      </c>
      <c r="J762" s="2" t="s">
        <v>34</v>
      </c>
      <c r="K762" s="2" t="s">
        <v>38</v>
      </c>
      <c r="L762" s="2" t="s">
        <v>11</v>
      </c>
      <c r="M762" s="2" t="s">
        <v>14</v>
      </c>
      <c r="N762" s="2" t="s">
        <v>20</v>
      </c>
      <c r="O762" s="2">
        <v>0</v>
      </c>
      <c r="P762" s="2" t="s">
        <v>22</v>
      </c>
      <c r="Q762" s="2" t="s">
        <v>1839</v>
      </c>
      <c r="T762" s="2" t="s">
        <v>50</v>
      </c>
      <c r="U762" s="2" t="s">
        <v>421</v>
      </c>
      <c r="X762" s="2">
        <v>15</v>
      </c>
      <c r="Y762" s="2">
        <v>11</v>
      </c>
      <c r="AB762" s="2">
        <v>11.66666666666667</v>
      </c>
      <c r="AC762" s="2">
        <v>1.4331672107497619</v>
      </c>
      <c r="AD762" s="2">
        <v>10.45454545454546</v>
      </c>
      <c r="AE762" s="2">
        <v>1.1783164906196111</v>
      </c>
      <c r="AF762" s="2" t="s">
        <v>74</v>
      </c>
      <c r="AG762" s="2" t="s">
        <v>65</v>
      </c>
      <c r="AH762" s="2" t="s">
        <v>74</v>
      </c>
      <c r="AR762" s="2" t="s">
        <v>849</v>
      </c>
      <c r="AS762" s="2" t="s">
        <v>222</v>
      </c>
      <c r="AU762" s="2" t="s">
        <v>1818</v>
      </c>
      <c r="AV762" s="2" t="s">
        <v>1830</v>
      </c>
      <c r="AW762" s="2" t="s">
        <v>1836</v>
      </c>
      <c r="AX762" s="2" t="s">
        <v>1821</v>
      </c>
      <c r="AY762" s="2" t="s">
        <v>79</v>
      </c>
    </row>
    <row r="763" spans="1:51" x14ac:dyDescent="0.2">
      <c r="A763" s="2" t="s">
        <v>1963</v>
      </c>
      <c r="B763" s="2" t="s">
        <v>1964</v>
      </c>
      <c r="C763" s="2" t="s">
        <v>2236</v>
      </c>
      <c r="D763" s="2">
        <v>2023</v>
      </c>
      <c r="E763" s="2" t="s">
        <v>2196</v>
      </c>
      <c r="F763" s="2" t="s">
        <v>2223</v>
      </c>
      <c r="G763" s="2" t="s">
        <v>1977</v>
      </c>
      <c r="H763" s="2" t="s">
        <v>2263</v>
      </c>
      <c r="I763" s="2" t="s">
        <v>1108</v>
      </c>
      <c r="J763" s="2" t="s">
        <v>34</v>
      </c>
      <c r="K763" s="2" t="s">
        <v>38</v>
      </c>
      <c r="L763" s="2" t="s">
        <v>11</v>
      </c>
      <c r="M763" s="2" t="s">
        <v>14</v>
      </c>
      <c r="N763" s="2" t="s">
        <v>20</v>
      </c>
      <c r="O763" s="2">
        <v>0</v>
      </c>
      <c r="P763" s="2" t="s">
        <v>22</v>
      </c>
      <c r="Q763" s="2" t="s">
        <v>1839</v>
      </c>
      <c r="T763" s="2" t="s">
        <v>50</v>
      </c>
      <c r="U763" s="2" t="s">
        <v>421</v>
      </c>
      <c r="X763" s="2">
        <v>15</v>
      </c>
      <c r="Y763" s="2">
        <v>10</v>
      </c>
      <c r="AB763" s="2">
        <v>11.66666666666667</v>
      </c>
      <c r="AC763" s="2">
        <v>1.4331672107497619</v>
      </c>
      <c r="AD763" s="2">
        <v>10.4</v>
      </c>
      <c r="AE763" s="2">
        <v>1.681269361722465</v>
      </c>
      <c r="AF763" s="2" t="s">
        <v>74</v>
      </c>
      <c r="AG763" s="2" t="s">
        <v>65</v>
      </c>
      <c r="AH763" s="2" t="s">
        <v>74</v>
      </c>
      <c r="AR763" s="2" t="s">
        <v>849</v>
      </c>
      <c r="AS763" s="2" t="s">
        <v>222</v>
      </c>
      <c r="AU763" s="2" t="s">
        <v>1818</v>
      </c>
      <c r="AV763" s="2" t="s">
        <v>1830</v>
      </c>
      <c r="AW763" s="2" t="s">
        <v>1836</v>
      </c>
      <c r="AX763" s="2" t="s">
        <v>1821</v>
      </c>
      <c r="AY763" s="2" t="s">
        <v>79</v>
      </c>
    </row>
    <row r="764" spans="1:51" x14ac:dyDescent="0.2">
      <c r="A764" s="2" t="s">
        <v>1963</v>
      </c>
      <c r="B764" s="2" t="s">
        <v>1964</v>
      </c>
      <c r="C764" s="2" t="s">
        <v>2237</v>
      </c>
      <c r="D764" s="2">
        <v>2023</v>
      </c>
      <c r="E764" s="2" t="s">
        <v>2196</v>
      </c>
      <c r="F764" s="2" t="s">
        <v>2223</v>
      </c>
      <c r="G764" s="2" t="s">
        <v>1977</v>
      </c>
      <c r="H764" s="2" t="s">
        <v>2264</v>
      </c>
      <c r="I764" s="2" t="s">
        <v>1108</v>
      </c>
      <c r="J764" s="2" t="s">
        <v>34</v>
      </c>
      <c r="K764" s="2" t="s">
        <v>38</v>
      </c>
      <c r="L764" s="2" t="s">
        <v>11</v>
      </c>
      <c r="M764" s="2" t="s">
        <v>14</v>
      </c>
      <c r="N764" s="2" t="s">
        <v>20</v>
      </c>
      <c r="O764" s="2">
        <v>0</v>
      </c>
      <c r="P764" s="2" t="s">
        <v>22</v>
      </c>
      <c r="Q764" s="2" t="s">
        <v>1839</v>
      </c>
      <c r="T764" s="2" t="s">
        <v>50</v>
      </c>
      <c r="U764" s="2" t="s">
        <v>421</v>
      </c>
      <c r="X764" s="2">
        <v>15</v>
      </c>
      <c r="Y764" s="2">
        <v>6</v>
      </c>
      <c r="AB764" s="2">
        <v>11.66666666666667</v>
      </c>
      <c r="AC764" s="2">
        <v>1.4331672107497619</v>
      </c>
      <c r="AD764" s="2">
        <v>10.66666666666667</v>
      </c>
      <c r="AE764" s="2">
        <v>1.173787790777268</v>
      </c>
      <c r="AF764" s="2" t="s">
        <v>74</v>
      </c>
      <c r="AG764" s="2" t="s">
        <v>65</v>
      </c>
      <c r="AH764" s="2" t="s">
        <v>74</v>
      </c>
      <c r="AR764" s="2" t="s">
        <v>849</v>
      </c>
      <c r="AS764" s="2" t="s">
        <v>222</v>
      </c>
      <c r="AU764" s="2" t="s">
        <v>1818</v>
      </c>
      <c r="AV764" s="2" t="s">
        <v>1830</v>
      </c>
      <c r="AW764" s="2" t="s">
        <v>1836</v>
      </c>
      <c r="AX764" s="2" t="s">
        <v>1821</v>
      </c>
      <c r="AY764" s="2" t="s">
        <v>79</v>
      </c>
    </row>
    <row r="765" spans="1:51" x14ac:dyDescent="0.2">
      <c r="A765" s="2" t="s">
        <v>1963</v>
      </c>
      <c r="B765" s="2" t="s">
        <v>1964</v>
      </c>
      <c r="C765" s="2" t="s">
        <v>2238</v>
      </c>
      <c r="D765" s="2">
        <v>2023</v>
      </c>
      <c r="E765" s="2" t="s">
        <v>2196</v>
      </c>
      <c r="F765" s="2" t="s">
        <v>2223</v>
      </c>
      <c r="G765" s="2" t="s">
        <v>1977</v>
      </c>
      <c r="H765" s="2" t="s">
        <v>2265</v>
      </c>
      <c r="I765" s="2" t="s">
        <v>1108</v>
      </c>
      <c r="J765" s="2" t="s">
        <v>34</v>
      </c>
      <c r="K765" s="2" t="s">
        <v>38</v>
      </c>
      <c r="L765" s="2" t="s">
        <v>11</v>
      </c>
      <c r="M765" s="2" t="s">
        <v>14</v>
      </c>
      <c r="N765" s="2" t="s">
        <v>20</v>
      </c>
      <c r="O765" s="2">
        <v>0</v>
      </c>
      <c r="P765" s="2" t="s">
        <v>23</v>
      </c>
      <c r="Q765" s="2" t="s">
        <v>2220</v>
      </c>
      <c r="T765" s="2" t="s">
        <v>50</v>
      </c>
      <c r="U765" s="2" t="s">
        <v>421</v>
      </c>
      <c r="X765" s="2">
        <v>18</v>
      </c>
      <c r="Y765" s="2">
        <v>14</v>
      </c>
      <c r="AB765" s="2">
        <v>1.7016666666666671E-3</v>
      </c>
      <c r="AC765" s="2">
        <v>6.2015441888933913E-5</v>
      </c>
      <c r="AD765" s="2">
        <v>1.811428571428571E-3</v>
      </c>
      <c r="AE765" s="2">
        <v>7.8690219890634571E-5</v>
      </c>
      <c r="AF765" s="2" t="s">
        <v>74</v>
      </c>
      <c r="AG765" s="2" t="s">
        <v>65</v>
      </c>
      <c r="AH765" s="2" t="s">
        <v>74</v>
      </c>
      <c r="AR765" s="2" t="s">
        <v>849</v>
      </c>
      <c r="AS765" s="2" t="s">
        <v>849</v>
      </c>
      <c r="AU765" s="2" t="s">
        <v>1818</v>
      </c>
      <c r="AV765" s="2" t="s">
        <v>1830</v>
      </c>
      <c r="AW765" s="2" t="s">
        <v>1836</v>
      </c>
      <c r="AX765" s="2" t="s">
        <v>1821</v>
      </c>
      <c r="AY765" s="2" t="s">
        <v>79</v>
      </c>
    </row>
    <row r="766" spans="1:51" x14ac:dyDescent="0.2">
      <c r="A766" s="2" t="s">
        <v>1963</v>
      </c>
      <c r="B766" s="2" t="s">
        <v>1964</v>
      </c>
      <c r="C766" s="2" t="s">
        <v>2239</v>
      </c>
      <c r="D766" s="2">
        <v>2023</v>
      </c>
      <c r="E766" s="2" t="s">
        <v>2196</v>
      </c>
      <c r="F766" s="2" t="s">
        <v>2223</v>
      </c>
      <c r="G766" s="2" t="s">
        <v>1977</v>
      </c>
      <c r="H766" s="2" t="s">
        <v>2266</v>
      </c>
      <c r="I766" s="2" t="s">
        <v>1108</v>
      </c>
      <c r="J766" s="2" t="s">
        <v>34</v>
      </c>
      <c r="K766" s="2" t="s">
        <v>38</v>
      </c>
      <c r="L766" s="2" t="s">
        <v>11</v>
      </c>
      <c r="M766" s="2" t="s">
        <v>14</v>
      </c>
      <c r="N766" s="2" t="s">
        <v>20</v>
      </c>
      <c r="O766" s="2">
        <v>0</v>
      </c>
      <c r="P766" s="2" t="s">
        <v>23</v>
      </c>
      <c r="Q766" s="2" t="s">
        <v>2220</v>
      </c>
      <c r="T766" s="2" t="s">
        <v>50</v>
      </c>
      <c r="U766" s="2" t="s">
        <v>421</v>
      </c>
      <c r="X766" s="2">
        <v>18</v>
      </c>
      <c r="Y766" s="2">
        <v>15</v>
      </c>
      <c r="AB766" s="2">
        <v>1.7016666666666671E-3</v>
      </c>
      <c r="AC766" s="2">
        <v>6.2015441888933913E-5</v>
      </c>
      <c r="AD766" s="2">
        <v>1.7326666666666671E-3</v>
      </c>
      <c r="AE766" s="2">
        <v>6.4398067603858359E-5</v>
      </c>
      <c r="AF766" s="2" t="s">
        <v>74</v>
      </c>
      <c r="AG766" s="2" t="s">
        <v>65</v>
      </c>
      <c r="AH766" s="2" t="s">
        <v>74</v>
      </c>
      <c r="AR766" s="2" t="s">
        <v>849</v>
      </c>
      <c r="AS766" s="2" t="s">
        <v>849</v>
      </c>
      <c r="AU766" s="2" t="s">
        <v>1818</v>
      </c>
      <c r="AV766" s="2" t="s">
        <v>1830</v>
      </c>
      <c r="AW766" s="2" t="s">
        <v>1836</v>
      </c>
      <c r="AX766" s="2" t="s">
        <v>1821</v>
      </c>
      <c r="AY766" s="2" t="s">
        <v>79</v>
      </c>
    </row>
    <row r="767" spans="1:51" x14ac:dyDescent="0.2">
      <c r="A767" s="2" t="s">
        <v>1963</v>
      </c>
      <c r="B767" s="2" t="s">
        <v>1964</v>
      </c>
      <c r="C767" s="2" t="s">
        <v>2240</v>
      </c>
      <c r="D767" s="2">
        <v>2023</v>
      </c>
      <c r="E767" s="2" t="s">
        <v>2196</v>
      </c>
      <c r="F767" s="2" t="s">
        <v>2223</v>
      </c>
      <c r="G767" s="2" t="s">
        <v>1977</v>
      </c>
      <c r="H767" s="2" t="s">
        <v>2267</v>
      </c>
      <c r="I767" s="2" t="s">
        <v>1108</v>
      </c>
      <c r="J767" s="2" t="s">
        <v>34</v>
      </c>
      <c r="K767" s="2" t="s">
        <v>38</v>
      </c>
      <c r="L767" s="2" t="s">
        <v>11</v>
      </c>
      <c r="M767" s="2" t="s">
        <v>14</v>
      </c>
      <c r="N767" s="2" t="s">
        <v>20</v>
      </c>
      <c r="O767" s="2">
        <v>0</v>
      </c>
      <c r="P767" s="2" t="s">
        <v>23</v>
      </c>
      <c r="Q767" s="2" t="s">
        <v>2220</v>
      </c>
      <c r="T767" s="2" t="s">
        <v>50</v>
      </c>
      <c r="U767" s="2" t="s">
        <v>421</v>
      </c>
      <c r="X767" s="2">
        <v>18</v>
      </c>
      <c r="Y767" s="2">
        <v>14</v>
      </c>
      <c r="AB767" s="2">
        <v>1.7016666666666671E-3</v>
      </c>
      <c r="AC767" s="2">
        <v>6.2015441888933913E-5</v>
      </c>
      <c r="AD767" s="2">
        <v>1.81E-3</v>
      </c>
      <c r="AE767" s="2">
        <v>6.9724733499228694E-5</v>
      </c>
      <c r="AF767" s="2" t="s">
        <v>74</v>
      </c>
      <c r="AG767" s="2" t="s">
        <v>65</v>
      </c>
      <c r="AH767" s="2" t="s">
        <v>74</v>
      </c>
      <c r="AR767" s="2" t="s">
        <v>849</v>
      </c>
      <c r="AS767" s="2" t="s">
        <v>849</v>
      </c>
      <c r="AU767" s="2" t="s">
        <v>1818</v>
      </c>
      <c r="AV767" s="2" t="s">
        <v>1830</v>
      </c>
      <c r="AW767" s="2" t="s">
        <v>1836</v>
      </c>
      <c r="AX767" s="2" t="s">
        <v>1821</v>
      </c>
      <c r="AY767" s="2" t="s">
        <v>79</v>
      </c>
    </row>
    <row r="768" spans="1:51" x14ac:dyDescent="0.2">
      <c r="A768" s="2" t="s">
        <v>1963</v>
      </c>
      <c r="B768" s="2" t="s">
        <v>1964</v>
      </c>
      <c r="C768" s="2" t="s">
        <v>2241</v>
      </c>
      <c r="D768" s="2">
        <v>2023</v>
      </c>
      <c r="E768" s="2" t="s">
        <v>2196</v>
      </c>
      <c r="F768" s="2" t="s">
        <v>2223</v>
      </c>
      <c r="G768" s="2" t="s">
        <v>1977</v>
      </c>
      <c r="H768" s="2" t="s">
        <v>2268</v>
      </c>
      <c r="I768" s="2" t="s">
        <v>1108</v>
      </c>
      <c r="J768" s="2" t="s">
        <v>34</v>
      </c>
      <c r="K768" s="2" t="s">
        <v>38</v>
      </c>
      <c r="L768" s="2" t="s">
        <v>11</v>
      </c>
      <c r="M768" s="2" t="s">
        <v>14</v>
      </c>
      <c r="N768" s="2" t="s">
        <v>20</v>
      </c>
      <c r="O768" s="2">
        <v>0</v>
      </c>
      <c r="P768" s="2" t="s">
        <v>22</v>
      </c>
      <c r="Q768" s="2" t="s">
        <v>30</v>
      </c>
      <c r="T768" s="2" t="s">
        <v>50</v>
      </c>
      <c r="U768" s="2" t="s">
        <v>421</v>
      </c>
      <c r="X768" s="2">
        <v>23</v>
      </c>
      <c r="Y768" s="2">
        <v>19</v>
      </c>
      <c r="AB768" s="2">
        <v>1.4782608695652173</v>
      </c>
      <c r="AC768" s="2">
        <v>0.66534783913046047</v>
      </c>
      <c r="AD768" s="2">
        <v>1.4736842105263157</v>
      </c>
      <c r="AE768" s="2">
        <v>0.61177529032149802</v>
      </c>
      <c r="AF768" s="2" t="s">
        <v>74</v>
      </c>
      <c r="AG768" s="2" t="s">
        <v>64</v>
      </c>
      <c r="AH768" s="2" t="s">
        <v>74</v>
      </c>
      <c r="AR768" s="2" t="s">
        <v>849</v>
      </c>
      <c r="AS768" s="2" t="s">
        <v>849</v>
      </c>
      <c r="AU768" s="2" t="s">
        <v>1818</v>
      </c>
      <c r="AV768" s="2" t="s">
        <v>1830</v>
      </c>
      <c r="AW768" s="2" t="s">
        <v>1836</v>
      </c>
      <c r="AX768" s="2" t="s">
        <v>1821</v>
      </c>
      <c r="AY768" s="2" t="s">
        <v>79</v>
      </c>
    </row>
    <row r="769" spans="1:51" x14ac:dyDescent="0.2">
      <c r="A769" s="2" t="s">
        <v>1963</v>
      </c>
      <c r="B769" s="2" t="s">
        <v>1964</v>
      </c>
      <c r="C769" s="2" t="s">
        <v>2242</v>
      </c>
      <c r="D769" s="2">
        <v>2023</v>
      </c>
      <c r="E769" s="2" t="s">
        <v>2196</v>
      </c>
      <c r="F769" s="2" t="s">
        <v>2223</v>
      </c>
      <c r="G769" s="2" t="s">
        <v>1977</v>
      </c>
      <c r="H769" s="2" t="s">
        <v>2269</v>
      </c>
      <c r="I769" s="2" t="s">
        <v>1108</v>
      </c>
      <c r="J769" s="2" t="s">
        <v>34</v>
      </c>
      <c r="K769" s="2" t="s">
        <v>38</v>
      </c>
      <c r="L769" s="2" t="s">
        <v>11</v>
      </c>
      <c r="M769" s="2" t="s">
        <v>14</v>
      </c>
      <c r="N769" s="2" t="s">
        <v>20</v>
      </c>
      <c r="O769" s="2">
        <v>0</v>
      </c>
      <c r="P769" s="2" t="s">
        <v>22</v>
      </c>
      <c r="Q769" s="2" t="s">
        <v>30</v>
      </c>
      <c r="T769" s="2" t="s">
        <v>50</v>
      </c>
      <c r="U769" s="2" t="s">
        <v>421</v>
      </c>
      <c r="X769" s="2">
        <v>23</v>
      </c>
      <c r="Y769" s="2">
        <v>19</v>
      </c>
      <c r="AB769" s="2">
        <v>1.4782608695652173</v>
      </c>
      <c r="AC769" s="2">
        <v>0.66534783913046047</v>
      </c>
      <c r="AD769" s="2">
        <v>1.3157894736842106</v>
      </c>
      <c r="AE769" s="2">
        <v>0.67103829820720284</v>
      </c>
      <c r="AF769" s="2" t="s">
        <v>74</v>
      </c>
      <c r="AG769" s="2" t="s">
        <v>64</v>
      </c>
      <c r="AH769" s="2" t="s">
        <v>74</v>
      </c>
      <c r="AR769" s="2" t="s">
        <v>849</v>
      </c>
      <c r="AS769" s="2" t="s">
        <v>849</v>
      </c>
      <c r="AU769" s="2" t="s">
        <v>1818</v>
      </c>
      <c r="AV769" s="2" t="s">
        <v>1830</v>
      </c>
      <c r="AW769" s="2" t="s">
        <v>1836</v>
      </c>
      <c r="AX769" s="2" t="s">
        <v>1821</v>
      </c>
      <c r="AY769" s="2" t="s">
        <v>79</v>
      </c>
    </row>
    <row r="770" spans="1:51" x14ac:dyDescent="0.2">
      <c r="A770" s="2" t="s">
        <v>1963</v>
      </c>
      <c r="B770" s="2" t="s">
        <v>1964</v>
      </c>
      <c r="C770" s="2" t="s">
        <v>2243</v>
      </c>
      <c r="D770" s="2">
        <v>2023</v>
      </c>
      <c r="E770" s="2" t="s">
        <v>2196</v>
      </c>
      <c r="F770" s="2" t="s">
        <v>2223</v>
      </c>
      <c r="G770" s="2" t="s">
        <v>1977</v>
      </c>
      <c r="H770" s="2" t="s">
        <v>2270</v>
      </c>
      <c r="I770" s="2" t="s">
        <v>1108</v>
      </c>
      <c r="J770" s="2" t="s">
        <v>34</v>
      </c>
      <c r="K770" s="2" t="s">
        <v>38</v>
      </c>
      <c r="L770" s="2" t="s">
        <v>11</v>
      </c>
      <c r="M770" s="2" t="s">
        <v>14</v>
      </c>
      <c r="N770" s="2" t="s">
        <v>20</v>
      </c>
      <c r="O770" s="2">
        <v>0</v>
      </c>
      <c r="P770" s="2" t="s">
        <v>22</v>
      </c>
      <c r="Q770" s="2" t="s">
        <v>30</v>
      </c>
      <c r="T770" s="2" t="s">
        <v>50</v>
      </c>
      <c r="U770" s="2" t="s">
        <v>421</v>
      </c>
      <c r="X770" s="2">
        <v>23</v>
      </c>
      <c r="Y770" s="2">
        <v>19</v>
      </c>
      <c r="AB770" s="2">
        <v>1.4782608695652173</v>
      </c>
      <c r="AC770" s="2">
        <v>0.66534783913046047</v>
      </c>
      <c r="AD770" s="2">
        <v>1.1052631578947369</v>
      </c>
      <c r="AE770" s="2">
        <v>0.73746840550820014</v>
      </c>
      <c r="AF770" s="2" t="s">
        <v>74</v>
      </c>
      <c r="AG770" s="2" t="s">
        <v>64</v>
      </c>
      <c r="AH770" s="2" t="s">
        <v>74</v>
      </c>
      <c r="AR770" s="2" t="s">
        <v>849</v>
      </c>
      <c r="AS770" s="2" t="s">
        <v>849</v>
      </c>
      <c r="AU770" s="2" t="s">
        <v>1818</v>
      </c>
      <c r="AV770" s="2" t="s">
        <v>1830</v>
      </c>
      <c r="AW770" s="2" t="s">
        <v>1836</v>
      </c>
      <c r="AX770" s="2" t="s">
        <v>1821</v>
      </c>
      <c r="AY770" s="2" t="s">
        <v>79</v>
      </c>
    </row>
    <row r="771" spans="1:51" x14ac:dyDescent="0.2">
      <c r="A771" s="2" t="s">
        <v>1963</v>
      </c>
      <c r="B771" s="2" t="s">
        <v>1964</v>
      </c>
      <c r="C771" s="2" t="s">
        <v>2241</v>
      </c>
      <c r="D771" s="2">
        <v>2023</v>
      </c>
      <c r="E771" s="2" t="s">
        <v>2196</v>
      </c>
      <c r="F771" s="2" t="s">
        <v>2223</v>
      </c>
      <c r="G771" s="2" t="s">
        <v>1977</v>
      </c>
      <c r="H771" s="2" t="s">
        <v>2271</v>
      </c>
      <c r="I771" s="2" t="s">
        <v>1108</v>
      </c>
      <c r="J771" s="2" t="s">
        <v>34</v>
      </c>
      <c r="K771" s="2" t="s">
        <v>38</v>
      </c>
      <c r="L771" s="2" t="s">
        <v>11</v>
      </c>
      <c r="M771" s="2" t="s">
        <v>14</v>
      </c>
      <c r="N771" s="2" t="s">
        <v>20</v>
      </c>
      <c r="O771" s="2">
        <v>0</v>
      </c>
      <c r="P771" s="2" t="s">
        <v>22</v>
      </c>
      <c r="Q771" s="2" t="s">
        <v>2025</v>
      </c>
      <c r="T771" s="2" t="s">
        <v>50</v>
      </c>
      <c r="U771" s="2" t="s">
        <v>421</v>
      </c>
      <c r="X771" s="2">
        <v>20</v>
      </c>
      <c r="Y771" s="2">
        <v>30</v>
      </c>
      <c r="AB771" s="2">
        <v>5.4</v>
      </c>
      <c r="AC771" s="2">
        <v>4.3455966824264518</v>
      </c>
      <c r="AD771" s="2">
        <v>4.5333333333333332</v>
      </c>
      <c r="AE771" s="2">
        <v>4.9461467645119424</v>
      </c>
      <c r="AF771" s="2" t="s">
        <v>74</v>
      </c>
      <c r="AG771" s="2" t="s">
        <v>64</v>
      </c>
      <c r="AH771" s="2" t="s">
        <v>74</v>
      </c>
      <c r="AR771" s="2" t="s">
        <v>849</v>
      </c>
      <c r="AS771" s="2" t="s">
        <v>849</v>
      </c>
      <c r="AU771" s="2" t="s">
        <v>1818</v>
      </c>
      <c r="AV771" s="2" t="s">
        <v>1830</v>
      </c>
      <c r="AW771" s="2" t="s">
        <v>1836</v>
      </c>
      <c r="AX771" s="2" t="s">
        <v>1821</v>
      </c>
      <c r="AY771" s="2" t="s">
        <v>79</v>
      </c>
    </row>
    <row r="772" spans="1:51" x14ac:dyDescent="0.2">
      <c r="A772" s="2" t="s">
        <v>1963</v>
      </c>
      <c r="B772" s="2" t="s">
        <v>1964</v>
      </c>
      <c r="C772" s="2" t="s">
        <v>2242</v>
      </c>
      <c r="D772" s="2">
        <v>2023</v>
      </c>
      <c r="E772" s="2" t="s">
        <v>2196</v>
      </c>
      <c r="F772" s="2" t="s">
        <v>2223</v>
      </c>
      <c r="G772" s="2" t="s">
        <v>1977</v>
      </c>
      <c r="H772" s="2" t="s">
        <v>2272</v>
      </c>
      <c r="I772" s="2" t="s">
        <v>1108</v>
      </c>
      <c r="J772" s="2" t="s">
        <v>34</v>
      </c>
      <c r="K772" s="2" t="s">
        <v>38</v>
      </c>
      <c r="L772" s="2" t="s">
        <v>11</v>
      </c>
      <c r="M772" s="2" t="s">
        <v>14</v>
      </c>
      <c r="N772" s="2" t="s">
        <v>20</v>
      </c>
      <c r="O772" s="2">
        <v>0</v>
      </c>
      <c r="P772" s="2" t="s">
        <v>22</v>
      </c>
      <c r="Q772" s="2" t="s">
        <v>2025</v>
      </c>
      <c r="T772" s="2" t="s">
        <v>50</v>
      </c>
      <c r="U772" s="2" t="s">
        <v>421</v>
      </c>
      <c r="X772" s="2">
        <v>20</v>
      </c>
      <c r="Y772" s="2">
        <v>31</v>
      </c>
      <c r="AB772" s="2">
        <v>5.4</v>
      </c>
      <c r="AC772" s="2">
        <v>4.3455966824264518</v>
      </c>
      <c r="AD772" s="2">
        <v>5.612903225806452</v>
      </c>
      <c r="AE772" s="2">
        <v>6.5912943562188593</v>
      </c>
      <c r="AF772" s="2" t="s">
        <v>74</v>
      </c>
      <c r="AG772" s="2" t="s">
        <v>64</v>
      </c>
      <c r="AH772" s="2" t="s">
        <v>74</v>
      </c>
      <c r="AR772" s="2" t="s">
        <v>849</v>
      </c>
      <c r="AS772" s="2" t="s">
        <v>849</v>
      </c>
      <c r="AU772" s="2" t="s">
        <v>1818</v>
      </c>
      <c r="AV772" s="2" t="s">
        <v>1830</v>
      </c>
      <c r="AW772" s="2" t="s">
        <v>1836</v>
      </c>
      <c r="AX772" s="2" t="s">
        <v>1821</v>
      </c>
      <c r="AY772" s="2" t="s">
        <v>79</v>
      </c>
    </row>
    <row r="773" spans="1:51" x14ac:dyDescent="0.2">
      <c r="A773" s="2" t="s">
        <v>1963</v>
      </c>
      <c r="B773" s="2" t="s">
        <v>1964</v>
      </c>
      <c r="C773" s="2" t="s">
        <v>2243</v>
      </c>
      <c r="D773" s="2">
        <v>2023</v>
      </c>
      <c r="E773" s="2" t="s">
        <v>2196</v>
      </c>
      <c r="F773" s="2" t="s">
        <v>2223</v>
      </c>
      <c r="G773" s="2" t="s">
        <v>1977</v>
      </c>
      <c r="H773" s="2" t="s">
        <v>2273</v>
      </c>
      <c r="I773" s="2" t="s">
        <v>1108</v>
      </c>
      <c r="J773" s="2" t="s">
        <v>34</v>
      </c>
      <c r="K773" s="2" t="s">
        <v>38</v>
      </c>
      <c r="L773" s="2" t="s">
        <v>11</v>
      </c>
      <c r="M773" s="2" t="s">
        <v>14</v>
      </c>
      <c r="N773" s="2" t="s">
        <v>20</v>
      </c>
      <c r="O773" s="2">
        <v>0</v>
      </c>
      <c r="P773" s="2" t="s">
        <v>22</v>
      </c>
      <c r="Q773" s="2" t="s">
        <v>2025</v>
      </c>
      <c r="T773" s="2" t="s">
        <v>50</v>
      </c>
      <c r="U773" s="2" t="s">
        <v>421</v>
      </c>
      <c r="X773" s="2">
        <v>20</v>
      </c>
      <c r="Y773" s="2">
        <v>24</v>
      </c>
      <c r="AB773" s="2">
        <v>5.4</v>
      </c>
      <c r="AC773" s="2">
        <v>4.3455966824264518</v>
      </c>
      <c r="AD773" s="2">
        <v>6.541666666666667</v>
      </c>
      <c r="AE773" s="2">
        <v>11.336662980623172</v>
      </c>
      <c r="AF773" s="2" t="s">
        <v>74</v>
      </c>
      <c r="AG773" s="2" t="s">
        <v>64</v>
      </c>
      <c r="AH773" s="2" t="s">
        <v>74</v>
      </c>
      <c r="AR773" s="2" t="s">
        <v>849</v>
      </c>
      <c r="AS773" s="2" t="s">
        <v>849</v>
      </c>
      <c r="AU773" s="2" t="s">
        <v>1818</v>
      </c>
      <c r="AV773" s="2" t="s">
        <v>1830</v>
      </c>
      <c r="AW773" s="2" t="s">
        <v>1836</v>
      </c>
      <c r="AX773" s="2" t="s">
        <v>1821</v>
      </c>
      <c r="AY773" s="2" t="s">
        <v>79</v>
      </c>
    </row>
    <row r="774" spans="1:51" x14ac:dyDescent="0.2">
      <c r="A774" s="2" t="s">
        <v>1963</v>
      </c>
      <c r="B774" s="2" t="s">
        <v>1964</v>
      </c>
      <c r="C774" s="2" t="s">
        <v>2243</v>
      </c>
      <c r="D774" s="2">
        <v>2023</v>
      </c>
      <c r="E774" s="2" t="s">
        <v>2196</v>
      </c>
      <c r="F774" s="2" t="s">
        <v>2223</v>
      </c>
      <c r="G774" s="2" t="s">
        <v>1977</v>
      </c>
      <c r="H774" s="2" t="s">
        <v>2274</v>
      </c>
      <c r="I774" s="2" t="s">
        <v>1108</v>
      </c>
      <c r="J774" s="2" t="s">
        <v>34</v>
      </c>
      <c r="K774" s="2" t="s">
        <v>38</v>
      </c>
      <c r="L774" s="2" t="s">
        <v>11</v>
      </c>
      <c r="M774" s="2" t="s">
        <v>14</v>
      </c>
      <c r="N774" s="2" t="s">
        <v>20</v>
      </c>
      <c r="O774" s="2">
        <v>0</v>
      </c>
      <c r="P774" s="2" t="s">
        <v>22</v>
      </c>
      <c r="Q774" s="2" t="s">
        <v>2025</v>
      </c>
      <c r="T774" s="2" t="s">
        <v>50</v>
      </c>
      <c r="U774" s="2" t="s">
        <v>421</v>
      </c>
      <c r="X774" s="2">
        <v>20</v>
      </c>
      <c r="Y774" s="2">
        <v>30</v>
      </c>
      <c r="AB774" s="2">
        <v>43.876349999999995</v>
      </c>
      <c r="AC774" s="2">
        <v>20.757700537581112</v>
      </c>
      <c r="AD774" s="2">
        <v>64.996100000000013</v>
      </c>
      <c r="AE774" s="2">
        <v>23.975094071729444</v>
      </c>
      <c r="AF774" s="2" t="s">
        <v>74</v>
      </c>
      <c r="AG774" s="2" t="s">
        <v>64</v>
      </c>
      <c r="AH774" s="2" t="s">
        <v>74</v>
      </c>
      <c r="AR774" s="2" t="s">
        <v>849</v>
      </c>
      <c r="AS774" s="2" t="s">
        <v>849</v>
      </c>
      <c r="AU774" s="2" t="s">
        <v>1818</v>
      </c>
      <c r="AV774" s="2" t="s">
        <v>1830</v>
      </c>
      <c r="AW774" s="2" t="s">
        <v>1836</v>
      </c>
      <c r="AX774" s="2" t="s">
        <v>1821</v>
      </c>
      <c r="AY774" s="2" t="s">
        <v>79</v>
      </c>
    </row>
    <row r="775" spans="1:51" x14ac:dyDescent="0.2">
      <c r="A775" s="2" t="s">
        <v>1963</v>
      </c>
      <c r="B775" s="2" t="s">
        <v>1964</v>
      </c>
      <c r="C775" s="2" t="s">
        <v>2243</v>
      </c>
      <c r="D775" s="2">
        <v>2023</v>
      </c>
      <c r="E775" s="2" t="s">
        <v>2196</v>
      </c>
      <c r="F775" s="2" t="s">
        <v>2223</v>
      </c>
      <c r="G775" s="2" t="s">
        <v>1977</v>
      </c>
      <c r="H775" s="2" t="s">
        <v>2275</v>
      </c>
      <c r="I775" s="2" t="s">
        <v>1108</v>
      </c>
      <c r="J775" s="2" t="s">
        <v>34</v>
      </c>
      <c r="K775" s="2" t="s">
        <v>38</v>
      </c>
      <c r="L775" s="2" t="s">
        <v>11</v>
      </c>
      <c r="M775" s="2" t="s">
        <v>14</v>
      </c>
      <c r="N775" s="2" t="s">
        <v>20</v>
      </c>
      <c r="O775" s="2">
        <v>0</v>
      </c>
      <c r="P775" s="2" t="s">
        <v>22</v>
      </c>
      <c r="Q775" s="2" t="s">
        <v>2025</v>
      </c>
      <c r="T775" s="2" t="s">
        <v>50</v>
      </c>
      <c r="U775" s="2" t="s">
        <v>421</v>
      </c>
      <c r="X775" s="2">
        <v>20</v>
      </c>
      <c r="Y775" s="2">
        <v>31</v>
      </c>
      <c r="AB775" s="2">
        <v>43.876349999999995</v>
      </c>
      <c r="AC775" s="2">
        <v>20.757700537581112</v>
      </c>
      <c r="AD775" s="2">
        <v>53.907516129032267</v>
      </c>
      <c r="AE775" s="2">
        <v>31.065038844195854</v>
      </c>
      <c r="AF775" s="2" t="s">
        <v>74</v>
      </c>
      <c r="AG775" s="2" t="s">
        <v>64</v>
      </c>
      <c r="AH775" s="2" t="s">
        <v>74</v>
      </c>
      <c r="AR775" s="2" t="s">
        <v>849</v>
      </c>
      <c r="AS775" s="2" t="s">
        <v>849</v>
      </c>
      <c r="AU775" s="2" t="s">
        <v>1818</v>
      </c>
      <c r="AV775" s="2" t="s">
        <v>1830</v>
      </c>
      <c r="AW775" s="2" t="s">
        <v>1836</v>
      </c>
      <c r="AX775" s="2" t="s">
        <v>1821</v>
      </c>
      <c r="AY775" s="2" t="s">
        <v>79</v>
      </c>
    </row>
    <row r="776" spans="1:51" x14ac:dyDescent="0.2">
      <c r="A776" s="2" t="s">
        <v>1963</v>
      </c>
      <c r="B776" s="2" t="s">
        <v>1964</v>
      </c>
      <c r="C776" s="2" t="s">
        <v>2243</v>
      </c>
      <c r="D776" s="2">
        <v>2023</v>
      </c>
      <c r="E776" s="2" t="s">
        <v>2196</v>
      </c>
      <c r="F776" s="2" t="s">
        <v>2223</v>
      </c>
      <c r="G776" s="2" t="s">
        <v>1977</v>
      </c>
      <c r="H776" s="2" t="s">
        <v>2276</v>
      </c>
      <c r="I776" s="2" t="s">
        <v>1108</v>
      </c>
      <c r="J776" s="2" t="s">
        <v>34</v>
      </c>
      <c r="K776" s="2" t="s">
        <v>38</v>
      </c>
      <c r="L776" s="2" t="s">
        <v>11</v>
      </c>
      <c r="M776" s="2" t="s">
        <v>14</v>
      </c>
      <c r="N776" s="2" t="s">
        <v>20</v>
      </c>
      <c r="O776" s="2">
        <v>0</v>
      </c>
      <c r="P776" s="2" t="s">
        <v>22</v>
      </c>
      <c r="Q776" s="2" t="s">
        <v>2025</v>
      </c>
      <c r="T776" s="2" t="s">
        <v>50</v>
      </c>
      <c r="U776" s="2" t="s">
        <v>421</v>
      </c>
      <c r="X776" s="2">
        <v>20</v>
      </c>
      <c r="Y776" s="2">
        <v>24</v>
      </c>
      <c r="AB776" s="2">
        <v>43.876349999999995</v>
      </c>
      <c r="AC776" s="2">
        <v>20.757700537581112</v>
      </c>
      <c r="AD776" s="2">
        <v>53.258208333333329</v>
      </c>
      <c r="AE776" s="2">
        <v>30.842795432404412</v>
      </c>
      <c r="AF776" s="2" t="s">
        <v>74</v>
      </c>
      <c r="AG776" s="2" t="s">
        <v>64</v>
      </c>
      <c r="AH776" s="2" t="s">
        <v>74</v>
      </c>
      <c r="AR776" s="2" t="s">
        <v>849</v>
      </c>
      <c r="AS776" s="2" t="s">
        <v>849</v>
      </c>
      <c r="AU776" s="2" t="s">
        <v>1818</v>
      </c>
      <c r="AV776" s="2" t="s">
        <v>1830</v>
      </c>
      <c r="AW776" s="2" t="s">
        <v>1836</v>
      </c>
      <c r="AX776" s="2" t="s">
        <v>1821</v>
      </c>
      <c r="AY776" s="2" t="s">
        <v>79</v>
      </c>
    </row>
    <row r="777" spans="1:51" x14ac:dyDescent="0.2">
      <c r="A777" s="2" t="s">
        <v>2038</v>
      </c>
      <c r="B777" s="2" t="s">
        <v>1173</v>
      </c>
      <c r="C777" s="2" t="s">
        <v>2039</v>
      </c>
      <c r="D777" s="2">
        <v>2021</v>
      </c>
      <c r="E777" s="2" t="s">
        <v>2297</v>
      </c>
      <c r="F777" s="2" t="s">
        <v>2298</v>
      </c>
      <c r="G777" s="2" t="s">
        <v>1983</v>
      </c>
      <c r="H777" s="2" t="s">
        <v>2299</v>
      </c>
      <c r="I777" s="2" t="s">
        <v>1175</v>
      </c>
      <c r="J777" s="2" t="s">
        <v>36</v>
      </c>
      <c r="K777" s="2" t="s">
        <v>38</v>
      </c>
      <c r="L777" s="2" t="s">
        <v>11</v>
      </c>
      <c r="M777" s="2" t="s">
        <v>14</v>
      </c>
      <c r="N777" s="2" t="s">
        <v>17</v>
      </c>
      <c r="O777" s="2">
        <v>1</v>
      </c>
      <c r="P777" s="2" t="s">
        <v>22</v>
      </c>
      <c r="Q777" s="2" t="s">
        <v>2025</v>
      </c>
      <c r="T777" s="2" t="s">
        <v>50</v>
      </c>
      <c r="U777" s="2" t="s">
        <v>421</v>
      </c>
      <c r="X777" s="2">
        <v>12</v>
      </c>
      <c r="Y777" s="2">
        <v>18</v>
      </c>
      <c r="AB777" s="9">
        <v>2.3410429411764708</v>
      </c>
      <c r="AC777" s="9">
        <v>1.3275005437404079</v>
      </c>
      <c r="AD777" s="9">
        <v>2.8738310606060606</v>
      </c>
      <c r="AE777" s="9">
        <v>1.2050792008440263</v>
      </c>
      <c r="AF777" s="2" t="s">
        <v>74</v>
      </c>
      <c r="AG777" s="2" t="s">
        <v>64</v>
      </c>
      <c r="AH777" s="2" t="s">
        <v>74</v>
      </c>
      <c r="AR777" s="2" t="s">
        <v>849</v>
      </c>
      <c r="AS777" s="2" t="s">
        <v>849</v>
      </c>
      <c r="AU777" s="2" t="s">
        <v>1827</v>
      </c>
      <c r="AV777" s="2" t="s">
        <v>1822</v>
      </c>
      <c r="AW777" s="2" t="s">
        <v>1823</v>
      </c>
      <c r="AY777" s="2" t="s">
        <v>1828</v>
      </c>
    </row>
    <row r="778" spans="1:51" x14ac:dyDescent="0.2">
      <c r="A778" s="2" t="s">
        <v>2038</v>
      </c>
      <c r="B778" s="2" t="s">
        <v>1173</v>
      </c>
      <c r="C778" s="2" t="s">
        <v>2039</v>
      </c>
      <c r="D778" s="2">
        <v>2021</v>
      </c>
      <c r="E778" s="2" t="s">
        <v>2297</v>
      </c>
      <c r="F778" s="2" t="s">
        <v>2298</v>
      </c>
      <c r="G778" s="2" t="s">
        <v>1983</v>
      </c>
      <c r="H778" s="2" t="s">
        <v>2300</v>
      </c>
      <c r="I778" s="2" t="s">
        <v>1175</v>
      </c>
      <c r="J778" s="2" t="s">
        <v>36</v>
      </c>
      <c r="K778" s="2" t="s">
        <v>38</v>
      </c>
      <c r="L778" s="2" t="s">
        <v>11</v>
      </c>
      <c r="M778" s="2" t="s">
        <v>14</v>
      </c>
      <c r="N778" s="2" t="s">
        <v>17</v>
      </c>
      <c r="O778" s="2">
        <v>1</v>
      </c>
      <c r="P778" s="2" t="s">
        <v>22</v>
      </c>
      <c r="Q778" s="2" t="s">
        <v>2025</v>
      </c>
      <c r="T778" s="2" t="s">
        <v>51</v>
      </c>
      <c r="U778" s="2" t="s">
        <v>421</v>
      </c>
      <c r="X778" s="2">
        <v>12</v>
      </c>
      <c r="Y778" s="2">
        <v>6</v>
      </c>
      <c r="AB778" s="9">
        <v>2.3410429411764708</v>
      </c>
      <c r="AC778" s="9">
        <v>1.3275005437404079</v>
      </c>
      <c r="AD778" s="9">
        <v>3.1465333333333336</v>
      </c>
      <c r="AE778" s="9">
        <v>1.5423401955037881</v>
      </c>
      <c r="AF778" s="2" t="s">
        <v>74</v>
      </c>
      <c r="AG778" s="2" t="s">
        <v>64</v>
      </c>
      <c r="AH778" s="2" t="s">
        <v>74</v>
      </c>
      <c r="AR778" s="2" t="s">
        <v>849</v>
      </c>
      <c r="AS778" s="2" t="s">
        <v>849</v>
      </c>
      <c r="AU778" s="2" t="s">
        <v>1827</v>
      </c>
      <c r="AV778" s="2" t="s">
        <v>1822</v>
      </c>
      <c r="AW778" s="2" t="s">
        <v>1823</v>
      </c>
      <c r="AY778" s="2" t="s">
        <v>1828</v>
      </c>
    </row>
    <row r="779" spans="1:51" x14ac:dyDescent="0.2">
      <c r="A779" s="2" t="s">
        <v>2038</v>
      </c>
      <c r="B779" s="2" t="s">
        <v>1173</v>
      </c>
      <c r="C779" s="2" t="s">
        <v>2039</v>
      </c>
      <c r="D779" s="2">
        <v>2021</v>
      </c>
      <c r="E779" s="2" t="s">
        <v>2297</v>
      </c>
      <c r="F779" s="2" t="s">
        <v>2298</v>
      </c>
      <c r="G779" s="2" t="s">
        <v>1983</v>
      </c>
      <c r="H779" s="2" t="s">
        <v>2301</v>
      </c>
      <c r="I779" s="2" t="s">
        <v>1175</v>
      </c>
      <c r="J779" s="2" t="s">
        <v>36</v>
      </c>
      <c r="K779" s="2" t="s">
        <v>38</v>
      </c>
      <c r="L779" s="2" t="s">
        <v>11</v>
      </c>
      <c r="M779" s="2" t="s">
        <v>14</v>
      </c>
      <c r="N779" s="2" t="s">
        <v>17</v>
      </c>
      <c r="O779" s="2">
        <v>1</v>
      </c>
      <c r="P779" s="2" t="s">
        <v>22</v>
      </c>
      <c r="Q779" s="2" t="s">
        <v>2025</v>
      </c>
      <c r="T779" s="2" t="s">
        <v>50</v>
      </c>
      <c r="U779" s="2" t="s">
        <v>421</v>
      </c>
      <c r="X779" s="2">
        <v>12</v>
      </c>
      <c r="Y779" s="2">
        <v>18</v>
      </c>
      <c r="AB779" s="9">
        <v>74.488974999999996</v>
      </c>
      <c r="AC779" s="9">
        <v>25.831407600900551</v>
      </c>
      <c r="AD779" s="9">
        <v>86.533899999999988</v>
      </c>
      <c r="AE779" s="9">
        <v>41.251427797863613</v>
      </c>
      <c r="AF779" s="2" t="s">
        <v>74</v>
      </c>
      <c r="AG779" s="2" t="s">
        <v>64</v>
      </c>
      <c r="AH779" s="2" t="s">
        <v>74</v>
      </c>
      <c r="AR779" s="2" t="s">
        <v>849</v>
      </c>
      <c r="AS779" s="2" t="s">
        <v>849</v>
      </c>
      <c r="AU779" s="2" t="s">
        <v>1827</v>
      </c>
      <c r="AV779" s="2" t="s">
        <v>1822</v>
      </c>
      <c r="AW779" s="2" t="s">
        <v>1823</v>
      </c>
      <c r="AY779" s="2" t="s">
        <v>1828</v>
      </c>
    </row>
    <row r="780" spans="1:51" x14ac:dyDescent="0.2">
      <c r="A780" s="2" t="s">
        <v>2038</v>
      </c>
      <c r="B780" s="2" t="s">
        <v>1173</v>
      </c>
      <c r="C780" s="2" t="s">
        <v>2039</v>
      </c>
      <c r="D780" s="2">
        <v>2021</v>
      </c>
      <c r="E780" s="2" t="s">
        <v>2297</v>
      </c>
      <c r="F780" s="2" t="s">
        <v>2298</v>
      </c>
      <c r="G780" s="2" t="s">
        <v>1983</v>
      </c>
      <c r="H780" s="2" t="s">
        <v>2302</v>
      </c>
      <c r="I780" s="2" t="s">
        <v>1175</v>
      </c>
      <c r="J780" s="2" t="s">
        <v>36</v>
      </c>
      <c r="K780" s="2" t="s">
        <v>38</v>
      </c>
      <c r="L780" s="2" t="s">
        <v>11</v>
      </c>
      <c r="M780" s="2" t="s">
        <v>14</v>
      </c>
      <c r="N780" s="2" t="s">
        <v>17</v>
      </c>
      <c r="O780" s="2">
        <v>1</v>
      </c>
      <c r="P780" s="2" t="s">
        <v>22</v>
      </c>
      <c r="Q780" s="2" t="s">
        <v>2025</v>
      </c>
      <c r="T780" s="2" t="s">
        <v>51</v>
      </c>
      <c r="U780" s="2" t="s">
        <v>421</v>
      </c>
      <c r="X780" s="2">
        <v>12</v>
      </c>
      <c r="Y780" s="2">
        <v>6</v>
      </c>
      <c r="AB780" s="9">
        <v>74.488974999999996</v>
      </c>
      <c r="AC780" s="9">
        <v>25.831407600900551</v>
      </c>
      <c r="AD780" s="9">
        <v>23.605283333333333</v>
      </c>
      <c r="AE780" s="9">
        <v>12.590744969447462</v>
      </c>
      <c r="AF780" s="2" t="s">
        <v>74</v>
      </c>
      <c r="AG780" s="2" t="s">
        <v>64</v>
      </c>
      <c r="AH780" s="2" t="s">
        <v>74</v>
      </c>
      <c r="AR780" s="2" t="s">
        <v>849</v>
      </c>
      <c r="AS780" s="2" t="s">
        <v>849</v>
      </c>
      <c r="AU780" s="2" t="s">
        <v>1827</v>
      </c>
      <c r="AV780" s="2" t="s">
        <v>1822</v>
      </c>
      <c r="AW780" s="2" t="s">
        <v>1823</v>
      </c>
      <c r="AY780" s="2" t="s">
        <v>1828</v>
      </c>
    </row>
    <row r="781" spans="1:51" x14ac:dyDescent="0.2">
      <c r="A781" s="2" t="s">
        <v>2038</v>
      </c>
      <c r="B781" s="2" t="s">
        <v>1173</v>
      </c>
      <c r="C781" s="2" t="s">
        <v>2039</v>
      </c>
      <c r="D781" s="2">
        <v>2021</v>
      </c>
      <c r="E781" s="2" t="s">
        <v>2297</v>
      </c>
      <c r="F781" s="2" t="s">
        <v>2298</v>
      </c>
      <c r="G781" s="2" t="s">
        <v>1983</v>
      </c>
      <c r="H781" s="2" t="s">
        <v>2303</v>
      </c>
      <c r="I781" s="2" t="s">
        <v>1175</v>
      </c>
      <c r="J781" s="2" t="s">
        <v>36</v>
      </c>
      <c r="K781" s="2" t="s">
        <v>38</v>
      </c>
      <c r="L781" s="2" t="s">
        <v>11</v>
      </c>
      <c r="M781" s="2" t="s">
        <v>14</v>
      </c>
      <c r="N781" s="2" t="s">
        <v>17</v>
      </c>
      <c r="O781" s="2">
        <v>1</v>
      </c>
      <c r="P781" s="2" t="s">
        <v>22</v>
      </c>
      <c r="Q781" s="2" t="s">
        <v>2025</v>
      </c>
      <c r="T781" s="2" t="s">
        <v>50</v>
      </c>
      <c r="U781" s="2" t="s">
        <v>421</v>
      </c>
      <c r="X781" s="2">
        <v>4</v>
      </c>
      <c r="Y781" s="2">
        <v>10</v>
      </c>
      <c r="AB781" s="9">
        <v>2.5846776248725787</v>
      </c>
      <c r="AC781" s="9">
        <v>0.87967486967854369</v>
      </c>
      <c r="AD781" s="9">
        <v>2.116463467088467</v>
      </c>
      <c r="AE781" s="9">
        <v>0.61557887517063148</v>
      </c>
      <c r="AF781" s="2" t="s">
        <v>74</v>
      </c>
      <c r="AG781" s="2" t="s">
        <v>64</v>
      </c>
      <c r="AH781" s="2" t="s">
        <v>74</v>
      </c>
      <c r="AR781" s="2" t="s">
        <v>849</v>
      </c>
      <c r="AS781" s="2" t="s">
        <v>849</v>
      </c>
      <c r="AU781" s="2" t="s">
        <v>1827</v>
      </c>
      <c r="AV781" s="2" t="s">
        <v>1822</v>
      </c>
      <c r="AW781" s="2" t="s">
        <v>1823</v>
      </c>
      <c r="AY781" s="2" t="s">
        <v>1828</v>
      </c>
    </row>
    <row r="782" spans="1:51" x14ac:dyDescent="0.2">
      <c r="A782" s="2" t="s">
        <v>2038</v>
      </c>
      <c r="B782" s="2" t="s">
        <v>1173</v>
      </c>
      <c r="C782" s="2" t="s">
        <v>2039</v>
      </c>
      <c r="D782" s="2">
        <v>2021</v>
      </c>
      <c r="E782" s="2" t="s">
        <v>2297</v>
      </c>
      <c r="F782" s="2" t="s">
        <v>2298</v>
      </c>
      <c r="G782" s="2" t="s">
        <v>1983</v>
      </c>
      <c r="H782" s="2" t="s">
        <v>2304</v>
      </c>
      <c r="I782" s="2" t="s">
        <v>1175</v>
      </c>
      <c r="J782" s="2" t="s">
        <v>36</v>
      </c>
      <c r="K782" s="2" t="s">
        <v>38</v>
      </c>
      <c r="L782" s="2" t="s">
        <v>11</v>
      </c>
      <c r="M782" s="2" t="s">
        <v>14</v>
      </c>
      <c r="N782" s="2" t="s">
        <v>17</v>
      </c>
      <c r="O782" s="2">
        <v>1</v>
      </c>
      <c r="P782" s="2" t="s">
        <v>22</v>
      </c>
      <c r="Q782" s="2" t="s">
        <v>2025</v>
      </c>
      <c r="T782" s="2" t="s">
        <v>50</v>
      </c>
      <c r="U782" s="2" t="s">
        <v>421</v>
      </c>
      <c r="X782" s="2">
        <v>4</v>
      </c>
      <c r="Y782" s="2">
        <v>6</v>
      </c>
      <c r="AB782" s="9">
        <v>2.5846776248725787</v>
      </c>
      <c r="AC782" s="9">
        <v>0.87967486967854369</v>
      </c>
      <c r="AD782" s="9">
        <v>1.2663296850830068</v>
      </c>
      <c r="AE782" s="9">
        <v>0.53199742896994684</v>
      </c>
      <c r="AF782" s="2" t="s">
        <v>74</v>
      </c>
      <c r="AG782" s="2" t="s">
        <v>64</v>
      </c>
      <c r="AH782" s="2" t="s">
        <v>74</v>
      </c>
      <c r="AR782" s="2" t="s">
        <v>849</v>
      </c>
      <c r="AS782" s="2" t="s">
        <v>849</v>
      </c>
      <c r="AU782" s="2" t="s">
        <v>1827</v>
      </c>
      <c r="AV782" s="2" t="s">
        <v>1822</v>
      </c>
      <c r="AW782" s="2" t="s">
        <v>1823</v>
      </c>
      <c r="AY782" s="2" t="s">
        <v>1828</v>
      </c>
    </row>
    <row r="783" spans="1:51" x14ac:dyDescent="0.2">
      <c r="A783" s="2" t="s">
        <v>2038</v>
      </c>
      <c r="B783" s="2" t="s">
        <v>1173</v>
      </c>
      <c r="C783" s="2" t="s">
        <v>2039</v>
      </c>
      <c r="D783" s="2">
        <v>2021</v>
      </c>
      <c r="E783" s="2" t="s">
        <v>2297</v>
      </c>
      <c r="F783" s="2" t="s">
        <v>2298</v>
      </c>
      <c r="G783" s="2" t="s">
        <v>1983</v>
      </c>
      <c r="H783" s="2" t="s">
        <v>2305</v>
      </c>
      <c r="I783" s="2" t="s">
        <v>1175</v>
      </c>
      <c r="J783" s="2" t="s">
        <v>36</v>
      </c>
      <c r="K783" s="2" t="s">
        <v>38</v>
      </c>
      <c r="L783" s="2" t="s">
        <v>11</v>
      </c>
      <c r="M783" s="2" t="s">
        <v>14</v>
      </c>
      <c r="N783" s="2" t="s">
        <v>17</v>
      </c>
      <c r="O783" s="2">
        <v>1</v>
      </c>
      <c r="P783" s="2" t="s">
        <v>22</v>
      </c>
      <c r="Q783" s="2" t="s">
        <v>30</v>
      </c>
      <c r="T783" s="2" t="s">
        <v>50</v>
      </c>
      <c r="U783" s="2" t="s">
        <v>421</v>
      </c>
      <c r="X783" s="2">
        <v>12</v>
      </c>
      <c r="Y783" s="2">
        <v>18</v>
      </c>
      <c r="Z783" s="2">
        <v>9</v>
      </c>
      <c r="AA783" s="2">
        <v>17</v>
      </c>
      <c r="AH783" s="2" t="s">
        <v>1804</v>
      </c>
      <c r="AR783" s="2" t="s">
        <v>849</v>
      </c>
      <c r="AS783" s="2" t="s">
        <v>849</v>
      </c>
      <c r="AU783" s="2" t="s">
        <v>1827</v>
      </c>
      <c r="AV783" s="2" t="s">
        <v>1822</v>
      </c>
      <c r="AW783" s="2" t="s">
        <v>1823</v>
      </c>
      <c r="AY783" s="2" t="s">
        <v>1828</v>
      </c>
    </row>
    <row r="784" spans="1:51" x14ac:dyDescent="0.2">
      <c r="A784" s="2" t="s">
        <v>2038</v>
      </c>
      <c r="B784" s="2" t="s">
        <v>1173</v>
      </c>
      <c r="C784" s="2" t="s">
        <v>2039</v>
      </c>
      <c r="D784" s="2">
        <v>2021</v>
      </c>
      <c r="E784" s="2" t="s">
        <v>2297</v>
      </c>
      <c r="F784" s="2" t="s">
        <v>2298</v>
      </c>
      <c r="G784" s="2" t="s">
        <v>1983</v>
      </c>
      <c r="H784" s="2" t="s">
        <v>2306</v>
      </c>
      <c r="I784" s="2" t="s">
        <v>1175</v>
      </c>
      <c r="J784" s="2" t="s">
        <v>36</v>
      </c>
      <c r="K784" s="2" t="s">
        <v>38</v>
      </c>
      <c r="L784" s="2" t="s">
        <v>11</v>
      </c>
      <c r="M784" s="2" t="s">
        <v>14</v>
      </c>
      <c r="N784" s="2" t="s">
        <v>17</v>
      </c>
      <c r="O784" s="2">
        <v>1</v>
      </c>
      <c r="P784" s="2" t="s">
        <v>22</v>
      </c>
      <c r="Q784" s="2" t="s">
        <v>30</v>
      </c>
      <c r="T784" s="2" t="s">
        <v>51</v>
      </c>
      <c r="U784" s="2" t="s">
        <v>421</v>
      </c>
      <c r="X784" s="2">
        <v>12</v>
      </c>
      <c r="Y784" s="2">
        <v>6</v>
      </c>
      <c r="Z784" s="2">
        <v>9</v>
      </c>
      <c r="AA784" s="2">
        <v>3</v>
      </c>
      <c r="AH784" s="2" t="s">
        <v>1804</v>
      </c>
      <c r="AR784" s="2" t="s">
        <v>849</v>
      </c>
      <c r="AS784" s="2" t="s">
        <v>849</v>
      </c>
      <c r="AU784" s="2" t="s">
        <v>1827</v>
      </c>
      <c r="AV784" s="2" t="s">
        <v>1822</v>
      </c>
      <c r="AW784" s="2" t="s">
        <v>1823</v>
      </c>
      <c r="AY784" s="2" t="s">
        <v>1828</v>
      </c>
    </row>
  </sheetData>
  <phoneticPr fontId="3" type="noConversion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Yong Zhi Foo</cp:lastModifiedBy>
  <dcterms:created xsi:type="dcterms:W3CDTF">2020-04-17T09:52:55Z</dcterms:created>
  <dcterms:modified xsi:type="dcterms:W3CDTF">2026-03-19T08:53:25Z</dcterms:modified>
</cp:coreProperties>
</file>